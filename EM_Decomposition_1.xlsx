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Credit" sheetId="6" state="visible" r:id="rId6"/>
    <sheet xmlns:r="http://schemas.openxmlformats.org/officeDocument/2006/relationships" name="Tickers" sheetId="7" state="visible" r:id="rId7"/>
    <sheet xmlns:r="http://schemas.openxmlformats.org/officeDocument/2006/relationships" name="HIST_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-mmm-yy"/>
    <numFmt numFmtId="165" formatCode="#,##0;(#,##0);&quot;-&quot;"/>
    <numFmt numFmtId="166" formatCode="+#,##0;-#,##0;&quot;-&quot;"/>
    <numFmt numFmtId="167" formatCode="0.00&quot;x&quot;"/>
    <numFmt numFmtId="168" formatCode="0.000"/>
    <numFmt numFmtId="169" formatCode="+0.0%;-0.0%;&quot;-&quot;"/>
    <numFmt numFmtId="170" formatCode="#,##0.0"/>
    <numFmt numFmtId="171" formatCode="+0.00%;-0.00%;&quot;-&quot;"/>
  </numFmts>
  <fonts count="11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8000"/>
      <sz val="10"/>
    </font>
    <font>
      <name val="Arial"/>
      <b val="1"/>
      <color rgb="001A1A1A"/>
      <sz val="10"/>
    </font>
    <font>
      <name val="Arial"/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E60000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3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8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9" fillId="0" borderId="1" pivotButton="0" quotePrefix="0" xfId="0"/>
    <xf numFmtId="166" fontId="8" fillId="5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9" fontId="8" fillId="5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6" fillId="0" borderId="1" pivotButton="0" quotePrefix="0" xfId="0"/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71" fontId="9" fillId="5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9" fillId="0" borderId="0" pivotButton="0" quotePrefix="0" xfId="0"/>
    <xf numFmtId="166" fontId="9" fillId="5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0" fillId="4" borderId="0" pivotButton="0" quotePrefix="0" xfId="0"/>
    <xf numFmtId="0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10" fillId="0" borderId="0" pivotButton="0" quotePrefix="0" xfId="0"/>
    <xf numFmtId="168" fontId="1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Local rates — past month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'Charts'!B5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'Charts'!$A$6:$A$10</f>
            </numRef>
          </cat>
          <val>
            <numRef>
              <f>'Charts'!$B$6:$B$10</f>
            </numRef>
          </val>
        </ser>
        <ser>
          <idx val="1"/>
          <order val="1"/>
          <tx>
            <strRef>
              <f>'Charts'!C5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'Charts'!$A$6:$A$10</f>
            </numRef>
          </cat>
          <val>
            <numRef>
              <f>'Charts'!$C$6:$C$10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Local rates — year to date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'Charts'!B14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'Charts'!$A$15:$A$19</f>
            </numRef>
          </cat>
          <val>
            <numRef>
              <f>'Charts'!$B$15:$B$19</f>
            </numRef>
          </val>
        </ser>
        <ser>
          <idx val="1"/>
          <order val="1"/>
          <tx>
            <strRef>
              <f>'Charts'!C14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'Charts'!$A$15:$A$19</f>
            </numRef>
          </cat>
          <val>
            <numRef>
              <f>'Charts'!$C$15:$C$19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FX — past month (return on EM ccy)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'Charts'!B23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'Charts'!$A$24:$A$28</f>
            </numRef>
          </cat>
          <val>
            <numRef>
              <f>'Charts'!$B$24:$B$28</f>
            </numRef>
          </val>
        </ser>
        <ser>
          <idx val="1"/>
          <order val="1"/>
          <tx>
            <strRef>
              <f>'Charts'!C23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'Charts'!$A$24:$A$28</f>
            </numRef>
          </cat>
          <val>
            <numRef>
              <f>'Charts'!$C$24:$C$28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+0.0%;-0.0%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FX — year to date (return on EM ccy)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'Charts'!B32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'Charts'!$A$33:$A$37</f>
            </numRef>
          </cat>
          <val>
            <numRef>
              <f>'Charts'!$B$33:$B$37</f>
            </numRef>
          </val>
        </ser>
        <ser>
          <idx val="1"/>
          <order val="1"/>
          <tx>
            <strRef>
              <f>'Charts'!C32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'Charts'!$A$33:$A$37</f>
            </numRef>
          </cat>
          <val>
            <numRef>
              <f>'Charts'!$C$33:$C$37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+0.0%;-0.0%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credit — past month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'Charts'!B41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'Charts'!$A$42:$A$46</f>
            </numRef>
          </cat>
          <val>
            <numRef>
              <f>'Charts'!$B$42:$B$46</f>
            </numRef>
          </val>
        </ser>
        <ser>
          <idx val="1"/>
          <order val="1"/>
          <tx>
            <strRef>
              <f>'Charts'!C41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'Charts'!$A$42:$A$46</f>
            </numRef>
          </cat>
          <val>
            <numRef>
              <f>'Charts'!$C$42:$C$46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credit — year to date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'Charts'!B50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'Charts'!$A$51:$A$55</f>
            </numRef>
          </cat>
          <val>
            <numRef>
              <f>'Charts'!$B$51:$B$55</f>
            </numRef>
          </val>
        </ser>
        <ser>
          <idx val="1"/>
          <order val="1"/>
          <tx>
            <strRef>
              <f>'Charts'!C50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'Charts'!$A$51:$A$55</f>
            </numRef>
          </cat>
          <val>
            <numRef>
              <f>'Charts'!$C$51:$C$55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Pass-through of the US move,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'Charts'!B59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solidFill>
                <a:srgbClr val="404040"/>
              </a:solidFill>
              <a:prstDash val="solid"/>
            </a:ln>
          </spPr>
          <cat>
            <numRef>
              <f>'Charts'!$A$60:$A$64</f>
            </numRef>
          </cat>
          <val>
            <numRef>
              <f>'Charts'!$B$60:$B$64</f>
            </numRef>
          </val>
        </ser>
        <ser>
          <idx val="1"/>
          <order val="1"/>
          <tx>
            <strRef>
              <f>'Charts'!C59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cat>
            <numRef>
              <f>'Charts'!$A$60:$A$64</f>
            </numRef>
          </cat>
          <val>
            <numRef>
              <f>'Charts'!$C$60:$C$64</f>
            </numRef>
          </val>
        </ser>
        <ser>
          <idx val="2"/>
          <order val="2"/>
          <tx>
            <strRef>
              <f>'Charts'!D59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'Charts'!$A$60:$A$64</f>
            </numRef>
          </cat>
          <val>
            <numRef>
              <f>'Charts'!$D$60:$D$64</f>
            </numRef>
          </val>
        </ser>
        <ser>
          <idx val="3"/>
          <order val="3"/>
          <tx>
            <strRef>
              <f>'Charts'!E59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'Charts'!$A$60:$A$64</f>
            </numRef>
          </cat>
          <val>
            <numRef>
              <f>'Charts'!$E$60:$E$64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 (1.0 = took the full US move)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credit: Treasuries as a share of the yield move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'Charts'!B68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solidFill>
                <a:srgbClr val="404040"/>
              </a:solidFill>
              <a:prstDash val="solid"/>
            </a:ln>
          </spPr>
          <cat>
            <numRef>
              <f>'Charts'!$A$69:$A$73</f>
            </numRef>
          </cat>
          <val>
            <numRef>
              <f>'Charts'!$B$69:$B$73</f>
            </numRef>
          </val>
        </ser>
        <ser>
          <idx val="1"/>
          <order val="1"/>
          <tx>
            <strRef>
              <f>'Charts'!C68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'Charts'!$A$69:$A$73</f>
            </numRef>
          </cat>
          <val>
            <numRef>
              <f>'Charts'!$C$69:$C$73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22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22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41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16</col>
      <colOff>0</colOff>
      <row>41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60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60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80" customWidth="1" min="4" max="4"/>
  </cols>
  <sheetData>
    <row r="1">
      <c r="A1" s="1" t="inlineStr">
        <is>
          <t>EM DECOMPOSITION  —  US factor vs intrinsic EM</t>
        </is>
      </c>
    </row>
    <row r="2">
      <c r="A2" s="2" t="inlineStr">
        <is>
          <t>Bloomberg-linked; every cell is a formula. Built for A. Rojas, UBS CIO Americas.</t>
        </is>
      </c>
    </row>
    <row r="4" ht="18" customHeight="1">
      <c r="A4" s="3" t="inlineStr">
        <is>
          <t>SETTINGS</t>
        </is>
      </c>
      <c r="B4" s="4" t="n"/>
      <c r="C4" s="4" t="n"/>
      <c r="D4" s="4" t="n"/>
    </row>
    <row r="6">
      <c r="A6" s="5" t="inlineStr">
        <is>
          <t>History start</t>
        </is>
      </c>
      <c r="B6" s="6">
        <f>EDATE(TODAY(),-38)</f>
        <v/>
      </c>
      <c r="D6" s="7" t="inlineStr">
        <is>
          <t>3y buffer so the 2y beta window is always full</t>
        </is>
      </c>
    </row>
    <row r="7">
      <c r="A7" s="5" t="inlineStr">
        <is>
          <t>History end</t>
        </is>
      </c>
      <c r="B7" s="6">
        <f>TODAY()</f>
        <v/>
      </c>
      <c r="D7" s="7" t="inlineStr"/>
    </row>
    <row r="8">
      <c r="A8" s="5" t="inlineStr">
        <is>
          <t>Daily observations pulled</t>
        </is>
      </c>
      <c r="B8" s="8" t="n">
        <v>784</v>
      </c>
      <c r="D8" s="7" t="inlineStr">
        <is>
          <t>HIST_D rows 8:791, newest first</t>
        </is>
      </c>
    </row>
    <row r="9">
      <c r="A9" s="5" t="inlineStr">
        <is>
          <t>bp per 1%</t>
        </is>
      </c>
      <c r="B9" s="8" t="n">
        <v>100</v>
      </c>
      <c r="D9" s="7" t="inlineStr"/>
    </row>
    <row r="10">
      <c r="A10" s="5" t="inlineStr">
        <is>
          <t>1M window (weekday obs back)</t>
        </is>
      </c>
      <c r="B10" s="8" t="n">
        <v>23</v>
      </c>
      <c r="D10" s="7" t="inlineStr">
        <is>
          <t>row offset in HIST_D; 23 = one calendar month</t>
        </is>
      </c>
    </row>
    <row r="11">
      <c r="A11" s="5" t="inlineStr">
        <is>
          <t>YTD window (weekday obs back)</t>
        </is>
      </c>
      <c r="B11" s="8">
        <f>NETWORKDAYS(DATE(YEAR(TODAY())-1,12,31),TODAY())</f>
        <v/>
      </c>
      <c r="D11" s="7" t="inlineStr">
        <is>
          <t>row offset to the prior year-end</t>
        </is>
      </c>
    </row>
    <row r="12">
      <c r="A12" s="5" t="inlineStr">
        <is>
          <t>Beta window (weekday obs)</t>
        </is>
      </c>
      <c r="B12" s="8" t="n">
        <v>523</v>
      </c>
      <c r="D12" s="7" t="inlineStr">
        <is>
          <t>2y of daily changes for every measured beta</t>
        </is>
      </c>
    </row>
    <row r="13">
      <c r="A13" s="5" t="inlineStr">
        <is>
          <t>Minimum US move to form a ratio (bp)</t>
        </is>
      </c>
      <c r="B13" s="8" t="n">
        <v>15</v>
      </c>
      <c r="D13" s="7" t="inlineStr">
        <is>
          <t>pass-through is suppressed as n/m below this</t>
        </is>
      </c>
    </row>
    <row r="14">
      <c r="A14" s="5" t="inlineStr">
        <is>
          <t>EM USD index modified duration (yrs)</t>
        </is>
      </c>
      <c r="B14" s="9" t="n">
        <v>6.6</v>
      </c>
      <c r="D14" s="7" t="inlineStr">
        <is>
          <t>INPUT — embi_tracker.py or Bbg DUR_ADJ_MID</t>
        </is>
      </c>
    </row>
    <row r="15">
      <c r="A15" s="5" t="inlineStr">
        <is>
          <t>EM USD index YTW (%)</t>
        </is>
      </c>
      <c r="B15" s="10" t="n">
        <v>6.55</v>
      </c>
      <c r="D15" s="7" t="inlineStr">
        <is>
          <t>INPUT — embi_tracker.py or INDEX_YIELD_TO_WORST</t>
        </is>
      </c>
    </row>
    <row r="16">
      <c r="A16" s="5" t="inlineStr">
        <is>
          <t>EMBIGD stripped spread now (bp)</t>
        </is>
      </c>
      <c r="B16" s="11" t="n">
        <v>208</v>
      </c>
      <c r="D16" s="7" t="inlineStr">
        <is>
          <t>INPUT — embi_tracker.py 'Dur Wgt STW (Trsy)'</t>
        </is>
      </c>
    </row>
    <row r="17">
      <c r="A17" s="5" t="inlineStr">
        <is>
          <t>EMBIGD stripped spread 1M ago (bp)</t>
        </is>
      </c>
      <c r="B17" s="11" t="n">
        <v>218</v>
      </c>
      <c r="D17" s="7" t="inlineStr">
        <is>
          <t>INPUT — chain-link across the 04-Sep-26 JPM break</t>
        </is>
      </c>
    </row>
    <row r="18">
      <c r="A18" s="5" t="inlineStr">
        <is>
          <t>EMBIGD stripped spread at prior year-end (bp)</t>
        </is>
      </c>
      <c r="B18" s="11" t="n"/>
      <c r="D18" s="7" t="inlineStr">
        <is>
          <t>INPUT — from EMBI_global_history.xlsx</t>
        </is>
      </c>
    </row>
    <row r="21" ht="18" customHeight="1">
      <c r="A21" s="3" t="inlineStr">
        <is>
          <t>THE ONE IDEA, APPLIED THREE TIMES</t>
        </is>
      </c>
      <c r="B21" s="4" t="n"/>
      <c r="C21" s="4" t="n"/>
      <c r="D21" s="4" t="n"/>
    </row>
    <row r="22">
      <c r="A22" s="7" t="inlineStr">
        <is>
          <t>total move  =  US-driven  +  intrinsic EM.   Same split on every tab.</t>
        </is>
      </c>
    </row>
    <row r="23">
      <c r="A23" s="7" t="inlineStr">
        <is>
          <t>Local rates:  d(local 10Y) = d(UST 10Y) + d(local less UST).  US-driven is the UST move; intrinsic is the change in the gap.</t>
        </is>
      </c>
    </row>
    <row r="24">
      <c r="A24" s="7" t="inlineStr">
        <is>
          <t>FX:  return on the EM currency = -(DXY return) + return ex-dollar.  US-driven is the dollar; intrinsic is what is left after the dollar.</t>
        </is>
      </c>
    </row>
    <row r="25">
      <c r="A25" s="7" t="inlineStr">
        <is>
          <t>USD credit:  d(UST 5Y + CDS 5Y) = d(UST 5Y) + d(CDS 5Y).  US-driven is Treasuries; intrinsic is the spread. This is exact.</t>
        </is>
      </c>
    </row>
    <row r="26">
      <c r="A26" s="7" t="inlineStr">
        <is>
          <t>The identity assumes a beta of one. Next to it, a measured 2y beta gives the move history would have predicted, and surprise = actual less predicted.</t>
        </is>
      </c>
    </row>
    <row r="27">
      <c r="A27" s="7" t="inlineStr">
        <is>
          <t>Pass-through (rates, FX) = total / US-driven: how much of the US move the market took. Under 1 = absorbed. US share (credit) = Treasuries / total yield move.</t>
        </is>
      </c>
    </row>
    <row r="28">
      <c r="A28" s="7" t="inlineStr">
        <is>
          <t>Region averages are equal-weighted over the flagged members only. Ratios on average rows are ratios of the averages, not averages of the ratios.</t>
        </is>
      </c>
    </row>
    <row r="29">
      <c r="A29" s="7" t="inlineStr">
        <is>
          <t>Turkiye is out of the rates and FX averages; Egypt out of FX; India has no CDS; the GCC has no local curve or floating currency. Each is shown, and each exclusion is written on the row.</t>
        </is>
      </c>
    </row>
    <row r="30">
      <c r="A30" s="7" t="inlineStr">
        <is>
          <t>South Africa is not in any of the four regions you named. It is a memo line in no average.</t>
        </is>
      </c>
    </row>
    <row r="31">
      <c r="A31" s="7" t="inlineStr">
        <is>
          <t>Blue = input. Green = link. Purple = Bloomberg pull. Black = computed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EM DECOMPOSITION  —  SUMMARY</t>
        </is>
      </c>
    </row>
    <row r="2">
      <c r="A2" s="2">
        <f>"As of "&amp;TEXT(INDEX(HIST_D!$A$8:$A$791,1),"d mmm yyyy")&amp;".  Every cell here is a link to the asset tabs."</f>
        <v/>
      </c>
    </row>
    <row r="4" ht="18" customHeight="1">
      <c r="A4" s="3" t="inlineStr">
        <is>
          <t>THE US MOVE  —  what EM was asked to absorb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40" customHeight="1">
      <c r="A5" s="12" t="inlineStr">
        <is>
          <t>Series</t>
        </is>
      </c>
      <c r="B5" s="12" t="inlineStr">
        <is>
          <t>Level</t>
        </is>
      </c>
      <c r="C5" s="12" t="inlineStr">
        <is>
          <t>d 1M</t>
        </is>
      </c>
      <c r="D5" s="12" t="inlineStr">
        <is>
          <t>d YTD</t>
        </is>
      </c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</row>
    <row r="6">
      <c r="A6" s="13" t="inlineStr">
        <is>
          <t>UST 2Y</t>
        </is>
      </c>
      <c r="B6" s="14">
        <f>INDEX(HIST_D!$B$8:$B$791,1)</f>
        <v/>
      </c>
      <c r="C6" s="15">
        <f>IFERROR((INDEX(HIST_D!$B$8:$B$791,1)-INDEX(HIST_D!$B$8:$B$791,Control!$B$10))*100,"")</f>
        <v/>
      </c>
      <c r="D6" s="15">
        <f>IFERROR((INDEX(HIST_D!$B$8:$B$791,1)-INDEX(HIST_D!$B$8:$B$791,Control!$B$11))*100,"")</f>
        <v/>
      </c>
    </row>
    <row r="7">
      <c r="A7" s="13" t="inlineStr">
        <is>
          <t>UST 5Y</t>
        </is>
      </c>
      <c r="B7" s="14">
        <f>INDEX(HIST_D!$C$8:$C$791,1)</f>
        <v/>
      </c>
      <c r="C7" s="15">
        <f>IFERROR((INDEX(HIST_D!$C$8:$C$791,1)-INDEX(HIST_D!$C$8:$C$791,Control!$B$10))*100,"")</f>
        <v/>
      </c>
      <c r="D7" s="15">
        <f>IFERROR((INDEX(HIST_D!$C$8:$C$791,1)-INDEX(HIST_D!$C$8:$C$791,Control!$B$11))*100,"")</f>
        <v/>
      </c>
    </row>
    <row r="8">
      <c r="A8" s="13" t="inlineStr">
        <is>
          <t>UST 10Y</t>
        </is>
      </c>
      <c r="B8" s="14">
        <f>INDEX(HIST_D!$D$8:$D$791,1)</f>
        <v/>
      </c>
      <c r="C8" s="15">
        <f>IFERROR((INDEX(HIST_D!$D$8:$D$791,1)-INDEX(HIST_D!$D$8:$D$791,Control!$B$10))*100,"")</f>
        <v/>
      </c>
      <c r="D8" s="15">
        <f>IFERROR((INDEX(HIST_D!$D$8:$D$791,1)-INDEX(HIST_D!$D$8:$D$791,Control!$B$11))*100,"")</f>
        <v/>
      </c>
    </row>
    <row r="9">
      <c r="A9" s="13" t="inlineStr">
        <is>
          <t>UST 30Y</t>
        </is>
      </c>
      <c r="B9" s="14">
        <f>INDEX(HIST_D!$E$8:$E$791,1)</f>
        <v/>
      </c>
      <c r="C9" s="15">
        <f>IFERROR((INDEX(HIST_D!$E$8:$E$791,1)-INDEX(HIST_D!$E$8:$E$791,Control!$B$10))*100,"")</f>
        <v/>
      </c>
      <c r="D9" s="15">
        <f>IFERROR((INDEX(HIST_D!$E$8:$E$791,1)-INDEX(HIST_D!$E$8:$E$791,Control!$B$11))*100,"")</f>
        <v/>
      </c>
    </row>
    <row r="10">
      <c r="A10" s="13" t="inlineStr">
        <is>
          <t>UST 10Y real</t>
        </is>
      </c>
      <c r="B10" s="14">
        <f>INDEX(HIST_D!$F$8:$F$791,1)</f>
        <v/>
      </c>
      <c r="C10" s="15">
        <f>IFERROR((INDEX(HIST_D!$F$8:$F$791,1)-INDEX(HIST_D!$F$8:$F$791,Control!$B$10))*100,"")</f>
        <v/>
      </c>
      <c r="D10" s="15">
        <f>IFERROR((INDEX(HIST_D!$F$8:$F$791,1)-INDEX(HIST_D!$F$8:$F$791,Control!$B$11))*100,"")</f>
        <v/>
      </c>
    </row>
    <row r="11">
      <c r="A11" s="13" t="inlineStr">
        <is>
          <t>Breakeven 10Y</t>
        </is>
      </c>
      <c r="B11" s="14">
        <f>INDEX(HIST_D!$G$8:$G$791,1)</f>
        <v/>
      </c>
      <c r="C11" s="15">
        <f>IFERROR((INDEX(HIST_D!$G$8:$G$791,1)-INDEX(HIST_D!$G$8:$G$791,Control!$B$10))*100,"")</f>
        <v/>
      </c>
      <c r="D11" s="15">
        <f>IFERROR((INDEX(HIST_D!$G$8:$G$791,1)-INDEX(HIST_D!$G$8:$G$791,Control!$B$11))*100,"")</f>
        <v/>
      </c>
    </row>
    <row r="12">
      <c r="A12" s="13" t="inlineStr">
        <is>
          <t>ACM term premium 10Y</t>
        </is>
      </c>
      <c r="B12" s="14">
        <f>INDEX(HIST_D!$H$8:$H$791,1)</f>
        <v/>
      </c>
      <c r="C12" s="15">
        <f>IFERROR((INDEX(HIST_D!$H$8:$H$791,1)-INDEX(HIST_D!$H$8:$H$791,Control!$B$10))*100,"")</f>
        <v/>
      </c>
      <c r="D12" s="15">
        <f>IFERROR((INDEX(HIST_D!$H$8:$H$791,1)-INDEX(HIST_D!$H$8:$H$791,Control!$B$11))*100,"")</f>
        <v/>
      </c>
    </row>
    <row r="13">
      <c r="A13" s="13" t="inlineStr">
        <is>
          <t>DXY</t>
        </is>
      </c>
      <c r="B13" s="16">
        <f>INDEX(HIST_D!$I$8:$I$791,1)</f>
        <v/>
      </c>
      <c r="C13" s="17">
        <f>IFERROR(INDEX(HIST_D!$I$8:$I$791,1)/INDEX(HIST_D!$I$8:$I$791,Control!$B$10)-1,"")</f>
        <v/>
      </c>
      <c r="D13" s="17">
        <f>IFERROR(INDEX(HIST_D!$I$8:$I$791,1)/INDEX(HIST_D!$I$8:$I$791,Control!$B$11)-1,"")</f>
        <v/>
      </c>
    </row>
    <row r="14">
      <c r="A14" s="13" t="inlineStr">
        <is>
          <t>EM USD Aggregate OAS (Bbg)</t>
        </is>
      </c>
      <c r="B14" s="16">
        <f>INDEX(HIST_D!$J$8:$J$791,1)</f>
        <v/>
      </c>
      <c r="C14" s="15">
        <f>IFERROR(INDEX(HIST_D!$J$8:$J$791,1)-INDEX(HIST_D!$J$8:$J$791,Control!$B$10),"")</f>
        <v/>
      </c>
      <c r="D14" s="15">
        <f>IFERROR(INDEX(HIST_D!$J$8:$J$791,1)-INDEX(HIST_D!$J$8:$J$791,Control!$B$11),"")</f>
        <v/>
      </c>
    </row>
    <row r="16" ht="18" customHeight="1">
      <c r="A16" s="3" t="inlineStr">
        <is>
          <t>PAST MONTH  —  total = US-driven + intrinsic, by region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40" customHeight="1">
      <c r="A17" s="12" t="inlineStr">
        <is>
          <t>Region</t>
        </is>
      </c>
      <c r="B17" s="12" t="inlineStr">
        <is>
          <t>Rates: total (bp)</t>
        </is>
      </c>
      <c r="C17" s="12" t="inlineStr">
        <is>
          <t>Rates: US (bp)</t>
        </is>
      </c>
      <c r="D17" s="12" t="inlineStr">
        <is>
          <t>Rates: intrinsic (bp)</t>
        </is>
      </c>
      <c r="E17" s="12" t="inlineStr">
        <is>
          <t>Rates: pass-through</t>
        </is>
      </c>
      <c r="F17" s="12" t="inlineStr">
        <is>
          <t>FX: total</t>
        </is>
      </c>
      <c r="G17" s="12" t="inlineStr">
        <is>
          <t>FX: US</t>
        </is>
      </c>
      <c r="H17" s="12" t="inlineStr">
        <is>
          <t>FX: intrinsic</t>
        </is>
      </c>
      <c r="I17" s="12" t="inlineStr">
        <is>
          <t>FX: pass-through</t>
        </is>
      </c>
      <c r="J17" s="12" t="inlineStr">
        <is>
          <t>Credit: total (bp)</t>
        </is>
      </c>
      <c r="K17" s="12" t="inlineStr">
        <is>
          <t>Credit: US (bp)</t>
        </is>
      </c>
      <c r="L17" s="12" t="inlineStr">
        <is>
          <t>Credit: spread (bp)</t>
        </is>
      </c>
      <c r="M17" s="12" t="inlineStr">
        <is>
          <t>Credit: US share</t>
        </is>
      </c>
    </row>
    <row r="18">
      <c r="A18" s="18" t="inlineStr">
        <is>
          <t>LatAm</t>
        </is>
      </c>
      <c r="B18" s="19">
        <f>Rates!$E$11</f>
        <v/>
      </c>
      <c r="C18" s="20">
        <f>Rates!$F$11</f>
        <v/>
      </c>
      <c r="D18" s="20">
        <f>Rates!$G$11</f>
        <v/>
      </c>
      <c r="E18" s="21">
        <f>Rates!$H$11</f>
        <v/>
      </c>
      <c r="F18" s="22">
        <f>FX!$E$11</f>
        <v/>
      </c>
      <c r="G18" s="23">
        <f>FX!$F$11</f>
        <v/>
      </c>
      <c r="H18" s="23">
        <f>FX!$G$11</f>
        <v/>
      </c>
      <c r="I18" s="21">
        <f>FX!$H$11</f>
        <v/>
      </c>
      <c r="J18" s="19">
        <f>Credit!$E$11</f>
        <v/>
      </c>
      <c r="K18" s="20">
        <f>Credit!$F$11</f>
        <v/>
      </c>
      <c r="L18" s="20">
        <f>Credit!$G$11</f>
        <v/>
      </c>
      <c r="M18" s="24">
        <f>Credit!$H$11</f>
        <v/>
      </c>
    </row>
    <row r="19">
      <c r="A19" s="18" t="inlineStr">
        <is>
          <t>EM Europe</t>
        </is>
      </c>
      <c r="B19" s="19">
        <f>Rates!$E$21</f>
        <v/>
      </c>
      <c r="C19" s="20">
        <f>Rates!$F$21</f>
        <v/>
      </c>
      <c r="D19" s="20">
        <f>Rates!$G$21</f>
        <v/>
      </c>
      <c r="E19" s="21">
        <f>Rates!$H$21</f>
        <v/>
      </c>
      <c r="F19" s="22">
        <f>FX!$E$21</f>
        <v/>
      </c>
      <c r="G19" s="23">
        <f>FX!$F$21</f>
        <v/>
      </c>
      <c r="H19" s="23">
        <f>FX!$G$21</f>
        <v/>
      </c>
      <c r="I19" s="21">
        <f>FX!$H$21</f>
        <v/>
      </c>
      <c r="J19" s="19">
        <f>Credit!$E$21</f>
        <v/>
      </c>
      <c r="K19" s="20">
        <f>Credit!$F$21</f>
        <v/>
      </c>
      <c r="L19" s="20">
        <f>Credit!$G$21</f>
        <v/>
      </c>
      <c r="M19" s="24">
        <f>Credit!$H$21</f>
        <v/>
      </c>
    </row>
    <row r="20">
      <c r="A20" s="18" t="inlineStr">
        <is>
          <t>Middle East</t>
        </is>
      </c>
      <c r="B20" s="19">
        <f>Rates!$E$28</f>
        <v/>
      </c>
      <c r="C20" s="20">
        <f>Rates!$F$28</f>
        <v/>
      </c>
      <c r="D20" s="20">
        <f>Rates!$G$28</f>
        <v/>
      </c>
      <c r="E20" s="21">
        <f>Rates!$H$28</f>
        <v/>
      </c>
      <c r="F20" s="22">
        <f>FX!$E$28</f>
        <v/>
      </c>
      <c r="G20" s="23">
        <f>FX!$F$28</f>
        <v/>
      </c>
      <c r="H20" s="23">
        <f>FX!$G$28</f>
        <v/>
      </c>
      <c r="I20" s="21">
        <f>FX!$H$28</f>
        <v/>
      </c>
      <c r="J20" s="19">
        <f>Credit!$E$31</f>
        <v/>
      </c>
      <c r="K20" s="20">
        <f>Credit!$F$31</f>
        <v/>
      </c>
      <c r="L20" s="20">
        <f>Credit!$G$31</f>
        <v/>
      </c>
      <c r="M20" s="24">
        <f>Credit!$H$31</f>
        <v/>
      </c>
    </row>
    <row r="21">
      <c r="A21" s="18" t="inlineStr">
        <is>
          <t>EM Asia</t>
        </is>
      </c>
      <c r="B21" s="19">
        <f>Rates!$E$40</f>
        <v/>
      </c>
      <c r="C21" s="20">
        <f>Rates!$F$40</f>
        <v/>
      </c>
      <c r="D21" s="20">
        <f>Rates!$G$40</f>
        <v/>
      </c>
      <c r="E21" s="21">
        <f>Rates!$H$40</f>
        <v/>
      </c>
      <c r="F21" s="22">
        <f>FX!$E$40</f>
        <v/>
      </c>
      <c r="G21" s="23">
        <f>FX!$F$40</f>
        <v/>
      </c>
      <c r="H21" s="23">
        <f>FX!$G$40</f>
        <v/>
      </c>
      <c r="I21" s="21">
        <f>FX!$H$40</f>
        <v/>
      </c>
      <c r="J21" s="19">
        <f>Credit!$E$42</f>
        <v/>
      </c>
      <c r="K21" s="20">
        <f>Credit!$F$42</f>
        <v/>
      </c>
      <c r="L21" s="20">
        <f>Credit!$G$42</f>
        <v/>
      </c>
      <c r="M21" s="24">
        <f>Credit!$H$42</f>
        <v/>
      </c>
    </row>
    <row r="22">
      <c r="A22" s="18" t="inlineStr">
        <is>
          <t>EM average</t>
        </is>
      </c>
      <c r="B22" s="19">
        <f>Rates!$E$45</f>
        <v/>
      </c>
      <c r="C22" s="20">
        <f>Rates!$F$45</f>
        <v/>
      </c>
      <c r="D22" s="20">
        <f>Rates!$G$45</f>
        <v/>
      </c>
      <c r="E22" s="21">
        <f>Rates!$H$45</f>
        <v/>
      </c>
      <c r="F22" s="22">
        <f>FX!$E$45</f>
        <v/>
      </c>
      <c r="G22" s="23">
        <f>FX!$F$45</f>
        <v/>
      </c>
      <c r="H22" s="23">
        <f>FX!$G$45</f>
        <v/>
      </c>
      <c r="I22" s="21">
        <f>FX!$H$45</f>
        <v/>
      </c>
      <c r="J22" s="19">
        <f>Credit!$E$47</f>
        <v/>
      </c>
      <c r="K22" s="20">
        <f>Credit!$F$47</f>
        <v/>
      </c>
      <c r="L22" s="20">
        <f>Credit!$G$47</f>
        <v/>
      </c>
      <c r="M22" s="24">
        <f>Credit!$H$47</f>
        <v/>
      </c>
    </row>
    <row r="23">
      <c r="A23" s="25" t="inlineStr">
        <is>
          <t>South Africa (memo)</t>
        </is>
      </c>
      <c r="B23" s="26">
        <f>Rates!$E$46</f>
        <v/>
      </c>
      <c r="C23" s="26">
        <f>Rates!$F$46</f>
        <v/>
      </c>
      <c r="D23" s="26">
        <f>Rates!$G$46</f>
        <v/>
      </c>
      <c r="E23" s="27">
        <f>Rates!$H$46</f>
        <v/>
      </c>
      <c r="F23" s="28">
        <f>FX!$E$46</f>
        <v/>
      </c>
      <c r="G23" s="28">
        <f>FX!$F$46</f>
        <v/>
      </c>
      <c r="H23" s="28">
        <f>FX!$G$46</f>
        <v/>
      </c>
      <c r="I23" s="27">
        <f>FX!$H$46</f>
        <v/>
      </c>
      <c r="J23" s="26">
        <f>Credit!$E$48</f>
        <v/>
      </c>
      <c r="K23" s="26">
        <f>Credit!$F$48</f>
        <v/>
      </c>
      <c r="L23" s="26">
        <f>Credit!$G$48</f>
        <v/>
      </c>
      <c r="M23" s="29">
        <f>Credit!$H$48</f>
        <v/>
      </c>
    </row>
    <row r="25" ht="18" customHeight="1">
      <c r="A25" s="3" t="inlineStr">
        <is>
          <t>YEAR TO DATE  —  total = US-driven + intrinsic, by region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40" customHeight="1">
      <c r="A26" s="12" t="inlineStr">
        <is>
          <t>Region</t>
        </is>
      </c>
      <c r="B26" s="12" t="inlineStr">
        <is>
          <t>Rates: total (bp)</t>
        </is>
      </c>
      <c r="C26" s="12" t="inlineStr">
        <is>
          <t>Rates: US (bp)</t>
        </is>
      </c>
      <c r="D26" s="12" t="inlineStr">
        <is>
          <t>Rates: intrinsic (bp)</t>
        </is>
      </c>
      <c r="E26" s="12" t="inlineStr">
        <is>
          <t>Rates: pass-through</t>
        </is>
      </c>
      <c r="F26" s="12" t="inlineStr">
        <is>
          <t>FX: total</t>
        </is>
      </c>
      <c r="G26" s="12" t="inlineStr">
        <is>
          <t>FX: US</t>
        </is>
      </c>
      <c r="H26" s="12" t="inlineStr">
        <is>
          <t>FX: intrinsic</t>
        </is>
      </c>
      <c r="I26" s="12" t="inlineStr">
        <is>
          <t>FX: pass-through</t>
        </is>
      </c>
      <c r="J26" s="12" t="inlineStr">
        <is>
          <t>Credit: total (bp)</t>
        </is>
      </c>
      <c r="K26" s="12" t="inlineStr">
        <is>
          <t>Credit: US (bp)</t>
        </is>
      </c>
      <c r="L26" s="12" t="inlineStr">
        <is>
          <t>Credit: spread (bp)</t>
        </is>
      </c>
      <c r="M26" s="12" t="inlineStr">
        <is>
          <t>Credit: US share</t>
        </is>
      </c>
    </row>
    <row r="27">
      <c r="A27" s="18" t="inlineStr">
        <is>
          <t>LatAm</t>
        </is>
      </c>
      <c r="B27" s="19">
        <f>Rates!$L$11</f>
        <v/>
      </c>
      <c r="C27" s="20">
        <f>Rates!$M$11</f>
        <v/>
      </c>
      <c r="D27" s="20">
        <f>Rates!$N$11</f>
        <v/>
      </c>
      <c r="E27" s="21">
        <f>Rates!$O$11</f>
        <v/>
      </c>
      <c r="F27" s="22">
        <f>FX!$L$11</f>
        <v/>
      </c>
      <c r="G27" s="23">
        <f>FX!$M$11</f>
        <v/>
      </c>
      <c r="H27" s="23">
        <f>FX!$N$11</f>
        <v/>
      </c>
      <c r="I27" s="21">
        <f>FX!$O$11</f>
        <v/>
      </c>
      <c r="J27" s="19">
        <f>Credit!$L$11</f>
        <v/>
      </c>
      <c r="K27" s="20">
        <f>Credit!$M$11</f>
        <v/>
      </c>
      <c r="L27" s="20">
        <f>Credit!$N$11</f>
        <v/>
      </c>
      <c r="M27" s="24">
        <f>Credit!$O$11</f>
        <v/>
      </c>
    </row>
    <row r="28">
      <c r="A28" s="18" t="inlineStr">
        <is>
          <t>EM Europe</t>
        </is>
      </c>
      <c r="B28" s="19">
        <f>Rates!$L$21</f>
        <v/>
      </c>
      <c r="C28" s="20">
        <f>Rates!$M$21</f>
        <v/>
      </c>
      <c r="D28" s="20">
        <f>Rates!$N$21</f>
        <v/>
      </c>
      <c r="E28" s="21">
        <f>Rates!$O$21</f>
        <v/>
      </c>
      <c r="F28" s="22">
        <f>FX!$L$21</f>
        <v/>
      </c>
      <c r="G28" s="23">
        <f>FX!$M$21</f>
        <v/>
      </c>
      <c r="H28" s="23">
        <f>FX!$N$21</f>
        <v/>
      </c>
      <c r="I28" s="21">
        <f>FX!$O$21</f>
        <v/>
      </c>
      <c r="J28" s="19">
        <f>Credit!$L$21</f>
        <v/>
      </c>
      <c r="K28" s="20">
        <f>Credit!$M$21</f>
        <v/>
      </c>
      <c r="L28" s="20">
        <f>Credit!$N$21</f>
        <v/>
      </c>
      <c r="M28" s="24">
        <f>Credit!$O$21</f>
        <v/>
      </c>
    </row>
    <row r="29">
      <c r="A29" s="18" t="inlineStr">
        <is>
          <t>Middle East</t>
        </is>
      </c>
      <c r="B29" s="19">
        <f>Rates!$L$28</f>
        <v/>
      </c>
      <c r="C29" s="20">
        <f>Rates!$M$28</f>
        <v/>
      </c>
      <c r="D29" s="20">
        <f>Rates!$N$28</f>
        <v/>
      </c>
      <c r="E29" s="21">
        <f>Rates!$O$28</f>
        <v/>
      </c>
      <c r="F29" s="22">
        <f>FX!$L$28</f>
        <v/>
      </c>
      <c r="G29" s="23">
        <f>FX!$M$28</f>
        <v/>
      </c>
      <c r="H29" s="23">
        <f>FX!$N$28</f>
        <v/>
      </c>
      <c r="I29" s="21">
        <f>FX!$O$28</f>
        <v/>
      </c>
      <c r="J29" s="19">
        <f>Credit!$L$31</f>
        <v/>
      </c>
      <c r="K29" s="20">
        <f>Credit!$M$31</f>
        <v/>
      </c>
      <c r="L29" s="20">
        <f>Credit!$N$31</f>
        <v/>
      </c>
      <c r="M29" s="24">
        <f>Credit!$O$31</f>
        <v/>
      </c>
    </row>
    <row r="30">
      <c r="A30" s="18" t="inlineStr">
        <is>
          <t>EM Asia</t>
        </is>
      </c>
      <c r="B30" s="19">
        <f>Rates!$L$40</f>
        <v/>
      </c>
      <c r="C30" s="20">
        <f>Rates!$M$40</f>
        <v/>
      </c>
      <c r="D30" s="20">
        <f>Rates!$N$40</f>
        <v/>
      </c>
      <c r="E30" s="21">
        <f>Rates!$O$40</f>
        <v/>
      </c>
      <c r="F30" s="22">
        <f>FX!$L$40</f>
        <v/>
      </c>
      <c r="G30" s="23">
        <f>FX!$M$40</f>
        <v/>
      </c>
      <c r="H30" s="23">
        <f>FX!$N$40</f>
        <v/>
      </c>
      <c r="I30" s="21">
        <f>FX!$O$40</f>
        <v/>
      </c>
      <c r="J30" s="19">
        <f>Credit!$L$42</f>
        <v/>
      </c>
      <c r="K30" s="20">
        <f>Credit!$M$42</f>
        <v/>
      </c>
      <c r="L30" s="20">
        <f>Credit!$N$42</f>
        <v/>
      </c>
      <c r="M30" s="24">
        <f>Credit!$O$42</f>
        <v/>
      </c>
    </row>
    <row r="31">
      <c r="A31" s="18" t="inlineStr">
        <is>
          <t>EM average</t>
        </is>
      </c>
      <c r="B31" s="19">
        <f>Rates!$L$45</f>
        <v/>
      </c>
      <c r="C31" s="20">
        <f>Rates!$M$45</f>
        <v/>
      </c>
      <c r="D31" s="20">
        <f>Rates!$N$45</f>
        <v/>
      </c>
      <c r="E31" s="21">
        <f>Rates!$O$45</f>
        <v/>
      </c>
      <c r="F31" s="22">
        <f>FX!$L$45</f>
        <v/>
      </c>
      <c r="G31" s="23">
        <f>FX!$M$45</f>
        <v/>
      </c>
      <c r="H31" s="23">
        <f>FX!$N$45</f>
        <v/>
      </c>
      <c r="I31" s="21">
        <f>FX!$O$45</f>
        <v/>
      </c>
      <c r="J31" s="19">
        <f>Credit!$L$47</f>
        <v/>
      </c>
      <c r="K31" s="20">
        <f>Credit!$M$47</f>
        <v/>
      </c>
      <c r="L31" s="20">
        <f>Credit!$N$47</f>
        <v/>
      </c>
      <c r="M31" s="24">
        <f>Credit!$O$47</f>
        <v/>
      </c>
    </row>
    <row r="32">
      <c r="A32" s="25" t="inlineStr">
        <is>
          <t>South Africa (memo)</t>
        </is>
      </c>
      <c r="B32" s="26">
        <f>Rates!$L$46</f>
        <v/>
      </c>
      <c r="C32" s="26">
        <f>Rates!$M$46</f>
        <v/>
      </c>
      <c r="D32" s="26">
        <f>Rates!$N$46</f>
        <v/>
      </c>
      <c r="E32" s="27">
        <f>Rates!$O$46</f>
        <v/>
      </c>
      <c r="F32" s="28">
        <f>FX!$L$46</f>
        <v/>
      </c>
      <c r="G32" s="28">
        <f>FX!$M$46</f>
        <v/>
      </c>
      <c r="H32" s="28">
        <f>FX!$N$46</f>
        <v/>
      </c>
      <c r="I32" s="27">
        <f>FX!$O$46</f>
        <v/>
      </c>
      <c r="J32" s="26">
        <f>Credit!$L$48</f>
        <v/>
      </c>
      <c r="K32" s="26">
        <f>Credit!$M$48</f>
        <v/>
      </c>
      <c r="L32" s="26">
        <f>Credit!$N$48</f>
        <v/>
      </c>
      <c r="M32" s="29">
        <f>Credit!$O$48</f>
        <v/>
      </c>
    </row>
    <row r="34" ht="18" customHeight="1">
      <c r="A34" s="3" t="inlineStr">
        <is>
          <t>WHERE THE US MOVE LANDED  —  pass-through by asset class and region (1M | YTD)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40" customHeight="1">
      <c r="A35" s="12" t="inlineStr">
        <is>
          <t>Region</t>
        </is>
      </c>
      <c r="B35" s="12" t="inlineStr">
        <is>
          <t>Rates 1M</t>
        </is>
      </c>
      <c r="C35" s="12" t="inlineStr">
        <is>
          <t>FX 1M</t>
        </is>
      </c>
      <c r="D35" s="12" t="inlineStr">
        <is>
          <t>Credit US share 1M</t>
        </is>
      </c>
      <c r="E35" s="12" t="inlineStr"/>
      <c r="F35" s="12" t="inlineStr">
        <is>
          <t>Rates YTD</t>
        </is>
      </c>
      <c r="G35" s="12" t="inlineStr">
        <is>
          <t>FX YTD</t>
        </is>
      </c>
      <c r="H35" s="12" t="inlineStr">
        <is>
          <t>Credit US share YTD</t>
        </is>
      </c>
      <c r="I35" s="12" t="inlineStr"/>
      <c r="J35" s="12" t="inlineStr"/>
      <c r="K35" s="12" t="inlineStr"/>
      <c r="L35" s="12" t="inlineStr"/>
      <c r="M35" s="12" t="inlineStr"/>
    </row>
    <row r="36">
      <c r="A36" s="18" t="inlineStr">
        <is>
          <t>LatAm</t>
        </is>
      </c>
      <c r="B36" s="21">
        <f>$E$18</f>
        <v/>
      </c>
      <c r="C36" s="21">
        <f>$I$18</f>
        <v/>
      </c>
      <c r="D36" s="24">
        <f>$M$18</f>
        <v/>
      </c>
      <c r="F36" s="21">
        <f>$E$27</f>
        <v/>
      </c>
      <c r="G36" s="21">
        <f>$I$27</f>
        <v/>
      </c>
      <c r="H36" s="24">
        <f>$M$27</f>
        <v/>
      </c>
    </row>
    <row r="37">
      <c r="A37" s="18" t="inlineStr">
        <is>
          <t>EM Europe</t>
        </is>
      </c>
      <c r="B37" s="21">
        <f>$E$19</f>
        <v/>
      </c>
      <c r="C37" s="21">
        <f>$I$19</f>
        <v/>
      </c>
      <c r="D37" s="24">
        <f>$M$19</f>
        <v/>
      </c>
      <c r="F37" s="21">
        <f>$E$28</f>
        <v/>
      </c>
      <c r="G37" s="21">
        <f>$I$28</f>
        <v/>
      </c>
      <c r="H37" s="24">
        <f>$M$28</f>
        <v/>
      </c>
    </row>
    <row r="38">
      <c r="A38" s="18" t="inlineStr">
        <is>
          <t>Middle East</t>
        </is>
      </c>
      <c r="B38" s="21">
        <f>$E$20</f>
        <v/>
      </c>
      <c r="C38" s="21">
        <f>$I$20</f>
        <v/>
      </c>
      <c r="D38" s="24">
        <f>$M$20</f>
        <v/>
      </c>
      <c r="F38" s="21">
        <f>$E$29</f>
        <v/>
      </c>
      <c r="G38" s="21">
        <f>$I$29</f>
        <v/>
      </c>
      <c r="H38" s="24">
        <f>$M$29</f>
        <v/>
      </c>
    </row>
    <row r="39">
      <c r="A39" s="18" t="inlineStr">
        <is>
          <t>EM Asia</t>
        </is>
      </c>
      <c r="B39" s="21">
        <f>$E$21</f>
        <v/>
      </c>
      <c r="C39" s="21">
        <f>$I$21</f>
        <v/>
      </c>
      <c r="D39" s="24">
        <f>$M$21</f>
        <v/>
      </c>
      <c r="F39" s="21">
        <f>$E$30</f>
        <v/>
      </c>
      <c r="G39" s="21">
        <f>$I$30</f>
        <v/>
      </c>
      <c r="H39" s="24">
        <f>$M$30</f>
        <v/>
      </c>
    </row>
    <row r="40">
      <c r="A40" s="18" t="inlineStr">
        <is>
          <t>EM average</t>
        </is>
      </c>
      <c r="B40" s="21">
        <f>$E$22</f>
        <v/>
      </c>
      <c r="C40" s="21">
        <f>$I$22</f>
        <v/>
      </c>
      <c r="D40" s="24">
        <f>$M$22</f>
        <v/>
      </c>
      <c r="F40" s="21">
        <f>$E$31</f>
        <v/>
      </c>
      <c r="G40" s="21">
        <f>$I$31</f>
        <v/>
      </c>
      <c r="H40" s="24">
        <f>$M$31</f>
        <v/>
      </c>
    </row>
    <row r="41">
      <c r="A41" s="7" t="inlineStr">
        <is>
          <t>Read across a row: the asset class with the lower pass-through is the one that absorbed more. Read down a column: the region with the lower number absorbed more. Rates and FX are pass-through (under 1 = absorbed). Credit is the share of the yield move that is Treasuries (near 100% = all US, spreads did nothing).</t>
        </is>
      </c>
    </row>
    <row r="43" ht="18" customHeight="1">
      <c r="A43" s="3" t="inlineStr">
        <is>
          <t>EM USD CREDIT  —  the index return, leg by leg.  Never netted.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40" customHeight="1">
      <c r="A44" s="12" t="inlineStr">
        <is>
          <t>Component</t>
        </is>
      </c>
      <c r="B44" s="12" t="inlineStr">
        <is>
          <t>1M</t>
        </is>
      </c>
      <c r="C44" s="12" t="inlineStr">
        <is>
          <t>YTD</t>
        </is>
      </c>
      <c r="D44" s="12" t="inlineStr">
        <is>
          <t>Note</t>
        </is>
      </c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</row>
    <row r="45">
      <c r="A45" s="13" t="inlineStr">
        <is>
          <t>Carry (YTW x window / 262)</t>
        </is>
      </c>
      <c r="B45" s="30">
        <f>IFERROR(Control!$B$15/100*(Control!$B$10-1)/262,"")</f>
        <v/>
      </c>
      <c r="C45" s="30">
        <f>IFERROR(Control!$B$15/100*(Control!$B$11-1)/262,"")</f>
        <v/>
      </c>
      <c r="D45" s="7" t="inlineStr">
        <is>
          <t>YTW from Control</t>
        </is>
      </c>
    </row>
    <row r="46">
      <c r="A46" s="13" t="inlineStr">
        <is>
          <t>Rates leg vs UST 10Y (-D x d UST)</t>
        </is>
      </c>
      <c r="B46" s="30">
        <f>IFERROR(-Control!$B$14*$C$8/10000,"")</f>
        <v/>
      </c>
      <c r="C46" s="30">
        <f>IFERROR(-Control!$B$14*$D$8/10000,"")</f>
        <v/>
      </c>
      <c r="D46" s="7" t="inlineStr">
        <is>
          <t>US factor</t>
        </is>
      </c>
    </row>
    <row r="47">
      <c r="A47" s="13" t="inlineStr">
        <is>
          <t>Rates leg vs UST 5Y (-D x d UST)</t>
        </is>
      </c>
      <c r="B47" s="30">
        <f>IFERROR(-Control!$B$14*$C$7/10000,"")</f>
        <v/>
      </c>
      <c r="C47" s="30">
        <f>IFERROR(-Control!$B$14*$D$7/10000,"")</f>
        <v/>
      </c>
      <c r="D47" s="7" t="inlineStr">
        <is>
          <t>US factor, shorter reference</t>
        </is>
      </c>
    </row>
    <row r="48">
      <c r="A48" s="13" t="inlineStr">
        <is>
          <t>Spread leg (-D x d EMBIGD stripped spread)</t>
        </is>
      </c>
      <c r="B48" s="30">
        <f>IFERROR(-Control!$B$14*(Control!$B$16-Control!$B$17)/10000,"")</f>
        <v/>
      </c>
      <c r="C48" s="30">
        <f>IF(Control!$B$18="","",-Control!$B$14*(Control!$B$16-Control!$B$18)/10000)</f>
        <v/>
      </c>
      <c r="D48" s="7" t="inlineStr">
        <is>
          <t>intrinsic EM; from embi_tracker.py inputs on Control</t>
        </is>
      </c>
    </row>
    <row r="49">
      <c r="A49" s="13" t="inlineStr">
        <is>
          <t>Spread leg, Bbg EM USD Agg OAS instead</t>
        </is>
      </c>
      <c r="B49" s="30">
        <f>IFERROR(-Control!$B$14*(INDEX(HIST_D!$J$8:$J$791,1)-INDEX(HIST_D!$J$8:$J$791,Control!$B$10))/10000,"")</f>
        <v/>
      </c>
      <c r="C49" s="30">
        <f>IFERROR(-Control!$B$14*(INDEX(HIST_D!$J$8:$J$791,1)-INDEX(HIST_D!$J$8:$J$791,Control!$B$11))/10000,"")</f>
        <v/>
      </c>
      <c r="D49" s="7" t="inlineStr">
        <is>
          <t>cross-check on a live Bloomberg series</t>
        </is>
      </c>
    </row>
    <row r="50">
      <c r="A50" s="18" t="inlineStr">
        <is>
          <t>Sum: carry + rates (10Y) + spread (EMBIGD)</t>
        </is>
      </c>
      <c r="B50" s="31">
        <f>IFERROR($B$45+$B$46+$B$48,"")</f>
        <v/>
      </c>
      <c r="C50" s="31">
        <f>IF($C$48="","",$C$45+$C$46+$C$48)</f>
        <v/>
      </c>
      <c r="D50" s="7" t="inlineStr"/>
    </row>
    <row r="51">
      <c r="A51" s="13" t="inlineStr">
        <is>
          <t>Realised: Bbg EM USD Aggregate TR</t>
        </is>
      </c>
      <c r="B51" s="30">
        <f>IFERROR(INDEX(HIST_D!$K$8:$K$791,1)/INDEX(HIST_D!$K$8:$K$791,Control!$B$10)-1,"")</f>
        <v/>
      </c>
      <c r="C51" s="30">
        <f>IFERROR(INDEX(HIST_D!$K$8:$K$791,1)/INDEX(HIST_D!$K$8:$K$791,Control!$B$11)-1,"")</f>
        <v/>
      </c>
      <c r="D51" s="7" t="inlineStr">
        <is>
          <t>from the TR index, not derived</t>
        </is>
      </c>
    </row>
    <row r="52">
      <c r="A52" s="25" t="inlineStr">
        <is>
          <t>Residual (realised less sum)</t>
        </is>
      </c>
      <c r="B52" s="32">
        <f>IFERROR($B$51-$B$50,"")</f>
        <v/>
      </c>
      <c r="C52" s="32">
        <f>IF($C$50="","",$C$51-$C$50)</f>
        <v/>
      </c>
      <c r="D52" s="7" t="inlineStr">
        <is>
          <t>what the decomposition does not explain</t>
        </is>
      </c>
    </row>
    <row r="54">
      <c r="A54" s="7" t="inlineStr">
        <is>
          <t>Read: if the rates leg is the bulk of a negative month and the spread leg is flat or positive, EM USD credit is being repriced for US duration, not for EM risk — and the carry keeps accruing underneath.</t>
        </is>
      </c>
    </row>
    <row r="56" ht="18" customHeight="1">
      <c r="A56" s="3" t="inlineStr">
        <is>
          <t>CONCLUSION  —  generated from the cells above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>
        <f>IFERROR("US: over the past month UST 10Y "&amp;TEXT($C$8,"+0;-0")&amp;"bp, UST 5Y "&amp;TEXT($C$7,"+0;-0")&amp;"bp, DXY "&amp;TEXT($C$13,"+0.0%;-0.0%")&amp;". YTD: UST 10Y "&amp;TEXT($D$8,"+0;-0")&amp;"bp, DXY "&amp;TEXT($D$13,"+0.0%;-0.0%")&amp;".","")</f>
        <v/>
      </c>
    </row>
    <row r="58">
      <c r="A58" s="5">
        <f>IFERROR("EM local rates: the average local 10Y moved "&amp;TEXT($B$22,"+0;-0")&amp;"bp on the month, of which "&amp;TEXT($C$22,"+0;-0")&amp;"bp is the US move and "&amp;TEXT($D$22,"+0;-0")&amp;"bp is intrinsic"&amp;IF(ISNUMBER($E$22),"; pass-through "&amp;TEXT($E$22,"0.00")&amp;"x","")&amp;". YTD "&amp;TEXT($B$31,"+0;-0")&amp;"bp, intrinsic "&amp;TEXT($D$31,"+0;-0")&amp;"bp.","")</f>
        <v/>
      </c>
    </row>
    <row r="59">
      <c r="A59" s="5">
        <f>IFERROR("EM FX: the average currency returned "&amp;TEXT($F$22,"+0.0%;-0.0%")&amp;" on the month against a dollar-implied "&amp;TEXT($G$22,"+0.0%;-0.0%")&amp;", so "&amp;TEXT($H$22,"+0.0%;-0.0%")&amp;" is ex-dollar. YTD "&amp;TEXT($F$31,"+0.0%;-0.0%")&amp;", ex-dollar "&amp;TEXT($H$31,"+0.0%;-0.0%")&amp;".","")</f>
        <v/>
      </c>
    </row>
    <row r="60">
      <c r="A60" s="5">
        <f>IFERROR("EM USD credit: the 5y yield proxy moved "&amp;TEXT($J$22,"+0;-0")&amp;"bp on the month — "&amp;TEXT($K$22,"+0;-0")&amp;"bp Treasuries and "&amp;TEXT($L$22,"+0;-0")&amp;"bp spread"&amp;IF(ISNUMBER($M$22),", "&amp;TEXT($M$22,"0%")&amp;" US","")&amp;". YTD "&amp;TEXT($J$31,"+0;-0")&amp;"bp: "&amp;TEXT($K$31,"+0;-0")&amp;"bp Treasuries, "&amp;TEXT($L$31,"+0;-0")&amp;"bp spread. Index-level: rates leg "&amp;TEXT($B$46,"+0.00%;-0.00%")&amp;", spread leg "&amp;TEXT($B$48,"+0.00%;-0.00%")&amp;".","")</f>
        <v/>
      </c>
    </row>
    <row r="61">
      <c r="A61" s="33">
        <f>IFERROR("Verdict: "&amp;IF(AND($L$22&lt;=0,$D$22&lt;=0,$H$22&gt;=-0.005),"on every leg the intrinsic EM component is flat or favourable while the US component carries the move. The asset class has digested it.",IF(AND($L$22&lt;=5,$D$22&lt;=10),"the US component carries the move in rates and credit; FX is the leg to watch. Largely digested.","the intrinsic EM component is doing real work on at least one leg — this is not purely a US story, and the digestion claim needs qualifying by region.")),"")</f>
        <v/>
      </c>
    </row>
    <row r="63">
      <c r="A63" s="7" t="inlineStr">
        <is>
          <t>Per-region reads are on the bottom of each asset tab. Region-level 'which asset class took more' is the pass-through grid above.</t>
        </is>
      </c>
    </row>
  </sheetData>
  <conditionalFormatting sqref="D18:D23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18:H23">
    <cfRule type="colorScale" priority="2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L18:L23">
    <cfRule type="colorScale" priority="3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M18:M23">
    <cfRule type="colorScale" priority="4">
      <colorScale>
        <cfvo type="num" val="0"/>
        <cfvo type="num" val="1"/>
        <color rgb="00FFFFFF"/>
        <color rgb="009BC2E6"/>
      </colorScale>
    </cfRule>
  </conditionalFormatting>
  <conditionalFormatting sqref="D27:D32">
    <cfRule type="colorScale" priority="5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27:H32">
    <cfRule type="colorScale" priority="6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L27:L32">
    <cfRule type="colorScale" priority="7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M27:M32">
    <cfRule type="colorScale" priority="8">
      <colorScale>
        <cfvo type="num" val="0"/>
        <cfvo type="num" val="1"/>
        <color rgb="00FFFFFF"/>
        <color rgb="009BC2E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3" customWidth="1" min="5" max="5"/>
  </cols>
  <sheetData>
    <row r="1">
      <c r="A1" s="1" t="inlineStr">
        <is>
          <t>CHARTS  —  the decomposition, by region and EM average</t>
        </is>
      </c>
    </row>
    <row r="2">
      <c r="A2" s="2" t="inlineStr">
        <is>
          <t>Each bar is the total move; the two segments are the US-driven part (grey) and the intrinsic EM part (blue). Segments with opposite signs sit on either side of zero, so a short bar with two long segments means EM offset the US. Data blocks on the left are links to Summary; the charts read the blocks.</t>
        </is>
      </c>
    </row>
    <row r="4">
      <c r="A4" s="33" t="inlineStr">
        <is>
          <t>Local rates — past month (bp)</t>
        </is>
      </c>
    </row>
    <row r="5" ht="40" customHeight="1">
      <c r="A5" s="12" t="inlineStr">
        <is>
          <t>Region</t>
        </is>
      </c>
      <c r="B5" s="12" t="inlineStr">
        <is>
          <t>US-driven</t>
        </is>
      </c>
      <c r="C5" s="12" t="inlineStr">
        <is>
          <t>Intrinsic EM</t>
        </is>
      </c>
      <c r="D5" s="12" t="inlineStr">
        <is>
          <t>Total</t>
        </is>
      </c>
    </row>
    <row r="6">
      <c r="A6" s="13" t="inlineStr">
        <is>
          <t>LatAm</t>
        </is>
      </c>
      <c r="B6" s="20">
        <f>IF(ISNUMBER(Summary!$C$18),Summary!$C$18,0)</f>
        <v/>
      </c>
      <c r="C6" s="20">
        <f>IF(ISNUMBER(Summary!$D$18),Summary!$D$18,0)</f>
        <v/>
      </c>
      <c r="D6" s="34">
        <f>B6+C6</f>
        <v/>
      </c>
    </row>
    <row r="7">
      <c r="A7" s="13" t="inlineStr">
        <is>
          <t>EM Europe</t>
        </is>
      </c>
      <c r="B7" s="20">
        <f>IF(ISNUMBER(Summary!$C$19),Summary!$C$19,0)</f>
        <v/>
      </c>
      <c r="C7" s="20">
        <f>IF(ISNUMBER(Summary!$D$19),Summary!$D$19,0)</f>
        <v/>
      </c>
      <c r="D7" s="34">
        <f>B7+C7</f>
        <v/>
      </c>
    </row>
    <row r="8">
      <c r="A8" s="13" t="inlineStr">
        <is>
          <t>Middle East</t>
        </is>
      </c>
      <c r="B8" s="20">
        <f>IF(ISNUMBER(Summary!$C$20),Summary!$C$20,0)</f>
        <v/>
      </c>
      <c r="C8" s="20">
        <f>IF(ISNUMBER(Summary!$D$20),Summary!$D$20,0)</f>
        <v/>
      </c>
      <c r="D8" s="34">
        <f>B8+C8</f>
        <v/>
      </c>
    </row>
    <row r="9">
      <c r="A9" s="13" t="inlineStr">
        <is>
          <t>EM Asia</t>
        </is>
      </c>
      <c r="B9" s="20">
        <f>IF(ISNUMBER(Summary!$C$21),Summary!$C$21,0)</f>
        <v/>
      </c>
      <c r="C9" s="20">
        <f>IF(ISNUMBER(Summary!$D$21),Summary!$D$21,0)</f>
        <v/>
      </c>
      <c r="D9" s="34">
        <f>B9+C9</f>
        <v/>
      </c>
    </row>
    <row r="10">
      <c r="A10" s="13" t="inlineStr">
        <is>
          <t>EM average</t>
        </is>
      </c>
      <c r="B10" s="20">
        <f>IF(ISNUMBER(Summary!$C$22),Summary!$C$22,0)</f>
        <v/>
      </c>
      <c r="C10" s="20">
        <f>IF(ISNUMBER(Summary!$D$22),Summary!$D$22,0)</f>
        <v/>
      </c>
      <c r="D10" s="34">
        <f>B10+C10</f>
        <v/>
      </c>
    </row>
    <row r="13">
      <c r="A13" s="33" t="inlineStr">
        <is>
          <t>Local rates — year to date (bp)</t>
        </is>
      </c>
    </row>
    <row r="14" ht="40" customHeight="1">
      <c r="A14" s="12" t="inlineStr">
        <is>
          <t>Region</t>
        </is>
      </c>
      <c r="B14" s="12" t="inlineStr">
        <is>
          <t>US-driven</t>
        </is>
      </c>
      <c r="C14" s="12" t="inlineStr">
        <is>
          <t>Intrinsic EM</t>
        </is>
      </c>
      <c r="D14" s="12" t="inlineStr">
        <is>
          <t>Total</t>
        </is>
      </c>
    </row>
    <row r="15">
      <c r="A15" s="13" t="inlineStr">
        <is>
          <t>LatAm</t>
        </is>
      </c>
      <c r="B15" s="20">
        <f>IF(ISNUMBER(Summary!$C$27),Summary!$C$27,0)</f>
        <v/>
      </c>
      <c r="C15" s="20">
        <f>IF(ISNUMBER(Summary!$D$27),Summary!$D$27,0)</f>
        <v/>
      </c>
      <c r="D15" s="34">
        <f>B15+C15</f>
        <v/>
      </c>
    </row>
    <row r="16">
      <c r="A16" s="13" t="inlineStr">
        <is>
          <t>EM Europe</t>
        </is>
      </c>
      <c r="B16" s="20">
        <f>IF(ISNUMBER(Summary!$C$28),Summary!$C$28,0)</f>
        <v/>
      </c>
      <c r="C16" s="20">
        <f>IF(ISNUMBER(Summary!$D$28),Summary!$D$28,0)</f>
        <v/>
      </c>
      <c r="D16" s="34">
        <f>B16+C16</f>
        <v/>
      </c>
    </row>
    <row r="17">
      <c r="A17" s="13" t="inlineStr">
        <is>
          <t>Middle East</t>
        </is>
      </c>
      <c r="B17" s="20">
        <f>IF(ISNUMBER(Summary!$C$29),Summary!$C$29,0)</f>
        <v/>
      </c>
      <c r="C17" s="20">
        <f>IF(ISNUMBER(Summary!$D$29),Summary!$D$29,0)</f>
        <v/>
      </c>
      <c r="D17" s="34">
        <f>B17+C17</f>
        <v/>
      </c>
    </row>
    <row r="18">
      <c r="A18" s="13" t="inlineStr">
        <is>
          <t>EM Asia</t>
        </is>
      </c>
      <c r="B18" s="20">
        <f>IF(ISNUMBER(Summary!$C$30),Summary!$C$30,0)</f>
        <v/>
      </c>
      <c r="C18" s="20">
        <f>IF(ISNUMBER(Summary!$D$30),Summary!$D$30,0)</f>
        <v/>
      </c>
      <c r="D18" s="34">
        <f>B18+C18</f>
        <v/>
      </c>
    </row>
    <row r="19">
      <c r="A19" s="13" t="inlineStr">
        <is>
          <t>EM average</t>
        </is>
      </c>
      <c r="B19" s="20">
        <f>IF(ISNUMBER(Summary!$C$31),Summary!$C$31,0)</f>
        <v/>
      </c>
      <c r="C19" s="20">
        <f>IF(ISNUMBER(Summary!$D$31),Summary!$D$31,0)</f>
        <v/>
      </c>
      <c r="D19" s="34">
        <f>B19+C19</f>
        <v/>
      </c>
    </row>
    <row r="22">
      <c r="A22" s="33" t="inlineStr">
        <is>
          <t>FX — past month (return on EM ccy)</t>
        </is>
      </c>
    </row>
    <row r="23" ht="40" customHeight="1">
      <c r="A23" s="12" t="inlineStr">
        <is>
          <t>Region</t>
        </is>
      </c>
      <c r="B23" s="12" t="inlineStr">
        <is>
          <t>US-driven</t>
        </is>
      </c>
      <c r="C23" s="12" t="inlineStr">
        <is>
          <t>Intrinsic EM</t>
        </is>
      </c>
      <c r="D23" s="12" t="inlineStr">
        <is>
          <t>Total</t>
        </is>
      </c>
    </row>
    <row r="24">
      <c r="A24" s="13" t="inlineStr">
        <is>
          <t>LatAm</t>
        </is>
      </c>
      <c r="B24" s="23">
        <f>IF(ISNUMBER(Summary!$G$18),Summary!$G$18,0)</f>
        <v/>
      </c>
      <c r="C24" s="23">
        <f>IF(ISNUMBER(Summary!$H$18),Summary!$H$18,0)</f>
        <v/>
      </c>
      <c r="D24" s="35">
        <f>B24+C24</f>
        <v/>
      </c>
    </row>
    <row r="25">
      <c r="A25" s="13" t="inlineStr">
        <is>
          <t>EM Europe</t>
        </is>
      </c>
      <c r="B25" s="23">
        <f>IF(ISNUMBER(Summary!$G$19),Summary!$G$19,0)</f>
        <v/>
      </c>
      <c r="C25" s="23">
        <f>IF(ISNUMBER(Summary!$H$19),Summary!$H$19,0)</f>
        <v/>
      </c>
      <c r="D25" s="35">
        <f>B25+C25</f>
        <v/>
      </c>
    </row>
    <row r="26">
      <c r="A26" s="13" t="inlineStr">
        <is>
          <t>Middle East</t>
        </is>
      </c>
      <c r="B26" s="23">
        <f>IF(ISNUMBER(Summary!$G$20),Summary!$G$20,0)</f>
        <v/>
      </c>
      <c r="C26" s="23">
        <f>IF(ISNUMBER(Summary!$H$20),Summary!$H$20,0)</f>
        <v/>
      </c>
      <c r="D26" s="35">
        <f>B26+C26</f>
        <v/>
      </c>
    </row>
    <row r="27">
      <c r="A27" s="13" t="inlineStr">
        <is>
          <t>EM Asia</t>
        </is>
      </c>
      <c r="B27" s="23">
        <f>IF(ISNUMBER(Summary!$G$21),Summary!$G$21,0)</f>
        <v/>
      </c>
      <c r="C27" s="23">
        <f>IF(ISNUMBER(Summary!$H$21),Summary!$H$21,0)</f>
        <v/>
      </c>
      <c r="D27" s="35">
        <f>B27+C27</f>
        <v/>
      </c>
    </row>
    <row r="28">
      <c r="A28" s="13" t="inlineStr">
        <is>
          <t>EM average</t>
        </is>
      </c>
      <c r="B28" s="23">
        <f>IF(ISNUMBER(Summary!$G$22),Summary!$G$22,0)</f>
        <v/>
      </c>
      <c r="C28" s="23">
        <f>IF(ISNUMBER(Summary!$H$22),Summary!$H$22,0)</f>
        <v/>
      </c>
      <c r="D28" s="35">
        <f>B28+C28</f>
        <v/>
      </c>
    </row>
    <row r="31">
      <c r="A31" s="33" t="inlineStr">
        <is>
          <t>FX — year to date (return on EM ccy)</t>
        </is>
      </c>
    </row>
    <row r="32" ht="40" customHeight="1">
      <c r="A32" s="12" t="inlineStr">
        <is>
          <t>Region</t>
        </is>
      </c>
      <c r="B32" s="12" t="inlineStr">
        <is>
          <t>US-driven</t>
        </is>
      </c>
      <c r="C32" s="12" t="inlineStr">
        <is>
          <t>Intrinsic EM</t>
        </is>
      </c>
      <c r="D32" s="12" t="inlineStr">
        <is>
          <t>Total</t>
        </is>
      </c>
    </row>
    <row r="33">
      <c r="A33" s="13" t="inlineStr">
        <is>
          <t>LatAm</t>
        </is>
      </c>
      <c r="B33" s="23">
        <f>IF(ISNUMBER(Summary!$G$27),Summary!$G$27,0)</f>
        <v/>
      </c>
      <c r="C33" s="23">
        <f>IF(ISNUMBER(Summary!$H$27),Summary!$H$27,0)</f>
        <v/>
      </c>
      <c r="D33" s="35">
        <f>B33+C33</f>
        <v/>
      </c>
    </row>
    <row r="34">
      <c r="A34" s="13" t="inlineStr">
        <is>
          <t>EM Europe</t>
        </is>
      </c>
      <c r="B34" s="23">
        <f>IF(ISNUMBER(Summary!$G$28),Summary!$G$28,0)</f>
        <v/>
      </c>
      <c r="C34" s="23">
        <f>IF(ISNUMBER(Summary!$H$28),Summary!$H$28,0)</f>
        <v/>
      </c>
      <c r="D34" s="35">
        <f>B34+C34</f>
        <v/>
      </c>
    </row>
    <row r="35">
      <c r="A35" s="13" t="inlineStr">
        <is>
          <t>Middle East</t>
        </is>
      </c>
      <c r="B35" s="23">
        <f>IF(ISNUMBER(Summary!$G$29),Summary!$G$29,0)</f>
        <v/>
      </c>
      <c r="C35" s="23">
        <f>IF(ISNUMBER(Summary!$H$29),Summary!$H$29,0)</f>
        <v/>
      </c>
      <c r="D35" s="35">
        <f>B35+C35</f>
        <v/>
      </c>
    </row>
    <row r="36">
      <c r="A36" s="13" t="inlineStr">
        <is>
          <t>EM Asia</t>
        </is>
      </c>
      <c r="B36" s="23">
        <f>IF(ISNUMBER(Summary!$G$30),Summary!$G$30,0)</f>
        <v/>
      </c>
      <c r="C36" s="23">
        <f>IF(ISNUMBER(Summary!$H$30),Summary!$H$30,0)</f>
        <v/>
      </c>
      <c r="D36" s="35">
        <f>B36+C36</f>
        <v/>
      </c>
    </row>
    <row r="37">
      <c r="A37" s="13" t="inlineStr">
        <is>
          <t>EM average</t>
        </is>
      </c>
      <c r="B37" s="23">
        <f>IF(ISNUMBER(Summary!$G$31),Summary!$G$31,0)</f>
        <v/>
      </c>
      <c r="C37" s="23">
        <f>IF(ISNUMBER(Summary!$H$31),Summary!$H$31,0)</f>
        <v/>
      </c>
      <c r="D37" s="35">
        <f>B37+C37</f>
        <v/>
      </c>
    </row>
    <row r="40">
      <c r="A40" s="33" t="inlineStr">
        <is>
          <t>USD credit — past month (bp)</t>
        </is>
      </c>
    </row>
    <row r="41" ht="40" customHeight="1">
      <c r="A41" s="12" t="inlineStr">
        <is>
          <t>Region</t>
        </is>
      </c>
      <c r="B41" s="12" t="inlineStr">
        <is>
          <t>US-driven</t>
        </is>
      </c>
      <c r="C41" s="12" t="inlineStr">
        <is>
          <t>Intrinsic EM</t>
        </is>
      </c>
      <c r="D41" s="12" t="inlineStr">
        <is>
          <t>Total</t>
        </is>
      </c>
    </row>
    <row r="42">
      <c r="A42" s="13" t="inlineStr">
        <is>
          <t>LatAm</t>
        </is>
      </c>
      <c r="B42" s="20">
        <f>IF(ISNUMBER(Summary!$K$18),Summary!$K$18,0)</f>
        <v/>
      </c>
      <c r="C42" s="20">
        <f>IF(ISNUMBER(Summary!$L$18),Summary!$L$18,0)</f>
        <v/>
      </c>
      <c r="D42" s="34">
        <f>B42+C42</f>
        <v/>
      </c>
    </row>
    <row r="43">
      <c r="A43" s="13" t="inlineStr">
        <is>
          <t>EM Europe</t>
        </is>
      </c>
      <c r="B43" s="20">
        <f>IF(ISNUMBER(Summary!$K$19),Summary!$K$19,0)</f>
        <v/>
      </c>
      <c r="C43" s="20">
        <f>IF(ISNUMBER(Summary!$L$19),Summary!$L$19,0)</f>
        <v/>
      </c>
      <c r="D43" s="34">
        <f>B43+C43</f>
        <v/>
      </c>
    </row>
    <row r="44">
      <c r="A44" s="13" t="inlineStr">
        <is>
          <t>Middle East</t>
        </is>
      </c>
      <c r="B44" s="20">
        <f>IF(ISNUMBER(Summary!$K$20),Summary!$K$20,0)</f>
        <v/>
      </c>
      <c r="C44" s="20">
        <f>IF(ISNUMBER(Summary!$L$20),Summary!$L$20,0)</f>
        <v/>
      </c>
      <c r="D44" s="34">
        <f>B44+C44</f>
        <v/>
      </c>
    </row>
    <row r="45">
      <c r="A45" s="13" t="inlineStr">
        <is>
          <t>EM Asia</t>
        </is>
      </c>
      <c r="B45" s="20">
        <f>IF(ISNUMBER(Summary!$K$21),Summary!$K$21,0)</f>
        <v/>
      </c>
      <c r="C45" s="20">
        <f>IF(ISNUMBER(Summary!$L$21),Summary!$L$21,0)</f>
        <v/>
      </c>
      <c r="D45" s="34">
        <f>B45+C45</f>
        <v/>
      </c>
    </row>
    <row r="46">
      <c r="A46" s="13" t="inlineStr">
        <is>
          <t>EM average</t>
        </is>
      </c>
      <c r="B46" s="20">
        <f>IF(ISNUMBER(Summary!$K$22),Summary!$K$22,0)</f>
        <v/>
      </c>
      <c r="C46" s="20">
        <f>IF(ISNUMBER(Summary!$L$22),Summary!$L$22,0)</f>
        <v/>
      </c>
      <c r="D46" s="34">
        <f>B46+C46</f>
        <v/>
      </c>
    </row>
    <row r="49">
      <c r="A49" s="33" t="inlineStr">
        <is>
          <t>USD credit — year to date (bp)</t>
        </is>
      </c>
    </row>
    <row r="50" ht="40" customHeight="1">
      <c r="A50" s="12" t="inlineStr">
        <is>
          <t>Region</t>
        </is>
      </c>
      <c r="B50" s="12" t="inlineStr">
        <is>
          <t>US-driven</t>
        </is>
      </c>
      <c r="C50" s="12" t="inlineStr">
        <is>
          <t>Intrinsic EM</t>
        </is>
      </c>
      <c r="D50" s="12" t="inlineStr">
        <is>
          <t>Total</t>
        </is>
      </c>
    </row>
    <row r="51">
      <c r="A51" s="13" t="inlineStr">
        <is>
          <t>LatAm</t>
        </is>
      </c>
      <c r="B51" s="20">
        <f>IF(ISNUMBER(Summary!$K$27),Summary!$K$27,0)</f>
        <v/>
      </c>
      <c r="C51" s="20">
        <f>IF(ISNUMBER(Summary!$L$27),Summary!$L$27,0)</f>
        <v/>
      </c>
      <c r="D51" s="34">
        <f>B51+C51</f>
        <v/>
      </c>
    </row>
    <row r="52">
      <c r="A52" s="13" t="inlineStr">
        <is>
          <t>EM Europe</t>
        </is>
      </c>
      <c r="B52" s="20">
        <f>IF(ISNUMBER(Summary!$K$28),Summary!$K$28,0)</f>
        <v/>
      </c>
      <c r="C52" s="20">
        <f>IF(ISNUMBER(Summary!$L$28),Summary!$L$28,0)</f>
        <v/>
      </c>
      <c r="D52" s="34">
        <f>B52+C52</f>
        <v/>
      </c>
    </row>
    <row r="53">
      <c r="A53" s="13" t="inlineStr">
        <is>
          <t>Middle East</t>
        </is>
      </c>
      <c r="B53" s="20">
        <f>IF(ISNUMBER(Summary!$K$29),Summary!$K$29,0)</f>
        <v/>
      </c>
      <c r="C53" s="20">
        <f>IF(ISNUMBER(Summary!$L$29),Summary!$L$29,0)</f>
        <v/>
      </c>
      <c r="D53" s="34">
        <f>B53+C53</f>
        <v/>
      </c>
    </row>
    <row r="54">
      <c r="A54" s="13" t="inlineStr">
        <is>
          <t>EM Asia</t>
        </is>
      </c>
      <c r="B54" s="20">
        <f>IF(ISNUMBER(Summary!$K$30),Summary!$K$30,0)</f>
        <v/>
      </c>
      <c r="C54" s="20">
        <f>IF(ISNUMBER(Summary!$L$30),Summary!$L$30,0)</f>
        <v/>
      </c>
      <c r="D54" s="34">
        <f>B54+C54</f>
        <v/>
      </c>
    </row>
    <row r="55">
      <c r="A55" s="13" t="inlineStr">
        <is>
          <t>EM average</t>
        </is>
      </c>
      <c r="B55" s="20">
        <f>IF(ISNUMBER(Summary!$K$31),Summary!$K$31,0)</f>
        <v/>
      </c>
      <c r="C55" s="20">
        <f>IF(ISNUMBER(Summary!$L$31),Summary!$L$31,0)</f>
        <v/>
      </c>
      <c r="D55" s="34">
        <f>B55+C55</f>
        <v/>
      </c>
    </row>
    <row r="58">
      <c r="A58" s="33" t="inlineStr">
        <is>
          <t>Pass-through — how much of the US move each region took (under 1 = absorbed)</t>
        </is>
      </c>
    </row>
    <row r="59" ht="40" customHeight="1">
      <c r="A59" s="12" t="inlineStr">
        <is>
          <t>Region</t>
        </is>
      </c>
      <c r="B59" s="12" t="inlineStr">
        <is>
          <t>Rates 1M</t>
        </is>
      </c>
      <c r="C59" s="12" t="inlineStr">
        <is>
          <t>Rates YTD</t>
        </is>
      </c>
      <c r="D59" s="12" t="inlineStr">
        <is>
          <t>FX 1M</t>
        </is>
      </c>
      <c r="E59" s="12" t="inlineStr">
        <is>
          <t>FX YTD</t>
        </is>
      </c>
    </row>
    <row r="60">
      <c r="A60" s="13" t="inlineStr">
        <is>
          <t>LatAm</t>
        </is>
      </c>
      <c r="B60" s="21">
        <f>IF(ISNUMBER(Summary!$E$18),Summary!$E$18,0)</f>
        <v/>
      </c>
      <c r="C60" s="21">
        <f>IF(ISNUMBER(Summary!$E$27),Summary!$E$27,0)</f>
        <v/>
      </c>
      <c r="D60" s="21">
        <f>IF(ISNUMBER(Summary!$I$18),Summary!$I$18,0)</f>
        <v/>
      </c>
      <c r="E60" s="21">
        <f>IF(ISNUMBER(Summary!$I$27),Summary!$I$27,0)</f>
        <v/>
      </c>
    </row>
    <row r="61">
      <c r="A61" s="13" t="inlineStr">
        <is>
          <t>EM Europe</t>
        </is>
      </c>
      <c r="B61" s="21">
        <f>IF(ISNUMBER(Summary!$E$19),Summary!$E$19,0)</f>
        <v/>
      </c>
      <c r="C61" s="21">
        <f>IF(ISNUMBER(Summary!$E$28),Summary!$E$28,0)</f>
        <v/>
      </c>
      <c r="D61" s="21">
        <f>IF(ISNUMBER(Summary!$I$19),Summary!$I$19,0)</f>
        <v/>
      </c>
      <c r="E61" s="21">
        <f>IF(ISNUMBER(Summary!$I$28),Summary!$I$28,0)</f>
        <v/>
      </c>
    </row>
    <row r="62">
      <c r="A62" s="13" t="inlineStr">
        <is>
          <t>Middle East</t>
        </is>
      </c>
      <c r="B62" s="21">
        <f>IF(ISNUMBER(Summary!$E$20),Summary!$E$20,0)</f>
        <v/>
      </c>
      <c r="C62" s="21">
        <f>IF(ISNUMBER(Summary!$E$29),Summary!$E$29,0)</f>
        <v/>
      </c>
      <c r="D62" s="21">
        <f>IF(ISNUMBER(Summary!$I$20),Summary!$I$20,0)</f>
        <v/>
      </c>
      <c r="E62" s="21">
        <f>IF(ISNUMBER(Summary!$I$29),Summary!$I$29,0)</f>
        <v/>
      </c>
    </row>
    <row r="63">
      <c r="A63" s="13" t="inlineStr">
        <is>
          <t>EM Asia</t>
        </is>
      </c>
      <c r="B63" s="21">
        <f>IF(ISNUMBER(Summary!$E$21),Summary!$E$21,0)</f>
        <v/>
      </c>
      <c r="C63" s="21">
        <f>IF(ISNUMBER(Summary!$E$30),Summary!$E$30,0)</f>
        <v/>
      </c>
      <c r="D63" s="21">
        <f>IF(ISNUMBER(Summary!$I$21),Summary!$I$21,0)</f>
        <v/>
      </c>
      <c r="E63" s="21">
        <f>IF(ISNUMBER(Summary!$I$30),Summary!$I$30,0)</f>
        <v/>
      </c>
    </row>
    <row r="64">
      <c r="A64" s="13" t="inlineStr">
        <is>
          <t>EM average</t>
        </is>
      </c>
      <c r="B64" s="21">
        <f>IF(ISNUMBER(Summary!$E$22),Summary!$E$22,0)</f>
        <v/>
      </c>
      <c r="C64" s="21">
        <f>IF(ISNUMBER(Summary!$E$31),Summary!$E$31,0)</f>
        <v/>
      </c>
      <c r="D64" s="21">
        <f>IF(ISNUMBER(Summary!$I$22),Summary!$I$22,0)</f>
        <v/>
      </c>
      <c r="E64" s="21">
        <f>IF(ISNUMBER(Summary!$I$31),Summary!$I$31,0)</f>
        <v/>
      </c>
    </row>
    <row r="67">
      <c r="A67" s="33" t="inlineStr">
        <is>
          <t>USD credit — share of the yield move that is Treasuries (near 100% = spreads did nothing)</t>
        </is>
      </c>
    </row>
    <row r="68" ht="40" customHeight="1">
      <c r="A68" s="12" t="inlineStr">
        <is>
          <t>Region</t>
        </is>
      </c>
      <c r="B68" s="12" t="inlineStr">
        <is>
          <t>1M</t>
        </is>
      </c>
      <c r="C68" s="12" t="inlineStr">
        <is>
          <t>YTD</t>
        </is>
      </c>
    </row>
    <row r="69">
      <c r="A69" s="13" t="inlineStr">
        <is>
          <t>LatAm</t>
        </is>
      </c>
      <c r="B69" s="24">
        <f>IF(ISNUMBER(Summary!$M$18),Summary!$M$18,0)</f>
        <v/>
      </c>
      <c r="C69" s="24">
        <f>IF(ISNUMBER(Summary!$M$27),Summary!$M$27,0)</f>
        <v/>
      </c>
    </row>
    <row r="70">
      <c r="A70" s="13" t="inlineStr">
        <is>
          <t>EM Europe</t>
        </is>
      </c>
      <c r="B70" s="24">
        <f>IF(ISNUMBER(Summary!$M$19),Summary!$M$19,0)</f>
        <v/>
      </c>
      <c r="C70" s="24">
        <f>IF(ISNUMBER(Summary!$M$28),Summary!$M$28,0)</f>
        <v/>
      </c>
    </row>
    <row r="71">
      <c r="A71" s="13" t="inlineStr">
        <is>
          <t>Middle East</t>
        </is>
      </c>
      <c r="B71" s="24">
        <f>IF(ISNUMBER(Summary!$M$20),Summary!$M$20,0)</f>
        <v/>
      </c>
      <c r="C71" s="24">
        <f>IF(ISNUMBER(Summary!$M$29),Summary!$M$29,0)</f>
        <v/>
      </c>
    </row>
    <row r="72">
      <c r="A72" s="13" t="inlineStr">
        <is>
          <t>EM Asia</t>
        </is>
      </c>
      <c r="B72" s="24">
        <f>IF(ISNUMBER(Summary!$M$21),Summary!$M$21,0)</f>
        <v/>
      </c>
      <c r="C72" s="24">
        <f>IF(ISNUMBER(Summary!$M$30),Summary!$M$30,0)</f>
        <v/>
      </c>
    </row>
    <row r="73">
      <c r="A73" s="13" t="inlineStr">
        <is>
          <t>EM average</t>
        </is>
      </c>
      <c r="B73" s="24">
        <f>IF(ISNUMBER(Summary!$M$22),Summary!$M$22,0)</f>
        <v/>
      </c>
      <c r="C73" s="24">
        <f>IF(ISNUMBER(Summary!$M$31),Summary!$M$31,0)</f>
        <v/>
      </c>
    </row>
    <row r="75">
      <c r="A75" s="7" t="inlineStr">
        <is>
          <t>Above 100% means spreads tightened while Treasuries sold off — more than all of the move was the US. That is the strongest form of the digestion result.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LOCAL RATES  —  10Y generic, by country and region</t>
        </is>
      </c>
    </row>
    <row r="2">
      <c r="A2" s="2" t="inlineStr">
        <is>
          <t>d(local 10Y) = d(UST 10Y) + d(local less UST). US-driven is the Treasury move; intrinsic is the change in the gap to Treasuries. Pass-through = total / US-driven: how much of the US move the local curve took. Under 1.0 = absorbed.</t>
        </is>
      </c>
    </row>
    <row r="4" ht="16" customHeight="1">
      <c r="A4" s="36" t="inlineStr">
        <is>
          <t>LATAM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 move (bp)</t>
        </is>
      </c>
      <c r="F5" s="12" t="inlineStr">
        <is>
          <t>1M: US-driven: d UST 10Y (bp)</t>
        </is>
      </c>
      <c r="G5" s="12" t="inlineStr">
        <is>
          <t>1M: Intrinsic: d gap to UST (bp)</t>
        </is>
      </c>
      <c r="H5" s="12" t="inlineStr">
        <is>
          <t>1M: Pass-through (total / US)</t>
        </is>
      </c>
      <c r="I5" s="12" t="inlineStr">
        <is>
          <t>1M: Beta to UST 10Y (2y)</t>
        </is>
      </c>
      <c r="J5" s="12" t="inlineStr">
        <is>
          <t>1M: Predicted by beta (bp)</t>
        </is>
      </c>
      <c r="K5" s="12" t="inlineStr">
        <is>
          <t>1M: Surprise: actual less predicted (bp)</t>
        </is>
      </c>
      <c r="L5" s="12" t="inlineStr">
        <is>
          <t>YTD: Total move (bp)</t>
        </is>
      </c>
      <c r="M5" s="12" t="inlineStr">
        <is>
          <t>YTD: US-driven: d UST 10Y (bp)</t>
        </is>
      </c>
      <c r="N5" s="12" t="inlineStr">
        <is>
          <t>YTD: Intrinsic: d gap to UST (bp)</t>
        </is>
      </c>
      <c r="O5" s="12" t="inlineStr">
        <is>
          <t>YTD: Pass-through (total / US)</t>
        </is>
      </c>
      <c r="P5" s="12" t="inlineStr">
        <is>
          <t>YTD: Beta to UST 10Y (2y)</t>
        </is>
      </c>
      <c r="Q5" s="12" t="inlineStr">
        <is>
          <t>YTD: Predicted by beta (bp)</t>
        </is>
      </c>
      <c r="R5" s="12" t="inlineStr">
        <is>
          <t>YTD: Surprise: actual less predicted (bp)</t>
        </is>
      </c>
    </row>
    <row r="6">
      <c r="A6" s="13" t="inlineStr">
        <is>
          <t>Brazil</t>
        </is>
      </c>
      <c r="B6" s="38" t="inlineStr">
        <is>
          <t>LatAm</t>
        </is>
      </c>
      <c r="C6" s="14">
        <f>INDEX(HIST_D!$AF$8:$AF$791,1)</f>
        <v/>
      </c>
      <c r="D6" s="38" t="inlineStr">
        <is>
          <t>yes</t>
        </is>
      </c>
      <c r="E6" s="34">
        <f>IFERROR((INDEX(HIST_D!$AF$8:$AF$791,1)-INDEX(HIST_D!$AF$8:$AF$791,Control!$B$10))*100,"")</f>
        <v/>
      </c>
      <c r="F6" s="15">
        <f>IFERROR((INDEX(HIST_D!$D$8:$D$791,1)-INDEX(HIST_D!$D$8:$D$791,Control!$B$10))*100,"")</f>
        <v/>
      </c>
      <c r="G6" s="15">
        <f>IFERROR(E6-F6,"")</f>
        <v/>
      </c>
      <c r="H6" s="39">
        <f>IFERROR(IF(ABS(F6)&lt;Control!$B$13,"n/m",E6/F6),"n/m")</f>
        <v/>
      </c>
      <c r="I6" s="40">
        <f>IFERROR(SLOPE(HIST_D!$BY$8:INDEX(HIST_D!$BY$8:$BY$791,Control!$B$12),HIST_D!$BV$8:INDEX(HIST_D!$BV$8:$BV$791,Control!$B$12)),"")</f>
        <v/>
      </c>
      <c r="J6" s="15">
        <f>IFERROR(I6*(INDEX(HIST_D!$D$8:$D$791,1)-INDEX(HIST_D!$D$8:$D$791,Control!$B$10))*100,"")</f>
        <v/>
      </c>
      <c r="K6" s="41">
        <f>IFERROR(E6-J6,"")</f>
        <v/>
      </c>
      <c r="L6" s="34">
        <f>IFERROR((INDEX(HIST_D!$AF$8:$AF$791,1)-INDEX(HIST_D!$AF$8:$AF$791,Control!$B$11))*100,"")</f>
        <v/>
      </c>
      <c r="M6" s="15">
        <f>IFERROR((INDEX(HIST_D!$D$8:$D$791,1)-INDEX(HIST_D!$D$8:$D$791,Control!$B$11))*100,"")</f>
        <v/>
      </c>
      <c r="N6" s="15">
        <f>IFERROR(L6-M6,"")</f>
        <v/>
      </c>
      <c r="O6" s="39">
        <f>IFERROR(IF(ABS(M6)&lt;Control!$B$13,"n/m",L6/M6),"n/m")</f>
        <v/>
      </c>
      <c r="P6" s="40">
        <f>IFERROR(SLOPE(HIST_D!$BY$8:INDEX(HIST_D!$BY$8:$BY$791,Control!$B$12),HIST_D!$BV$8:INDEX(HIST_D!$BV$8:$BV$791,Control!$B$12)),"")</f>
        <v/>
      </c>
      <c r="Q6" s="15">
        <f>IFERROR(P6*(INDEX(HIST_D!$D$8:$D$791,1)-INDEX(HIST_D!$D$8:$D$791,Control!$B$11))*100,"")</f>
        <v/>
      </c>
      <c r="R6" s="41">
        <f>IFERROR(L6-Q6,"")</f>
        <v/>
      </c>
    </row>
    <row r="7">
      <c r="A7" s="13" t="inlineStr">
        <is>
          <t>Mexico</t>
        </is>
      </c>
      <c r="B7" s="38" t="inlineStr">
        <is>
          <t>LatAm</t>
        </is>
      </c>
      <c r="C7" s="14">
        <f>INDEX(HIST_D!$AG$8:$AG$791,1)</f>
        <v/>
      </c>
      <c r="D7" s="38" t="inlineStr">
        <is>
          <t>yes</t>
        </is>
      </c>
      <c r="E7" s="34">
        <f>IFERROR((INDEX(HIST_D!$AG$8:$AG$791,1)-INDEX(HIST_D!$AG$8:$AG$791,Control!$B$10))*100,"")</f>
        <v/>
      </c>
      <c r="F7" s="15">
        <f>IFERROR((INDEX(HIST_D!$D$8:$D$791,1)-INDEX(HIST_D!$D$8:$D$791,Control!$B$10))*100,"")</f>
        <v/>
      </c>
      <c r="G7" s="15">
        <f>IFERROR(E7-F7,"")</f>
        <v/>
      </c>
      <c r="H7" s="39">
        <f>IFERROR(IF(ABS(F7)&lt;Control!$B$13,"n/m",E7/F7),"n/m")</f>
        <v/>
      </c>
      <c r="I7" s="40">
        <f>IFERROR(SLOPE(HIST_D!$BZ$8:INDEX(HIST_D!$BZ$8:$BZ$791,Control!$B$12),HIST_D!$BV$8:INDEX(HIST_D!$BV$8:$BV$791,Control!$B$12)),"")</f>
        <v/>
      </c>
      <c r="J7" s="15">
        <f>IFERROR(I7*(INDEX(HIST_D!$D$8:$D$791,1)-INDEX(HIST_D!$D$8:$D$791,Control!$B$10))*100,"")</f>
        <v/>
      </c>
      <c r="K7" s="41">
        <f>IFERROR(E7-J7,"")</f>
        <v/>
      </c>
      <c r="L7" s="34">
        <f>IFERROR((INDEX(HIST_D!$AG$8:$AG$791,1)-INDEX(HIST_D!$AG$8:$AG$791,Control!$B$11))*100,"")</f>
        <v/>
      </c>
      <c r="M7" s="15">
        <f>IFERROR((INDEX(HIST_D!$D$8:$D$791,1)-INDEX(HIST_D!$D$8:$D$791,Control!$B$11))*100,"")</f>
        <v/>
      </c>
      <c r="N7" s="15">
        <f>IFERROR(L7-M7,"")</f>
        <v/>
      </c>
      <c r="O7" s="39">
        <f>IFERROR(IF(ABS(M7)&lt;Control!$B$13,"n/m",L7/M7),"n/m")</f>
        <v/>
      </c>
      <c r="P7" s="40">
        <f>IFERROR(SLOPE(HIST_D!$BZ$8:INDEX(HIST_D!$BZ$8:$BZ$791,Control!$B$12),HIST_D!$BV$8:INDEX(HIST_D!$BV$8:$BV$791,Control!$B$12)),"")</f>
        <v/>
      </c>
      <c r="Q7" s="15">
        <f>IFERROR(P7*(INDEX(HIST_D!$D$8:$D$791,1)-INDEX(HIST_D!$D$8:$D$791,Control!$B$11))*100,"")</f>
        <v/>
      </c>
      <c r="R7" s="41">
        <f>IFERROR(L7-Q7,"")</f>
        <v/>
      </c>
    </row>
    <row r="8">
      <c r="A8" s="13" t="inlineStr">
        <is>
          <t>Chile</t>
        </is>
      </c>
      <c r="B8" s="38" t="inlineStr">
        <is>
          <t>LatAm</t>
        </is>
      </c>
      <c r="C8" s="14">
        <f>INDEX(HIST_D!$AH$8:$AH$791,1)</f>
        <v/>
      </c>
      <c r="D8" s="38" t="inlineStr">
        <is>
          <t>yes</t>
        </is>
      </c>
      <c r="E8" s="34">
        <f>IFERROR((INDEX(HIST_D!$AH$8:$AH$791,1)-INDEX(HIST_D!$AH$8:$AH$791,Control!$B$10))*100,"")</f>
        <v/>
      </c>
      <c r="F8" s="15">
        <f>IFERROR((INDEX(HIST_D!$D$8:$D$791,1)-INDEX(HIST_D!$D$8:$D$791,Control!$B$10))*100,"")</f>
        <v/>
      </c>
      <c r="G8" s="15">
        <f>IFERROR(E8-F8,"")</f>
        <v/>
      </c>
      <c r="H8" s="39">
        <f>IFERROR(IF(ABS(F8)&lt;Control!$B$13,"n/m",E8/F8),"n/m")</f>
        <v/>
      </c>
      <c r="I8" s="40">
        <f>IFERROR(SLOPE(HIST_D!$CA$8:INDEX(HIST_D!$CA$8:$CA$791,Control!$B$12),HIST_D!$BV$8:INDEX(HIST_D!$BV$8:$BV$791,Control!$B$12)),"")</f>
        <v/>
      </c>
      <c r="J8" s="15">
        <f>IFERROR(I8*(INDEX(HIST_D!$D$8:$D$791,1)-INDEX(HIST_D!$D$8:$D$791,Control!$B$10))*100,"")</f>
        <v/>
      </c>
      <c r="K8" s="41">
        <f>IFERROR(E8-J8,"")</f>
        <v/>
      </c>
      <c r="L8" s="34">
        <f>IFERROR((INDEX(HIST_D!$AH$8:$AH$791,1)-INDEX(HIST_D!$AH$8:$AH$791,Control!$B$11))*100,"")</f>
        <v/>
      </c>
      <c r="M8" s="15">
        <f>IFERROR((INDEX(HIST_D!$D$8:$D$791,1)-INDEX(HIST_D!$D$8:$D$791,Control!$B$11))*100,"")</f>
        <v/>
      </c>
      <c r="N8" s="15">
        <f>IFERROR(L8-M8,"")</f>
        <v/>
      </c>
      <c r="O8" s="39">
        <f>IFERROR(IF(ABS(M8)&lt;Control!$B$13,"n/m",L8/M8),"n/m")</f>
        <v/>
      </c>
      <c r="P8" s="40">
        <f>IFERROR(SLOPE(HIST_D!$CA$8:INDEX(HIST_D!$CA$8:$CA$791,Control!$B$12),HIST_D!$BV$8:INDEX(HIST_D!$BV$8:$BV$791,Control!$B$12)),"")</f>
        <v/>
      </c>
      <c r="Q8" s="15">
        <f>IFERROR(P8*(INDEX(HIST_D!$D$8:$D$791,1)-INDEX(HIST_D!$D$8:$D$791,Control!$B$11))*100,"")</f>
        <v/>
      </c>
      <c r="R8" s="41">
        <f>IFERROR(L8-Q8,"")</f>
        <v/>
      </c>
    </row>
    <row r="9">
      <c r="A9" s="13" t="inlineStr">
        <is>
          <t>Colombia</t>
        </is>
      </c>
      <c r="B9" s="38" t="inlineStr">
        <is>
          <t>LatAm</t>
        </is>
      </c>
      <c r="C9" s="14">
        <f>INDEX(HIST_D!$AI$8:$AI$791,1)</f>
        <v/>
      </c>
      <c r="D9" s="38" t="inlineStr">
        <is>
          <t>yes</t>
        </is>
      </c>
      <c r="E9" s="34">
        <f>IFERROR((INDEX(HIST_D!$AI$8:$AI$791,1)-INDEX(HIST_D!$AI$8:$AI$791,Control!$B$10))*100,"")</f>
        <v/>
      </c>
      <c r="F9" s="15">
        <f>IFERROR((INDEX(HIST_D!$D$8:$D$791,1)-INDEX(HIST_D!$D$8:$D$791,Control!$B$10))*100,"")</f>
        <v/>
      </c>
      <c r="G9" s="15">
        <f>IFERROR(E9-F9,"")</f>
        <v/>
      </c>
      <c r="H9" s="39">
        <f>IFERROR(IF(ABS(F9)&lt;Control!$B$13,"n/m",E9/F9),"n/m")</f>
        <v/>
      </c>
      <c r="I9" s="40">
        <f>IFERROR(SLOPE(HIST_D!$CB$8:INDEX(HIST_D!$CB$8:$CB$791,Control!$B$12),HIST_D!$BV$8:INDEX(HIST_D!$BV$8:$BV$791,Control!$B$12)),"")</f>
        <v/>
      </c>
      <c r="J9" s="15">
        <f>IFERROR(I9*(INDEX(HIST_D!$D$8:$D$791,1)-INDEX(HIST_D!$D$8:$D$791,Control!$B$10))*100,"")</f>
        <v/>
      </c>
      <c r="K9" s="41">
        <f>IFERROR(E9-J9,"")</f>
        <v/>
      </c>
      <c r="L9" s="34">
        <f>IFERROR((INDEX(HIST_D!$AI$8:$AI$791,1)-INDEX(HIST_D!$AI$8:$AI$791,Control!$B$11))*100,"")</f>
        <v/>
      </c>
      <c r="M9" s="15">
        <f>IFERROR((INDEX(HIST_D!$D$8:$D$791,1)-INDEX(HIST_D!$D$8:$D$791,Control!$B$11))*100,"")</f>
        <v/>
      </c>
      <c r="N9" s="15">
        <f>IFERROR(L9-M9,"")</f>
        <v/>
      </c>
      <c r="O9" s="39">
        <f>IFERROR(IF(ABS(M9)&lt;Control!$B$13,"n/m",L9/M9),"n/m")</f>
        <v/>
      </c>
      <c r="P9" s="40">
        <f>IFERROR(SLOPE(HIST_D!$CB$8:INDEX(HIST_D!$CB$8:$CB$791,Control!$B$12),HIST_D!$BV$8:INDEX(HIST_D!$BV$8:$BV$791,Control!$B$12)),"")</f>
        <v/>
      </c>
      <c r="Q9" s="15">
        <f>IFERROR(P9*(INDEX(HIST_D!$D$8:$D$791,1)-INDEX(HIST_D!$D$8:$D$791,Control!$B$11))*100,"")</f>
        <v/>
      </c>
      <c r="R9" s="41">
        <f>IFERROR(L9-Q9,"")</f>
        <v/>
      </c>
    </row>
    <row r="10">
      <c r="A10" s="13" t="inlineStr">
        <is>
          <t>Peru</t>
        </is>
      </c>
      <c r="B10" s="38" t="inlineStr">
        <is>
          <t>LatAm</t>
        </is>
      </c>
      <c r="C10" s="14">
        <f>INDEX(HIST_D!$AJ$8:$AJ$791,1)</f>
        <v/>
      </c>
      <c r="D10" s="38" t="inlineStr">
        <is>
          <t>yes</t>
        </is>
      </c>
      <c r="E10" s="34">
        <f>IFERROR((INDEX(HIST_D!$AJ$8:$AJ$791,1)-INDEX(HIST_D!$AJ$8:$AJ$791,Control!$B$10))*100,"")</f>
        <v/>
      </c>
      <c r="F10" s="15">
        <f>IFERROR((INDEX(HIST_D!$D$8:$D$791,1)-INDEX(HIST_D!$D$8:$D$791,Control!$B$10))*100,"")</f>
        <v/>
      </c>
      <c r="G10" s="15">
        <f>IFERROR(E10-F10,"")</f>
        <v/>
      </c>
      <c r="H10" s="39">
        <f>IFERROR(IF(ABS(F10)&lt;Control!$B$13,"n/m",E10/F10),"n/m")</f>
        <v/>
      </c>
      <c r="I10" s="40">
        <f>IFERROR(SLOPE(HIST_D!$CC$8:INDEX(HIST_D!$CC$8:$CC$791,Control!$B$12),HIST_D!$BV$8:INDEX(HIST_D!$BV$8:$BV$791,Control!$B$12)),"")</f>
        <v/>
      </c>
      <c r="J10" s="15">
        <f>IFERROR(I10*(INDEX(HIST_D!$D$8:$D$791,1)-INDEX(HIST_D!$D$8:$D$791,Control!$B$10))*100,"")</f>
        <v/>
      </c>
      <c r="K10" s="41">
        <f>IFERROR(E10-J10,"")</f>
        <v/>
      </c>
      <c r="L10" s="34">
        <f>IFERROR((INDEX(HIST_D!$AJ$8:$AJ$791,1)-INDEX(HIST_D!$AJ$8:$AJ$791,Control!$B$11))*100,"")</f>
        <v/>
      </c>
      <c r="M10" s="15">
        <f>IFERROR((INDEX(HIST_D!$D$8:$D$791,1)-INDEX(HIST_D!$D$8:$D$791,Control!$B$11))*100,"")</f>
        <v/>
      </c>
      <c r="N10" s="15">
        <f>IFERROR(L10-M10,"")</f>
        <v/>
      </c>
      <c r="O10" s="39">
        <f>IFERROR(IF(ABS(M10)&lt;Control!$B$13,"n/m",L10/M10),"n/m")</f>
        <v/>
      </c>
      <c r="P10" s="40">
        <f>IFERROR(SLOPE(HIST_D!$CC$8:INDEX(HIST_D!$CC$8:$CC$791,Control!$B$12),HIST_D!$BV$8:INDEX(HIST_D!$BV$8:$BV$791,Control!$B$12)),"")</f>
        <v/>
      </c>
      <c r="Q10" s="15">
        <f>IFERROR(P10*(INDEX(HIST_D!$D$8:$D$791,1)-INDEX(HIST_D!$D$8:$D$791,Control!$B$11))*100,"")</f>
        <v/>
      </c>
      <c r="R10" s="41">
        <f>IFERROR(L10-Q10,"")</f>
        <v/>
      </c>
    </row>
    <row r="11">
      <c r="A11" s="18" t="inlineStr">
        <is>
          <t>LatAm average</t>
        </is>
      </c>
      <c r="B11" s="38" t="inlineStr">
        <is>
          <t>n=5</t>
        </is>
      </c>
      <c r="C11" s="13" t="inlineStr"/>
      <c r="D11" s="13" t="inlineStr"/>
      <c r="E11" s="34">
        <f>IFERROR(AVERAGE(E6,E7,E8,E9,E10),"")</f>
        <v/>
      </c>
      <c r="F11" s="34">
        <f>IFERROR(AVERAGE(F6,F7,F8,F9,F10),"")</f>
        <v/>
      </c>
      <c r="G11" s="34">
        <f>IFERROR(AVERAGE(G6,G7,G8,G9,G10),"")</f>
        <v/>
      </c>
      <c r="H11" s="42">
        <f>IFERROR(IF(ABS(F11)&lt;Control!$B$13,"n/m",E11/F11),"n/m")</f>
        <v/>
      </c>
      <c r="I11" s="43">
        <f>IFERROR(AVERAGE(I6,I7,I8,I9,I10),"")</f>
        <v/>
      </c>
      <c r="J11" s="34">
        <f>IFERROR(AVERAGE(J6,J7,J8,J9,J10),"")</f>
        <v/>
      </c>
      <c r="K11" s="34">
        <f>IFERROR(AVERAGE(K6,K7,K8,K9,K10),"")</f>
        <v/>
      </c>
      <c r="L11" s="34">
        <f>IFERROR(AVERAGE(L6,L7,L8,L9,L10),"")</f>
        <v/>
      </c>
      <c r="M11" s="34">
        <f>IFERROR(AVERAGE(M6,M7,M8,M9,M10),"")</f>
        <v/>
      </c>
      <c r="N11" s="34">
        <f>IFERROR(AVERAGE(N6,N7,N8,N9,N10),"")</f>
        <v/>
      </c>
      <c r="O11" s="42">
        <f>IFERROR(IF(ABS(M11)&lt;Control!$B$13,"n/m",L11/M11),"n/m")</f>
        <v/>
      </c>
      <c r="P11" s="43">
        <f>IFERROR(AVERAGE(P6,P7,P8,P9,P10),"")</f>
        <v/>
      </c>
      <c r="Q11" s="34">
        <f>IFERROR(AVERAGE(Q6,Q7,Q8,Q9,Q10),"")</f>
        <v/>
      </c>
      <c r="R11" s="34">
        <f>IFERROR(AVERAGE(R6,R7,R8,R9,R10),"")</f>
        <v/>
      </c>
    </row>
    <row r="12">
      <c r="A12" s="7">
        <f>IFERROR("LatAm: local 10Y "&amp;TEXT($E$11,"+0;-0")&amp;"bp on the month against UST 10Y "&amp;TEXT($F$11,"+0;-0")&amp;"bp, so the gap to Treasuries moved "&amp;TEXT($G$11,"+0;-0")&amp;"bp"&amp;IF(ISNUMBER($H$11)," (pass-through "&amp;TEXT($H$11,"0.00")&amp;"x)","")&amp;". History (2y beta "&amp;TEXT($I$11,"0.00")&amp;") would have predicted "&amp;TEXT($J$11,"+0;-0")&amp;"bp; the surprise is "&amp;TEXT($K$11,"+0;-0")&amp;"bp. YTD: "&amp;TEXT($L$11,"+0;-0")&amp;"bp against "&amp;TEXT($M$11,"+0;-0")&amp;"bp, gap "&amp;TEXT($N$11,"+0;-0")&amp;"bp"&amp;IF(ISNUMBER($O$11)," (pass-through "&amp;TEXT($O$11,"0.00")&amp;"x)","")&amp;". "&amp;IF($K$11&lt;-5,"The curve did better than its own history — absorbed.",IF($K$11&gt;5,"The curve did worse than its own history — imported.","Moved in line with its own history.")),"")</f>
        <v/>
      </c>
    </row>
    <row r="14" ht="16" customHeight="1">
      <c r="A14" s="36" t="inlineStr">
        <is>
          <t>EM EUROPE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 move (bp)</t>
        </is>
      </c>
      <c r="F15" s="12" t="inlineStr">
        <is>
          <t>1M: US-driven: d UST 10Y (bp)</t>
        </is>
      </c>
      <c r="G15" s="12" t="inlineStr">
        <is>
          <t>1M: Intrinsic: d gap to UST (bp)</t>
        </is>
      </c>
      <c r="H15" s="12" t="inlineStr">
        <is>
          <t>1M: Pass-through (total / US)</t>
        </is>
      </c>
      <c r="I15" s="12" t="inlineStr">
        <is>
          <t>1M: Beta to UST 10Y (2y)</t>
        </is>
      </c>
      <c r="J15" s="12" t="inlineStr">
        <is>
          <t>1M: Predicted by beta (bp)</t>
        </is>
      </c>
      <c r="K15" s="12" t="inlineStr">
        <is>
          <t>1M: Surprise: actual less predicted (bp)</t>
        </is>
      </c>
      <c r="L15" s="12" t="inlineStr">
        <is>
          <t>YTD: Total move (bp)</t>
        </is>
      </c>
      <c r="M15" s="12" t="inlineStr">
        <is>
          <t>YTD: US-driven: d UST 10Y (bp)</t>
        </is>
      </c>
      <c r="N15" s="12" t="inlineStr">
        <is>
          <t>YTD: Intrinsic: d gap to UST (bp)</t>
        </is>
      </c>
      <c r="O15" s="12" t="inlineStr">
        <is>
          <t>YTD: Pass-through (total / US)</t>
        </is>
      </c>
      <c r="P15" s="12" t="inlineStr">
        <is>
          <t>YTD: Beta to UST 10Y (2y)</t>
        </is>
      </c>
      <c r="Q15" s="12" t="inlineStr">
        <is>
          <t>YTD: Predicted by beta (bp)</t>
        </is>
      </c>
      <c r="R15" s="12" t="inlineStr">
        <is>
          <t>YTD: Surprise: actual less predicted (bp)</t>
        </is>
      </c>
    </row>
    <row r="16">
      <c r="A16" s="13" t="inlineStr">
        <is>
          <t>Poland</t>
        </is>
      </c>
      <c r="B16" s="38" t="inlineStr">
        <is>
          <t>EM Europe</t>
        </is>
      </c>
      <c r="C16" s="14">
        <f>INDEX(HIST_D!$AK$8:$AK$791,1)</f>
        <v/>
      </c>
      <c r="D16" s="38" t="inlineStr">
        <is>
          <t>yes</t>
        </is>
      </c>
      <c r="E16" s="34">
        <f>IFERROR((INDEX(HIST_D!$AK$8:$AK$791,1)-INDEX(HIST_D!$AK$8:$AK$791,Control!$B$10))*100,"")</f>
        <v/>
      </c>
      <c r="F16" s="15">
        <f>IFERROR((INDEX(HIST_D!$D$8:$D$791,1)-INDEX(HIST_D!$D$8:$D$791,Control!$B$10))*100,"")</f>
        <v/>
      </c>
      <c r="G16" s="15">
        <f>IFERROR(E16-F16,"")</f>
        <v/>
      </c>
      <c r="H16" s="39">
        <f>IFERROR(IF(ABS(F16)&lt;Control!$B$13,"n/m",E16/F16),"n/m")</f>
        <v/>
      </c>
      <c r="I16" s="40">
        <f>IFERROR(SLOPE(HIST_D!$CD$8:INDEX(HIST_D!$CD$8:$CD$791,Control!$B$12),HIST_D!$BV$8:INDEX(HIST_D!$BV$8:$BV$791,Control!$B$12)),"")</f>
        <v/>
      </c>
      <c r="J16" s="15">
        <f>IFERROR(I16*(INDEX(HIST_D!$D$8:$D$791,1)-INDEX(HIST_D!$D$8:$D$791,Control!$B$10))*100,"")</f>
        <v/>
      </c>
      <c r="K16" s="41">
        <f>IFERROR(E16-J16,"")</f>
        <v/>
      </c>
      <c r="L16" s="34">
        <f>IFERROR((INDEX(HIST_D!$AK$8:$AK$791,1)-INDEX(HIST_D!$AK$8:$AK$791,Control!$B$11))*100,"")</f>
        <v/>
      </c>
      <c r="M16" s="15">
        <f>IFERROR((INDEX(HIST_D!$D$8:$D$791,1)-INDEX(HIST_D!$D$8:$D$791,Control!$B$11))*100,"")</f>
        <v/>
      </c>
      <c r="N16" s="15">
        <f>IFERROR(L16-M16,"")</f>
        <v/>
      </c>
      <c r="O16" s="39">
        <f>IFERROR(IF(ABS(M16)&lt;Control!$B$13,"n/m",L16/M16),"n/m")</f>
        <v/>
      </c>
      <c r="P16" s="40">
        <f>IFERROR(SLOPE(HIST_D!$CD$8:INDEX(HIST_D!$CD$8:$CD$791,Control!$B$12),HIST_D!$BV$8:INDEX(HIST_D!$BV$8:$BV$791,Control!$B$12)),"")</f>
        <v/>
      </c>
      <c r="Q16" s="15">
        <f>IFERROR(P16*(INDEX(HIST_D!$D$8:$D$791,1)-INDEX(HIST_D!$D$8:$D$791,Control!$B$11))*100,"")</f>
        <v/>
      </c>
      <c r="R16" s="41">
        <f>IFERROR(L16-Q16,"")</f>
        <v/>
      </c>
    </row>
    <row r="17">
      <c r="A17" s="13" t="inlineStr">
        <is>
          <t>Hungary</t>
        </is>
      </c>
      <c r="B17" s="38" t="inlineStr">
        <is>
          <t>EM Europe</t>
        </is>
      </c>
      <c r="C17" s="14">
        <f>INDEX(HIST_D!$AL$8:$AL$791,1)</f>
        <v/>
      </c>
      <c r="D17" s="38" t="inlineStr">
        <is>
          <t>yes</t>
        </is>
      </c>
      <c r="E17" s="34">
        <f>IFERROR((INDEX(HIST_D!$AL$8:$AL$791,1)-INDEX(HIST_D!$AL$8:$AL$791,Control!$B$10))*100,"")</f>
        <v/>
      </c>
      <c r="F17" s="15">
        <f>IFERROR((INDEX(HIST_D!$D$8:$D$791,1)-INDEX(HIST_D!$D$8:$D$791,Control!$B$10))*100,"")</f>
        <v/>
      </c>
      <c r="G17" s="15">
        <f>IFERROR(E17-F17,"")</f>
        <v/>
      </c>
      <c r="H17" s="39">
        <f>IFERROR(IF(ABS(F17)&lt;Control!$B$13,"n/m",E17/F17),"n/m")</f>
        <v/>
      </c>
      <c r="I17" s="40">
        <f>IFERROR(SLOPE(HIST_D!$CE$8:INDEX(HIST_D!$CE$8:$CE$791,Control!$B$12),HIST_D!$BV$8:INDEX(HIST_D!$BV$8:$BV$791,Control!$B$12)),"")</f>
        <v/>
      </c>
      <c r="J17" s="15">
        <f>IFERROR(I17*(INDEX(HIST_D!$D$8:$D$791,1)-INDEX(HIST_D!$D$8:$D$791,Control!$B$10))*100,"")</f>
        <v/>
      </c>
      <c r="K17" s="41">
        <f>IFERROR(E17-J17,"")</f>
        <v/>
      </c>
      <c r="L17" s="34">
        <f>IFERROR((INDEX(HIST_D!$AL$8:$AL$791,1)-INDEX(HIST_D!$AL$8:$AL$791,Control!$B$11))*100,"")</f>
        <v/>
      </c>
      <c r="M17" s="15">
        <f>IFERROR((INDEX(HIST_D!$D$8:$D$791,1)-INDEX(HIST_D!$D$8:$D$791,Control!$B$11))*100,"")</f>
        <v/>
      </c>
      <c r="N17" s="15">
        <f>IFERROR(L17-M17,"")</f>
        <v/>
      </c>
      <c r="O17" s="39">
        <f>IFERROR(IF(ABS(M17)&lt;Control!$B$13,"n/m",L17/M17),"n/m")</f>
        <v/>
      </c>
      <c r="P17" s="40">
        <f>IFERROR(SLOPE(HIST_D!$CE$8:INDEX(HIST_D!$CE$8:$CE$791,Control!$B$12),HIST_D!$BV$8:INDEX(HIST_D!$BV$8:$BV$791,Control!$B$12)),"")</f>
        <v/>
      </c>
      <c r="Q17" s="15">
        <f>IFERROR(P17*(INDEX(HIST_D!$D$8:$D$791,1)-INDEX(HIST_D!$D$8:$D$791,Control!$B$11))*100,"")</f>
        <v/>
      </c>
      <c r="R17" s="41">
        <f>IFERROR(L17-Q17,"")</f>
        <v/>
      </c>
    </row>
    <row r="18">
      <c r="A18" s="13" t="inlineStr">
        <is>
          <t>Czechia</t>
        </is>
      </c>
      <c r="B18" s="38" t="inlineStr">
        <is>
          <t>EM Europe</t>
        </is>
      </c>
      <c r="C18" s="14">
        <f>INDEX(HIST_D!$AM$8:$AM$791,1)</f>
        <v/>
      </c>
      <c r="D18" s="38" t="inlineStr">
        <is>
          <t>yes</t>
        </is>
      </c>
      <c r="E18" s="34">
        <f>IFERROR((INDEX(HIST_D!$AM$8:$AM$791,1)-INDEX(HIST_D!$AM$8:$AM$791,Control!$B$10))*100,"")</f>
        <v/>
      </c>
      <c r="F18" s="15">
        <f>IFERROR((INDEX(HIST_D!$D$8:$D$791,1)-INDEX(HIST_D!$D$8:$D$791,Control!$B$10))*100,"")</f>
        <v/>
      </c>
      <c r="G18" s="15">
        <f>IFERROR(E18-F18,"")</f>
        <v/>
      </c>
      <c r="H18" s="39">
        <f>IFERROR(IF(ABS(F18)&lt;Control!$B$13,"n/m",E18/F18),"n/m")</f>
        <v/>
      </c>
      <c r="I18" s="40">
        <f>IFERROR(SLOPE(HIST_D!$CF$8:INDEX(HIST_D!$CF$8:$CF$791,Control!$B$12),HIST_D!$BV$8:INDEX(HIST_D!$BV$8:$BV$791,Control!$B$12)),"")</f>
        <v/>
      </c>
      <c r="J18" s="15">
        <f>IFERROR(I18*(INDEX(HIST_D!$D$8:$D$791,1)-INDEX(HIST_D!$D$8:$D$791,Control!$B$10))*100,"")</f>
        <v/>
      </c>
      <c r="K18" s="41">
        <f>IFERROR(E18-J18,"")</f>
        <v/>
      </c>
      <c r="L18" s="34">
        <f>IFERROR((INDEX(HIST_D!$AM$8:$AM$791,1)-INDEX(HIST_D!$AM$8:$AM$791,Control!$B$11))*100,"")</f>
        <v/>
      </c>
      <c r="M18" s="15">
        <f>IFERROR((INDEX(HIST_D!$D$8:$D$791,1)-INDEX(HIST_D!$D$8:$D$791,Control!$B$11))*100,"")</f>
        <v/>
      </c>
      <c r="N18" s="15">
        <f>IFERROR(L18-M18,"")</f>
        <v/>
      </c>
      <c r="O18" s="39">
        <f>IFERROR(IF(ABS(M18)&lt;Control!$B$13,"n/m",L18/M18),"n/m")</f>
        <v/>
      </c>
      <c r="P18" s="40">
        <f>IFERROR(SLOPE(HIST_D!$CF$8:INDEX(HIST_D!$CF$8:$CF$791,Control!$B$12),HIST_D!$BV$8:INDEX(HIST_D!$BV$8:$BV$791,Control!$B$12)),"")</f>
        <v/>
      </c>
      <c r="Q18" s="15">
        <f>IFERROR(P18*(INDEX(HIST_D!$D$8:$D$791,1)-INDEX(HIST_D!$D$8:$D$791,Control!$B$11))*100,"")</f>
        <v/>
      </c>
      <c r="R18" s="41">
        <f>IFERROR(L18-Q18,"")</f>
        <v/>
      </c>
    </row>
    <row r="19">
      <c r="A19" s="13" t="inlineStr">
        <is>
          <t>Romania</t>
        </is>
      </c>
      <c r="B19" s="38" t="inlineStr">
        <is>
          <t>EM Europe</t>
        </is>
      </c>
      <c r="C19" s="14">
        <f>INDEX(HIST_D!$AN$8:$AN$791,1)</f>
        <v/>
      </c>
      <c r="D19" s="38" t="inlineStr">
        <is>
          <t>yes</t>
        </is>
      </c>
      <c r="E19" s="34">
        <f>IFERROR((INDEX(HIST_D!$AN$8:$AN$791,1)-INDEX(HIST_D!$AN$8:$AN$791,Control!$B$10))*100,"")</f>
        <v/>
      </c>
      <c r="F19" s="15">
        <f>IFERROR((INDEX(HIST_D!$D$8:$D$791,1)-INDEX(HIST_D!$D$8:$D$791,Control!$B$10))*100,"")</f>
        <v/>
      </c>
      <c r="G19" s="15">
        <f>IFERROR(E19-F19,"")</f>
        <v/>
      </c>
      <c r="H19" s="39">
        <f>IFERROR(IF(ABS(F19)&lt;Control!$B$13,"n/m",E19/F19),"n/m")</f>
        <v/>
      </c>
      <c r="I19" s="40">
        <f>IFERROR(SLOPE(HIST_D!$CG$8:INDEX(HIST_D!$CG$8:$CG$791,Control!$B$12),HIST_D!$BV$8:INDEX(HIST_D!$BV$8:$BV$791,Control!$B$12)),"")</f>
        <v/>
      </c>
      <c r="J19" s="15">
        <f>IFERROR(I19*(INDEX(HIST_D!$D$8:$D$791,1)-INDEX(HIST_D!$D$8:$D$791,Control!$B$10))*100,"")</f>
        <v/>
      </c>
      <c r="K19" s="41">
        <f>IFERROR(E19-J19,"")</f>
        <v/>
      </c>
      <c r="L19" s="34">
        <f>IFERROR((INDEX(HIST_D!$AN$8:$AN$791,1)-INDEX(HIST_D!$AN$8:$AN$791,Control!$B$11))*100,"")</f>
        <v/>
      </c>
      <c r="M19" s="15">
        <f>IFERROR((INDEX(HIST_D!$D$8:$D$791,1)-INDEX(HIST_D!$D$8:$D$791,Control!$B$11))*100,"")</f>
        <v/>
      </c>
      <c r="N19" s="15">
        <f>IFERROR(L19-M19,"")</f>
        <v/>
      </c>
      <c r="O19" s="39">
        <f>IFERROR(IF(ABS(M19)&lt;Control!$B$13,"n/m",L19/M19),"n/m")</f>
        <v/>
      </c>
      <c r="P19" s="40">
        <f>IFERROR(SLOPE(HIST_D!$CG$8:INDEX(HIST_D!$CG$8:$CG$791,Control!$B$12),HIST_D!$BV$8:INDEX(HIST_D!$BV$8:$BV$791,Control!$B$12)),"")</f>
        <v/>
      </c>
      <c r="Q19" s="15">
        <f>IFERROR(P19*(INDEX(HIST_D!$D$8:$D$791,1)-INDEX(HIST_D!$D$8:$D$791,Control!$B$11))*100,"")</f>
        <v/>
      </c>
      <c r="R19" s="41">
        <f>IFERROR(L19-Q19,"")</f>
        <v/>
      </c>
    </row>
    <row r="20">
      <c r="A20" s="13" t="inlineStr">
        <is>
          <t>Turkiye</t>
        </is>
      </c>
      <c r="B20" s="38" t="inlineStr">
        <is>
          <t>EM Europe</t>
        </is>
      </c>
      <c r="C20" s="14">
        <f>INDEX(HIST_D!$AO$8:$AO$791,1)</f>
        <v/>
      </c>
      <c r="D20" s="44" t="inlineStr">
        <is>
          <t>no</t>
        </is>
      </c>
      <c r="E20" s="34">
        <f>IFERROR((INDEX(HIST_D!$AO$8:$AO$791,1)-INDEX(HIST_D!$AO$8:$AO$791,Control!$B$10))*100,"")</f>
        <v/>
      </c>
      <c r="F20" s="15">
        <f>IFERROR((INDEX(HIST_D!$D$8:$D$791,1)-INDEX(HIST_D!$D$8:$D$791,Control!$B$10))*100,"")</f>
        <v/>
      </c>
      <c r="G20" s="15">
        <f>IFERROR(E20-F20,"")</f>
        <v/>
      </c>
      <c r="H20" s="39">
        <f>IFERROR(IF(ABS(F20)&lt;Control!$B$13,"n/m",E20/F20),"n/m")</f>
        <v/>
      </c>
      <c r="I20" s="40">
        <f>IFERROR(SLOPE(HIST_D!$CH$8:INDEX(HIST_D!$CH$8:$CH$791,Control!$B$12),HIST_D!$BV$8:INDEX(HIST_D!$BV$8:$BV$791,Control!$B$12)),"")</f>
        <v/>
      </c>
      <c r="J20" s="15">
        <f>IFERROR(I20*(INDEX(HIST_D!$D$8:$D$791,1)-INDEX(HIST_D!$D$8:$D$791,Control!$B$10))*100,"")</f>
        <v/>
      </c>
      <c r="K20" s="41">
        <f>IFERROR(E20-J20,"")</f>
        <v/>
      </c>
      <c r="L20" s="34">
        <f>IFERROR((INDEX(HIST_D!$AO$8:$AO$791,1)-INDEX(HIST_D!$AO$8:$AO$791,Control!$B$11))*100,"")</f>
        <v/>
      </c>
      <c r="M20" s="15">
        <f>IFERROR((INDEX(HIST_D!$D$8:$D$791,1)-INDEX(HIST_D!$D$8:$D$791,Control!$B$11))*100,"")</f>
        <v/>
      </c>
      <c r="N20" s="15">
        <f>IFERROR(L20-M20,"")</f>
        <v/>
      </c>
      <c r="O20" s="39">
        <f>IFERROR(IF(ABS(M20)&lt;Control!$B$13,"n/m",L20/M20),"n/m")</f>
        <v/>
      </c>
      <c r="P20" s="40">
        <f>IFERROR(SLOPE(HIST_D!$CH$8:INDEX(HIST_D!$CH$8:$CH$791,Control!$B$12),HIST_D!$BV$8:INDEX(HIST_D!$BV$8:$BV$791,Control!$B$12)),"")</f>
        <v/>
      </c>
      <c r="Q20" s="15">
        <f>IFERROR(P20*(INDEX(HIST_D!$D$8:$D$791,1)-INDEX(HIST_D!$D$8:$D$791,Control!$B$11))*100,"")</f>
        <v/>
      </c>
      <c r="R20" s="41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8" t="inlineStr">
        <is>
          <t>n=4</t>
        </is>
      </c>
      <c r="C21" s="13" t="inlineStr"/>
      <c r="D21" s="13" t="inlineStr"/>
      <c r="E21" s="34">
        <f>IFERROR(AVERAGE(E16,E17,E18,E19),"")</f>
        <v/>
      </c>
      <c r="F21" s="34">
        <f>IFERROR(AVERAGE(F16,F17,F18,F19),"")</f>
        <v/>
      </c>
      <c r="G21" s="34">
        <f>IFERROR(AVERAGE(G16,G17,G18,G19),"")</f>
        <v/>
      </c>
      <c r="H21" s="42">
        <f>IFERROR(IF(ABS(F21)&lt;Control!$B$13,"n/m",E21/F21),"n/m")</f>
        <v/>
      </c>
      <c r="I21" s="43">
        <f>IFERROR(AVERAGE(I16,I17,I18,I19),"")</f>
        <v/>
      </c>
      <c r="J21" s="34">
        <f>IFERROR(AVERAGE(J16,J17,J18,J19),"")</f>
        <v/>
      </c>
      <c r="K21" s="34">
        <f>IFERROR(AVERAGE(K16,K17,K18,K19),"")</f>
        <v/>
      </c>
      <c r="L21" s="34">
        <f>IFERROR(AVERAGE(L16,L17,L18,L19),"")</f>
        <v/>
      </c>
      <c r="M21" s="34">
        <f>IFERROR(AVERAGE(M16,M17,M18,M19),"")</f>
        <v/>
      </c>
      <c r="N21" s="34">
        <f>IFERROR(AVERAGE(N16,N17,N18,N19),"")</f>
        <v/>
      </c>
      <c r="O21" s="42">
        <f>IFERROR(IF(ABS(M21)&lt;Control!$B$13,"n/m",L21/M21),"n/m")</f>
        <v/>
      </c>
      <c r="P21" s="43">
        <f>IFERROR(AVERAGE(P16,P17,P18,P19),"")</f>
        <v/>
      </c>
      <c r="Q21" s="34">
        <f>IFERROR(AVERAGE(Q16,Q17,Q18,Q19),"")</f>
        <v/>
      </c>
      <c r="R21" s="34">
        <f>IFERROR(AVERAGE(R16,R17,R18,R19),"")</f>
        <v/>
      </c>
    </row>
    <row r="22">
      <c r="A22" s="7">
        <f>IFERROR("EM Europe: local 10Y "&amp;TEXT($E$21,"+0;-0")&amp;"bp on the month against UST 10Y "&amp;TEXT($F$21,"+0;-0")&amp;"bp, so the gap to Treasuries moved "&amp;TEXT($G$21,"+0;-0")&amp;"bp"&amp;IF(ISNUMBER($H$21)," (pass-through "&amp;TEXT($H$21,"0.00")&amp;"x)","")&amp;". History (2y beta "&amp;TEXT($I$21,"0.00")&amp;") would have predicted "&amp;TEXT($J$21,"+0;-0")&amp;"bp; the surprise is "&amp;TEXT($K$21,"+0;-0")&amp;"bp. YTD: "&amp;TEXT($L$21,"+0;-0")&amp;"bp against "&amp;TEXT($M$21,"+0;-0")&amp;"bp, gap "&amp;TEXT($N$21,"+0;-0")&amp;"bp"&amp;IF(ISNUMBER($O$21)," (pass-through "&amp;TEXT($O$21,"0.00")&amp;"x)","")&amp;". "&amp;IF($K$21&lt;-5,"The curve did better than its own history — absorbed.",IF($K$21&gt;5,"The curve did worse than its own history — imported.","Moved in line with its own history.")),"")</f>
        <v/>
      </c>
    </row>
    <row r="24" ht="16" customHeight="1">
      <c r="A24" s="36" t="inlineStr">
        <is>
          <t>MIDDLE EAST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 move (bp)</t>
        </is>
      </c>
      <c r="F25" s="12" t="inlineStr">
        <is>
          <t>1M: US-driven: d UST 10Y (bp)</t>
        </is>
      </c>
      <c r="G25" s="12" t="inlineStr">
        <is>
          <t>1M: Intrinsic: d gap to UST (bp)</t>
        </is>
      </c>
      <c r="H25" s="12" t="inlineStr">
        <is>
          <t>1M: Pass-through (total / US)</t>
        </is>
      </c>
      <c r="I25" s="12" t="inlineStr">
        <is>
          <t>1M: Beta to UST 10Y (2y)</t>
        </is>
      </c>
      <c r="J25" s="12" t="inlineStr">
        <is>
          <t>1M: Predicted by beta (bp)</t>
        </is>
      </c>
      <c r="K25" s="12" t="inlineStr">
        <is>
          <t>1M: Surprise: actual less predicted (bp)</t>
        </is>
      </c>
      <c r="L25" s="12" t="inlineStr">
        <is>
          <t>YTD: Total move (bp)</t>
        </is>
      </c>
      <c r="M25" s="12" t="inlineStr">
        <is>
          <t>YTD: US-driven: d UST 10Y (bp)</t>
        </is>
      </c>
      <c r="N25" s="12" t="inlineStr">
        <is>
          <t>YTD: Intrinsic: d gap to UST (bp)</t>
        </is>
      </c>
      <c r="O25" s="12" t="inlineStr">
        <is>
          <t>YTD: Pass-through (total / US)</t>
        </is>
      </c>
      <c r="P25" s="12" t="inlineStr">
        <is>
          <t>YTD: Beta to UST 10Y (2y)</t>
        </is>
      </c>
      <c r="Q25" s="12" t="inlineStr">
        <is>
          <t>YTD: Predicted by beta (bp)</t>
        </is>
      </c>
      <c r="R25" s="12" t="inlineStr">
        <is>
          <t>YTD: Surprise: actual less predicted (bp)</t>
        </is>
      </c>
    </row>
    <row r="26">
      <c r="A26" s="13" t="inlineStr">
        <is>
          <t>Israel</t>
        </is>
      </c>
      <c r="B26" s="38" t="inlineStr">
        <is>
          <t>Middle East</t>
        </is>
      </c>
      <c r="C26" s="14">
        <f>INDEX(HIST_D!$AP$8:$AP$791,1)</f>
        <v/>
      </c>
      <c r="D26" s="38" t="inlineStr">
        <is>
          <t>yes</t>
        </is>
      </c>
      <c r="E26" s="34">
        <f>IFERROR((INDEX(HIST_D!$AP$8:$AP$791,1)-INDEX(HIST_D!$AP$8:$AP$791,Control!$B$10))*100,"")</f>
        <v/>
      </c>
      <c r="F26" s="15">
        <f>IFERROR((INDEX(HIST_D!$D$8:$D$791,1)-INDEX(HIST_D!$D$8:$D$791,Control!$B$10))*100,"")</f>
        <v/>
      </c>
      <c r="G26" s="15">
        <f>IFERROR(E26-F26,"")</f>
        <v/>
      </c>
      <c r="H26" s="39">
        <f>IFERROR(IF(ABS(F26)&lt;Control!$B$13,"n/m",E26/F26),"n/m")</f>
        <v/>
      </c>
      <c r="I26" s="40">
        <f>IFERROR(SLOPE(HIST_D!$CI$8:INDEX(HIST_D!$CI$8:$CI$791,Control!$B$12),HIST_D!$BV$8:INDEX(HIST_D!$BV$8:$BV$791,Control!$B$12)),"")</f>
        <v/>
      </c>
      <c r="J26" s="15">
        <f>IFERROR(I26*(INDEX(HIST_D!$D$8:$D$791,1)-INDEX(HIST_D!$D$8:$D$791,Control!$B$10))*100,"")</f>
        <v/>
      </c>
      <c r="K26" s="41">
        <f>IFERROR(E26-J26,"")</f>
        <v/>
      </c>
      <c r="L26" s="34">
        <f>IFERROR((INDEX(HIST_D!$AP$8:$AP$791,1)-INDEX(HIST_D!$AP$8:$AP$791,Control!$B$11))*100,"")</f>
        <v/>
      </c>
      <c r="M26" s="15">
        <f>IFERROR((INDEX(HIST_D!$D$8:$D$791,1)-INDEX(HIST_D!$D$8:$D$791,Control!$B$11))*100,"")</f>
        <v/>
      </c>
      <c r="N26" s="15">
        <f>IFERROR(L26-M26,"")</f>
        <v/>
      </c>
      <c r="O26" s="39">
        <f>IFERROR(IF(ABS(M26)&lt;Control!$B$13,"n/m",L26/M26),"n/m")</f>
        <v/>
      </c>
      <c r="P26" s="40">
        <f>IFERROR(SLOPE(HIST_D!$CI$8:INDEX(HIST_D!$CI$8:$CI$791,Control!$B$12),HIST_D!$BV$8:INDEX(HIST_D!$BV$8:$BV$791,Control!$B$12)),"")</f>
        <v/>
      </c>
      <c r="Q26" s="15">
        <f>IFERROR(P26*(INDEX(HIST_D!$D$8:$D$791,1)-INDEX(HIST_D!$D$8:$D$791,Control!$B$11))*100,"")</f>
        <v/>
      </c>
      <c r="R26" s="41">
        <f>IFERROR(L26-Q26,"")</f>
        <v/>
      </c>
    </row>
    <row r="27">
      <c r="A27" s="13" t="inlineStr">
        <is>
          <t>Egypt</t>
        </is>
      </c>
      <c r="B27" s="38" t="inlineStr">
        <is>
          <t>Middle East</t>
        </is>
      </c>
      <c r="C27" s="14">
        <f>INDEX(HIST_D!$AQ$8:$AQ$791,1)</f>
        <v/>
      </c>
      <c r="D27" s="38" t="inlineStr">
        <is>
          <t>yes</t>
        </is>
      </c>
      <c r="E27" s="34">
        <f>IFERROR((INDEX(HIST_D!$AQ$8:$AQ$791,1)-INDEX(HIST_D!$AQ$8:$AQ$791,Control!$B$10))*100,"")</f>
        <v/>
      </c>
      <c r="F27" s="15">
        <f>IFERROR((INDEX(HIST_D!$D$8:$D$791,1)-INDEX(HIST_D!$D$8:$D$791,Control!$B$10))*100,"")</f>
        <v/>
      </c>
      <c r="G27" s="15">
        <f>IFERROR(E27-F27,"")</f>
        <v/>
      </c>
      <c r="H27" s="39">
        <f>IFERROR(IF(ABS(F27)&lt;Control!$B$13,"n/m",E27/F27),"n/m")</f>
        <v/>
      </c>
      <c r="I27" s="40">
        <f>IFERROR(SLOPE(HIST_D!$CJ$8:INDEX(HIST_D!$CJ$8:$CJ$791,Control!$B$12),HIST_D!$BV$8:INDEX(HIST_D!$BV$8:$BV$791,Control!$B$12)),"")</f>
        <v/>
      </c>
      <c r="J27" s="15">
        <f>IFERROR(I27*(INDEX(HIST_D!$D$8:$D$791,1)-INDEX(HIST_D!$D$8:$D$791,Control!$B$10))*100,"")</f>
        <v/>
      </c>
      <c r="K27" s="41">
        <f>IFERROR(E27-J27,"")</f>
        <v/>
      </c>
      <c r="L27" s="34">
        <f>IFERROR((INDEX(HIST_D!$AQ$8:$AQ$791,1)-INDEX(HIST_D!$AQ$8:$AQ$791,Control!$B$11))*100,"")</f>
        <v/>
      </c>
      <c r="M27" s="15">
        <f>IFERROR((INDEX(HIST_D!$D$8:$D$791,1)-INDEX(HIST_D!$D$8:$D$791,Control!$B$11))*100,"")</f>
        <v/>
      </c>
      <c r="N27" s="15">
        <f>IFERROR(L27-M27,"")</f>
        <v/>
      </c>
      <c r="O27" s="39">
        <f>IFERROR(IF(ABS(M27)&lt;Control!$B$13,"n/m",L27/M27),"n/m")</f>
        <v/>
      </c>
      <c r="P27" s="40">
        <f>IFERROR(SLOPE(HIST_D!$CJ$8:INDEX(HIST_D!$CJ$8:$CJ$791,Control!$B$12),HIST_D!$BV$8:INDEX(HIST_D!$BV$8:$BV$791,Control!$B$12)),"")</f>
        <v/>
      </c>
      <c r="Q27" s="15">
        <f>IFERROR(P27*(INDEX(HIST_D!$D$8:$D$791,1)-INDEX(HIST_D!$D$8:$D$791,Control!$B$11))*100,"")</f>
        <v/>
      </c>
      <c r="R27" s="41">
        <f>IFERROR(L27-Q27,"")</f>
        <v/>
      </c>
      <c r="S27" s="7" t="inlineStr">
        <is>
          <t>excluded from FX average: managed float with step devaluations; GTEGP10Y is Verify</t>
        </is>
      </c>
    </row>
    <row r="28">
      <c r="A28" s="18" t="inlineStr">
        <is>
          <t>Middle East average</t>
        </is>
      </c>
      <c r="B28" s="38" t="inlineStr">
        <is>
          <t>n=2</t>
        </is>
      </c>
      <c r="C28" s="13" t="inlineStr"/>
      <c r="D28" s="13" t="inlineStr"/>
      <c r="E28" s="34">
        <f>IFERROR(AVERAGE(E26,E27),"")</f>
        <v/>
      </c>
      <c r="F28" s="34">
        <f>IFERROR(AVERAGE(F26,F27),"")</f>
        <v/>
      </c>
      <c r="G28" s="34">
        <f>IFERROR(AVERAGE(G26,G27),"")</f>
        <v/>
      </c>
      <c r="H28" s="42">
        <f>IFERROR(IF(ABS(F28)&lt;Control!$B$13,"n/m",E28/F28),"n/m")</f>
        <v/>
      </c>
      <c r="I28" s="43">
        <f>IFERROR(AVERAGE(I26,I27),"")</f>
        <v/>
      </c>
      <c r="J28" s="34">
        <f>IFERROR(AVERAGE(J26,J27),"")</f>
        <v/>
      </c>
      <c r="K28" s="34">
        <f>IFERROR(AVERAGE(K26,K27),"")</f>
        <v/>
      </c>
      <c r="L28" s="34">
        <f>IFERROR(AVERAGE(L26,L27),"")</f>
        <v/>
      </c>
      <c r="M28" s="34">
        <f>IFERROR(AVERAGE(M26,M27),"")</f>
        <v/>
      </c>
      <c r="N28" s="34">
        <f>IFERROR(AVERAGE(N26,N27),"")</f>
        <v/>
      </c>
      <c r="O28" s="42">
        <f>IFERROR(IF(ABS(M28)&lt;Control!$B$13,"n/m",L28/M28),"n/m")</f>
        <v/>
      </c>
      <c r="P28" s="43">
        <f>IFERROR(AVERAGE(P26,P27),"")</f>
        <v/>
      </c>
      <c r="Q28" s="34">
        <f>IFERROR(AVERAGE(Q26,Q27),"")</f>
        <v/>
      </c>
      <c r="R28" s="34">
        <f>IFERROR(AVERAGE(R26,R27),"")</f>
        <v/>
      </c>
    </row>
    <row r="29">
      <c r="A29" s="7">
        <f>IFERROR("Middle East: local 10Y "&amp;TEXT($E$28,"+0;-0")&amp;"bp on the month against UST 10Y "&amp;TEXT($F$28,"+0;-0")&amp;"bp, so the gap to Treasuries moved "&amp;TEXT($G$28,"+0;-0")&amp;"bp"&amp;IF(ISNUMBER($H$28)," (pass-through "&amp;TEXT($H$28,"0.00")&amp;"x)","")&amp;". History (2y beta "&amp;TEXT($I$28,"0.00")&amp;") would have predicted "&amp;TEXT($J$28,"+0;-0")&amp;"bp; the surprise is "&amp;TEXT($K$28,"+0;-0")&amp;"bp. YTD: "&amp;TEXT($L$28,"+0;-0")&amp;"bp against "&amp;TEXT($M$28,"+0;-0")&amp;"bp, gap "&amp;TEXT($N$28,"+0;-0")&amp;"bp"&amp;IF(ISNUMBER($O$28)," (pass-through "&amp;TEXT($O$28,"0.00")&amp;"x)","")&amp;". "&amp;IF($K$28&lt;-5,"The curve did better than its own history — absorbed.",IF($K$28&gt;5,"The curve did worse than its own history — imported.","Moved in line with its own history.")),"")</f>
        <v/>
      </c>
    </row>
    <row r="31" ht="16" customHeight="1">
      <c r="A31" s="36" t="inlineStr">
        <is>
          <t>EM ASIA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</row>
    <row r="32" ht="40" customHeight="1">
      <c r="A32" s="12" t="inlineStr">
        <is>
          <t>Country</t>
        </is>
      </c>
      <c r="B32" s="12" t="inlineStr">
        <is>
          <t>Region</t>
        </is>
      </c>
      <c r="C32" s="12" t="inlineStr">
        <is>
          <t>Level</t>
        </is>
      </c>
      <c r="D32" s="12" t="inlineStr">
        <is>
          <t>In avg</t>
        </is>
      </c>
      <c r="E32" s="12" t="inlineStr">
        <is>
          <t>1M: Total move (bp)</t>
        </is>
      </c>
      <c r="F32" s="12" t="inlineStr">
        <is>
          <t>1M: US-driven: d UST 10Y (bp)</t>
        </is>
      </c>
      <c r="G32" s="12" t="inlineStr">
        <is>
          <t>1M: Intrinsic: d gap to UST (bp)</t>
        </is>
      </c>
      <c r="H32" s="12" t="inlineStr">
        <is>
          <t>1M: Pass-through (total / US)</t>
        </is>
      </c>
      <c r="I32" s="12" t="inlineStr">
        <is>
          <t>1M: Beta to UST 10Y (2y)</t>
        </is>
      </c>
      <c r="J32" s="12" t="inlineStr">
        <is>
          <t>1M: Predicted by beta (bp)</t>
        </is>
      </c>
      <c r="K32" s="12" t="inlineStr">
        <is>
          <t>1M: Surprise: actual less predicted (bp)</t>
        </is>
      </c>
      <c r="L32" s="12" t="inlineStr">
        <is>
          <t>YTD: Total move (bp)</t>
        </is>
      </c>
      <c r="M32" s="12" t="inlineStr">
        <is>
          <t>YTD: US-driven: d UST 10Y (bp)</t>
        </is>
      </c>
      <c r="N32" s="12" t="inlineStr">
        <is>
          <t>YTD: Intrinsic: d gap to UST (bp)</t>
        </is>
      </c>
      <c r="O32" s="12" t="inlineStr">
        <is>
          <t>YTD: Pass-through (total / US)</t>
        </is>
      </c>
      <c r="P32" s="12" t="inlineStr">
        <is>
          <t>YTD: Beta to UST 10Y (2y)</t>
        </is>
      </c>
      <c r="Q32" s="12" t="inlineStr">
        <is>
          <t>YTD: Predicted by beta (bp)</t>
        </is>
      </c>
      <c r="R32" s="12" t="inlineStr">
        <is>
          <t>YTD: Surprise: actual less predicted (bp)</t>
        </is>
      </c>
    </row>
    <row r="33">
      <c r="A33" s="13" t="inlineStr">
        <is>
          <t>China</t>
        </is>
      </c>
      <c r="B33" s="38" t="inlineStr">
        <is>
          <t>EM Asia</t>
        </is>
      </c>
      <c r="C33" s="14">
        <f>INDEX(HIST_D!$AR$8:$AR$791,1)</f>
        <v/>
      </c>
      <c r="D33" s="38" t="inlineStr">
        <is>
          <t>yes</t>
        </is>
      </c>
      <c r="E33" s="34">
        <f>IFERROR((INDEX(HIST_D!$AR$8:$AR$791,1)-INDEX(HIST_D!$AR$8:$AR$791,Control!$B$10))*100,"")</f>
        <v/>
      </c>
      <c r="F33" s="15">
        <f>IFERROR((INDEX(HIST_D!$D$8:$D$791,1)-INDEX(HIST_D!$D$8:$D$791,Control!$B$10))*100,"")</f>
        <v/>
      </c>
      <c r="G33" s="15">
        <f>IFERROR(E33-F33,"")</f>
        <v/>
      </c>
      <c r="H33" s="39">
        <f>IFERROR(IF(ABS(F33)&lt;Control!$B$13,"n/m",E33/F33),"n/m")</f>
        <v/>
      </c>
      <c r="I33" s="40">
        <f>IFERROR(SLOPE(HIST_D!$CK$8:INDEX(HIST_D!$CK$8:$CK$791,Control!$B$12),HIST_D!$BV$8:INDEX(HIST_D!$BV$8:$BV$791,Control!$B$12)),"")</f>
        <v/>
      </c>
      <c r="J33" s="15">
        <f>IFERROR(I33*(INDEX(HIST_D!$D$8:$D$791,1)-INDEX(HIST_D!$D$8:$D$791,Control!$B$10))*100,"")</f>
        <v/>
      </c>
      <c r="K33" s="41">
        <f>IFERROR(E33-J33,"")</f>
        <v/>
      </c>
      <c r="L33" s="34">
        <f>IFERROR((INDEX(HIST_D!$AR$8:$AR$791,1)-INDEX(HIST_D!$AR$8:$AR$791,Control!$B$11))*100,"")</f>
        <v/>
      </c>
      <c r="M33" s="15">
        <f>IFERROR((INDEX(HIST_D!$D$8:$D$791,1)-INDEX(HIST_D!$D$8:$D$791,Control!$B$11))*100,"")</f>
        <v/>
      </c>
      <c r="N33" s="15">
        <f>IFERROR(L33-M33,"")</f>
        <v/>
      </c>
      <c r="O33" s="39">
        <f>IFERROR(IF(ABS(M33)&lt;Control!$B$13,"n/m",L33/M33),"n/m")</f>
        <v/>
      </c>
      <c r="P33" s="40">
        <f>IFERROR(SLOPE(HIST_D!$CK$8:INDEX(HIST_D!$CK$8:$CK$791,Control!$B$12),HIST_D!$BV$8:INDEX(HIST_D!$BV$8:$BV$791,Control!$B$12)),"")</f>
        <v/>
      </c>
      <c r="Q33" s="15">
        <f>IFERROR(P33*(INDEX(HIST_D!$D$8:$D$791,1)-INDEX(HIST_D!$D$8:$D$791,Control!$B$11))*100,"")</f>
        <v/>
      </c>
      <c r="R33" s="41">
        <f>IFERROR(L33-Q33,"")</f>
        <v/>
      </c>
    </row>
    <row r="34">
      <c r="A34" s="13" t="inlineStr">
        <is>
          <t>India</t>
        </is>
      </c>
      <c r="B34" s="38" t="inlineStr">
        <is>
          <t>EM Asia</t>
        </is>
      </c>
      <c r="C34" s="14">
        <f>INDEX(HIST_D!$AS$8:$AS$791,1)</f>
        <v/>
      </c>
      <c r="D34" s="38" t="inlineStr">
        <is>
          <t>yes</t>
        </is>
      </c>
      <c r="E34" s="34">
        <f>IFERROR((INDEX(HIST_D!$AS$8:$AS$791,1)-INDEX(HIST_D!$AS$8:$AS$791,Control!$B$10))*100,"")</f>
        <v/>
      </c>
      <c r="F34" s="15">
        <f>IFERROR((INDEX(HIST_D!$D$8:$D$791,1)-INDEX(HIST_D!$D$8:$D$791,Control!$B$10))*100,"")</f>
        <v/>
      </c>
      <c r="G34" s="15">
        <f>IFERROR(E34-F34,"")</f>
        <v/>
      </c>
      <c r="H34" s="39">
        <f>IFERROR(IF(ABS(F34)&lt;Control!$B$13,"n/m",E34/F34),"n/m")</f>
        <v/>
      </c>
      <c r="I34" s="40">
        <f>IFERROR(SLOPE(HIST_D!$CL$8:INDEX(HIST_D!$CL$8:$CL$791,Control!$B$12),HIST_D!$BV$8:INDEX(HIST_D!$BV$8:$BV$791,Control!$B$12)),"")</f>
        <v/>
      </c>
      <c r="J34" s="15">
        <f>IFERROR(I34*(INDEX(HIST_D!$D$8:$D$791,1)-INDEX(HIST_D!$D$8:$D$791,Control!$B$10))*100,"")</f>
        <v/>
      </c>
      <c r="K34" s="41">
        <f>IFERROR(E34-J34,"")</f>
        <v/>
      </c>
      <c r="L34" s="34">
        <f>IFERROR((INDEX(HIST_D!$AS$8:$AS$791,1)-INDEX(HIST_D!$AS$8:$AS$791,Control!$B$11))*100,"")</f>
        <v/>
      </c>
      <c r="M34" s="15">
        <f>IFERROR((INDEX(HIST_D!$D$8:$D$791,1)-INDEX(HIST_D!$D$8:$D$791,Control!$B$11))*100,"")</f>
        <v/>
      </c>
      <c r="N34" s="15">
        <f>IFERROR(L34-M34,"")</f>
        <v/>
      </c>
      <c r="O34" s="39">
        <f>IFERROR(IF(ABS(M34)&lt;Control!$B$13,"n/m",L34/M34),"n/m")</f>
        <v/>
      </c>
      <c r="P34" s="40">
        <f>IFERROR(SLOPE(HIST_D!$CL$8:INDEX(HIST_D!$CL$8:$CL$791,Control!$B$12),HIST_D!$BV$8:INDEX(HIST_D!$BV$8:$BV$791,Control!$B$12)),"")</f>
        <v/>
      </c>
      <c r="Q34" s="15">
        <f>IFERROR(P34*(INDEX(HIST_D!$D$8:$D$791,1)-INDEX(HIST_D!$D$8:$D$791,Control!$B$11))*100,"")</f>
        <v/>
      </c>
      <c r="R34" s="41">
        <f>IFERROR(L34-Q34,"")</f>
        <v/>
      </c>
      <c r="S34" s="7" t="inlineStr">
        <is>
          <t>no sovereign USD debt, no CDS — rates and FX only</t>
        </is>
      </c>
    </row>
    <row r="35">
      <c r="A35" s="13" t="inlineStr">
        <is>
          <t>Indonesia</t>
        </is>
      </c>
      <c r="B35" s="38" t="inlineStr">
        <is>
          <t>EM Asia</t>
        </is>
      </c>
      <c r="C35" s="14">
        <f>INDEX(HIST_D!$AT$8:$AT$791,1)</f>
        <v/>
      </c>
      <c r="D35" s="38" t="inlineStr">
        <is>
          <t>yes</t>
        </is>
      </c>
      <c r="E35" s="34">
        <f>IFERROR((INDEX(HIST_D!$AT$8:$AT$791,1)-INDEX(HIST_D!$AT$8:$AT$791,Control!$B$10))*100,"")</f>
        <v/>
      </c>
      <c r="F35" s="15">
        <f>IFERROR((INDEX(HIST_D!$D$8:$D$791,1)-INDEX(HIST_D!$D$8:$D$791,Control!$B$10))*100,"")</f>
        <v/>
      </c>
      <c r="G35" s="15">
        <f>IFERROR(E35-F35,"")</f>
        <v/>
      </c>
      <c r="H35" s="39">
        <f>IFERROR(IF(ABS(F35)&lt;Control!$B$13,"n/m",E35/F35),"n/m")</f>
        <v/>
      </c>
      <c r="I35" s="40">
        <f>IFERROR(SLOPE(HIST_D!$CM$8:INDEX(HIST_D!$CM$8:$CM$791,Control!$B$12),HIST_D!$BV$8:INDEX(HIST_D!$BV$8:$BV$791,Control!$B$12)),"")</f>
        <v/>
      </c>
      <c r="J35" s="15">
        <f>IFERROR(I35*(INDEX(HIST_D!$D$8:$D$791,1)-INDEX(HIST_D!$D$8:$D$791,Control!$B$10))*100,"")</f>
        <v/>
      </c>
      <c r="K35" s="41">
        <f>IFERROR(E35-J35,"")</f>
        <v/>
      </c>
      <c r="L35" s="34">
        <f>IFERROR((INDEX(HIST_D!$AT$8:$AT$791,1)-INDEX(HIST_D!$AT$8:$AT$791,Control!$B$11))*100,"")</f>
        <v/>
      </c>
      <c r="M35" s="15">
        <f>IFERROR((INDEX(HIST_D!$D$8:$D$791,1)-INDEX(HIST_D!$D$8:$D$791,Control!$B$11))*100,"")</f>
        <v/>
      </c>
      <c r="N35" s="15">
        <f>IFERROR(L35-M35,"")</f>
        <v/>
      </c>
      <c r="O35" s="39">
        <f>IFERROR(IF(ABS(M35)&lt;Control!$B$13,"n/m",L35/M35),"n/m")</f>
        <v/>
      </c>
      <c r="P35" s="40">
        <f>IFERROR(SLOPE(HIST_D!$CM$8:INDEX(HIST_D!$CM$8:$CM$791,Control!$B$12),HIST_D!$BV$8:INDEX(HIST_D!$BV$8:$BV$791,Control!$B$12)),"")</f>
        <v/>
      </c>
      <c r="Q35" s="15">
        <f>IFERROR(P35*(INDEX(HIST_D!$D$8:$D$791,1)-INDEX(HIST_D!$D$8:$D$791,Control!$B$11))*100,"")</f>
        <v/>
      </c>
      <c r="R35" s="41">
        <f>IFERROR(L35-Q35,"")</f>
        <v/>
      </c>
    </row>
    <row r="36">
      <c r="A36" s="13" t="inlineStr">
        <is>
          <t>Korea</t>
        </is>
      </c>
      <c r="B36" s="38" t="inlineStr">
        <is>
          <t>EM Asia</t>
        </is>
      </c>
      <c r="C36" s="14">
        <f>INDEX(HIST_D!$AU$8:$AU$791,1)</f>
        <v/>
      </c>
      <c r="D36" s="38" t="inlineStr">
        <is>
          <t>yes</t>
        </is>
      </c>
      <c r="E36" s="34">
        <f>IFERROR((INDEX(HIST_D!$AU$8:$AU$791,1)-INDEX(HIST_D!$AU$8:$AU$791,Control!$B$10))*100,"")</f>
        <v/>
      </c>
      <c r="F36" s="15">
        <f>IFERROR((INDEX(HIST_D!$D$8:$D$791,1)-INDEX(HIST_D!$D$8:$D$791,Control!$B$10))*100,"")</f>
        <v/>
      </c>
      <c r="G36" s="15">
        <f>IFERROR(E36-F36,"")</f>
        <v/>
      </c>
      <c r="H36" s="39">
        <f>IFERROR(IF(ABS(F36)&lt;Control!$B$13,"n/m",E36/F36),"n/m")</f>
        <v/>
      </c>
      <c r="I36" s="40">
        <f>IFERROR(SLOPE(HIST_D!$CN$8:INDEX(HIST_D!$CN$8:$CN$791,Control!$B$12),HIST_D!$BV$8:INDEX(HIST_D!$BV$8:$BV$791,Control!$B$12)),"")</f>
        <v/>
      </c>
      <c r="J36" s="15">
        <f>IFERROR(I36*(INDEX(HIST_D!$D$8:$D$791,1)-INDEX(HIST_D!$D$8:$D$791,Control!$B$10))*100,"")</f>
        <v/>
      </c>
      <c r="K36" s="41">
        <f>IFERROR(E36-J36,"")</f>
        <v/>
      </c>
      <c r="L36" s="34">
        <f>IFERROR((INDEX(HIST_D!$AU$8:$AU$791,1)-INDEX(HIST_D!$AU$8:$AU$791,Control!$B$11))*100,"")</f>
        <v/>
      </c>
      <c r="M36" s="15">
        <f>IFERROR((INDEX(HIST_D!$D$8:$D$791,1)-INDEX(HIST_D!$D$8:$D$791,Control!$B$11))*100,"")</f>
        <v/>
      </c>
      <c r="N36" s="15">
        <f>IFERROR(L36-M36,"")</f>
        <v/>
      </c>
      <c r="O36" s="39">
        <f>IFERROR(IF(ABS(M36)&lt;Control!$B$13,"n/m",L36/M36),"n/m")</f>
        <v/>
      </c>
      <c r="P36" s="40">
        <f>IFERROR(SLOPE(HIST_D!$CN$8:INDEX(HIST_D!$CN$8:$CN$791,Control!$B$12),HIST_D!$BV$8:INDEX(HIST_D!$BV$8:$BV$791,Control!$B$12)),"")</f>
        <v/>
      </c>
      <c r="Q36" s="15">
        <f>IFERROR(P36*(INDEX(HIST_D!$D$8:$D$791,1)-INDEX(HIST_D!$D$8:$D$791,Control!$B$11))*100,"")</f>
        <v/>
      </c>
      <c r="R36" s="41">
        <f>IFERROR(L36-Q36,"")</f>
        <v/>
      </c>
    </row>
    <row r="37">
      <c r="A37" s="13" t="inlineStr">
        <is>
          <t>Thailand</t>
        </is>
      </c>
      <c r="B37" s="38" t="inlineStr">
        <is>
          <t>EM Asia</t>
        </is>
      </c>
      <c r="C37" s="14">
        <f>INDEX(HIST_D!$AV$8:$AV$791,1)</f>
        <v/>
      </c>
      <c r="D37" s="38" t="inlineStr">
        <is>
          <t>yes</t>
        </is>
      </c>
      <c r="E37" s="34">
        <f>IFERROR((INDEX(HIST_D!$AV$8:$AV$791,1)-INDEX(HIST_D!$AV$8:$AV$791,Control!$B$10))*100,"")</f>
        <v/>
      </c>
      <c r="F37" s="15">
        <f>IFERROR((INDEX(HIST_D!$D$8:$D$791,1)-INDEX(HIST_D!$D$8:$D$791,Control!$B$10))*100,"")</f>
        <v/>
      </c>
      <c r="G37" s="15">
        <f>IFERROR(E37-F37,"")</f>
        <v/>
      </c>
      <c r="H37" s="39">
        <f>IFERROR(IF(ABS(F37)&lt;Control!$B$13,"n/m",E37/F37),"n/m")</f>
        <v/>
      </c>
      <c r="I37" s="40">
        <f>IFERROR(SLOPE(HIST_D!$CO$8:INDEX(HIST_D!$CO$8:$CO$791,Control!$B$12),HIST_D!$BV$8:INDEX(HIST_D!$BV$8:$BV$791,Control!$B$12)),"")</f>
        <v/>
      </c>
      <c r="J37" s="15">
        <f>IFERROR(I37*(INDEX(HIST_D!$D$8:$D$791,1)-INDEX(HIST_D!$D$8:$D$791,Control!$B$10))*100,"")</f>
        <v/>
      </c>
      <c r="K37" s="41">
        <f>IFERROR(E37-J37,"")</f>
        <v/>
      </c>
      <c r="L37" s="34">
        <f>IFERROR((INDEX(HIST_D!$AV$8:$AV$791,1)-INDEX(HIST_D!$AV$8:$AV$791,Control!$B$11))*100,"")</f>
        <v/>
      </c>
      <c r="M37" s="15">
        <f>IFERROR((INDEX(HIST_D!$D$8:$D$791,1)-INDEX(HIST_D!$D$8:$D$791,Control!$B$11))*100,"")</f>
        <v/>
      </c>
      <c r="N37" s="15">
        <f>IFERROR(L37-M37,"")</f>
        <v/>
      </c>
      <c r="O37" s="39">
        <f>IFERROR(IF(ABS(M37)&lt;Control!$B$13,"n/m",L37/M37),"n/m")</f>
        <v/>
      </c>
      <c r="P37" s="40">
        <f>IFERROR(SLOPE(HIST_D!$CO$8:INDEX(HIST_D!$CO$8:$CO$791,Control!$B$12),HIST_D!$BV$8:INDEX(HIST_D!$BV$8:$BV$791,Control!$B$12)),"")</f>
        <v/>
      </c>
      <c r="Q37" s="15">
        <f>IFERROR(P37*(INDEX(HIST_D!$D$8:$D$791,1)-INDEX(HIST_D!$D$8:$D$791,Control!$B$11))*100,"")</f>
        <v/>
      </c>
      <c r="R37" s="41">
        <f>IFERROR(L37-Q37,"")</f>
        <v/>
      </c>
    </row>
    <row r="38">
      <c r="A38" s="13" t="inlineStr">
        <is>
          <t>Malaysia</t>
        </is>
      </c>
      <c r="B38" s="38" t="inlineStr">
        <is>
          <t>EM Asia</t>
        </is>
      </c>
      <c r="C38" s="14">
        <f>INDEX(HIST_D!$AW$8:$AW$791,1)</f>
        <v/>
      </c>
      <c r="D38" s="38" t="inlineStr">
        <is>
          <t>yes</t>
        </is>
      </c>
      <c r="E38" s="34">
        <f>IFERROR((INDEX(HIST_D!$AW$8:$AW$791,1)-INDEX(HIST_D!$AW$8:$AW$791,Control!$B$10))*100,"")</f>
        <v/>
      </c>
      <c r="F38" s="15">
        <f>IFERROR((INDEX(HIST_D!$D$8:$D$791,1)-INDEX(HIST_D!$D$8:$D$791,Control!$B$10))*100,"")</f>
        <v/>
      </c>
      <c r="G38" s="15">
        <f>IFERROR(E38-F38,"")</f>
        <v/>
      </c>
      <c r="H38" s="39">
        <f>IFERROR(IF(ABS(F38)&lt;Control!$B$13,"n/m",E38/F38),"n/m")</f>
        <v/>
      </c>
      <c r="I38" s="40">
        <f>IFERROR(SLOPE(HIST_D!$CP$8:INDEX(HIST_D!$CP$8:$CP$791,Control!$B$12),HIST_D!$BV$8:INDEX(HIST_D!$BV$8:$BV$791,Control!$B$12)),"")</f>
        <v/>
      </c>
      <c r="J38" s="15">
        <f>IFERROR(I38*(INDEX(HIST_D!$D$8:$D$791,1)-INDEX(HIST_D!$D$8:$D$791,Control!$B$10))*100,"")</f>
        <v/>
      </c>
      <c r="K38" s="41">
        <f>IFERROR(E38-J38,"")</f>
        <v/>
      </c>
      <c r="L38" s="34">
        <f>IFERROR((INDEX(HIST_D!$AW$8:$AW$791,1)-INDEX(HIST_D!$AW$8:$AW$791,Control!$B$11))*100,"")</f>
        <v/>
      </c>
      <c r="M38" s="15">
        <f>IFERROR((INDEX(HIST_D!$D$8:$D$791,1)-INDEX(HIST_D!$D$8:$D$791,Control!$B$11))*100,"")</f>
        <v/>
      </c>
      <c r="N38" s="15">
        <f>IFERROR(L38-M38,"")</f>
        <v/>
      </c>
      <c r="O38" s="39">
        <f>IFERROR(IF(ABS(M38)&lt;Control!$B$13,"n/m",L38/M38),"n/m")</f>
        <v/>
      </c>
      <c r="P38" s="40">
        <f>IFERROR(SLOPE(HIST_D!$CP$8:INDEX(HIST_D!$CP$8:$CP$791,Control!$B$12),HIST_D!$BV$8:INDEX(HIST_D!$BV$8:$BV$791,Control!$B$12)),"")</f>
        <v/>
      </c>
      <c r="Q38" s="15">
        <f>IFERROR(P38*(INDEX(HIST_D!$D$8:$D$791,1)-INDEX(HIST_D!$D$8:$D$791,Control!$B$11))*100,"")</f>
        <v/>
      </c>
      <c r="R38" s="41">
        <f>IFERROR(L38-Q38,"")</f>
        <v/>
      </c>
    </row>
    <row r="39">
      <c r="A39" s="13" t="inlineStr">
        <is>
          <t>Philippines</t>
        </is>
      </c>
      <c r="B39" s="38" t="inlineStr">
        <is>
          <t>EM Asia</t>
        </is>
      </c>
      <c r="C39" s="14">
        <f>INDEX(HIST_D!$AX$8:$AX$791,1)</f>
        <v/>
      </c>
      <c r="D39" s="38" t="inlineStr">
        <is>
          <t>yes</t>
        </is>
      </c>
      <c r="E39" s="34">
        <f>IFERROR((INDEX(HIST_D!$AX$8:$AX$791,1)-INDEX(HIST_D!$AX$8:$AX$791,Control!$B$10))*100,"")</f>
        <v/>
      </c>
      <c r="F39" s="15">
        <f>IFERROR((INDEX(HIST_D!$D$8:$D$791,1)-INDEX(HIST_D!$D$8:$D$791,Control!$B$10))*100,"")</f>
        <v/>
      </c>
      <c r="G39" s="15">
        <f>IFERROR(E39-F39,"")</f>
        <v/>
      </c>
      <c r="H39" s="39">
        <f>IFERROR(IF(ABS(F39)&lt;Control!$B$13,"n/m",E39/F39),"n/m")</f>
        <v/>
      </c>
      <c r="I39" s="40">
        <f>IFERROR(SLOPE(HIST_D!$CQ$8:INDEX(HIST_D!$CQ$8:$CQ$791,Control!$B$12),HIST_D!$BV$8:INDEX(HIST_D!$BV$8:$BV$791,Control!$B$12)),"")</f>
        <v/>
      </c>
      <c r="J39" s="15">
        <f>IFERROR(I39*(INDEX(HIST_D!$D$8:$D$791,1)-INDEX(HIST_D!$D$8:$D$791,Control!$B$10))*100,"")</f>
        <v/>
      </c>
      <c r="K39" s="41">
        <f>IFERROR(E39-J39,"")</f>
        <v/>
      </c>
      <c r="L39" s="34">
        <f>IFERROR((INDEX(HIST_D!$AX$8:$AX$791,1)-INDEX(HIST_D!$AX$8:$AX$791,Control!$B$11))*100,"")</f>
        <v/>
      </c>
      <c r="M39" s="15">
        <f>IFERROR((INDEX(HIST_D!$D$8:$D$791,1)-INDEX(HIST_D!$D$8:$D$791,Control!$B$11))*100,"")</f>
        <v/>
      </c>
      <c r="N39" s="15">
        <f>IFERROR(L39-M39,"")</f>
        <v/>
      </c>
      <c r="O39" s="39">
        <f>IFERROR(IF(ABS(M39)&lt;Control!$B$13,"n/m",L39/M39),"n/m")</f>
        <v/>
      </c>
      <c r="P39" s="40">
        <f>IFERROR(SLOPE(HIST_D!$CQ$8:INDEX(HIST_D!$CQ$8:$CQ$791,Control!$B$12),HIST_D!$BV$8:INDEX(HIST_D!$BV$8:$BV$791,Control!$B$12)),"")</f>
        <v/>
      </c>
      <c r="Q39" s="15">
        <f>IFERROR(P39*(INDEX(HIST_D!$D$8:$D$791,1)-INDEX(HIST_D!$D$8:$D$791,Control!$B$11))*100,"")</f>
        <v/>
      </c>
      <c r="R39" s="41">
        <f>IFERROR(L39-Q39,"")</f>
        <v/>
      </c>
    </row>
    <row r="40">
      <c r="A40" s="18" t="inlineStr">
        <is>
          <t>EM Asia average</t>
        </is>
      </c>
      <c r="B40" s="38" t="inlineStr">
        <is>
          <t>n=7</t>
        </is>
      </c>
      <c r="C40" s="13" t="inlineStr"/>
      <c r="D40" s="13" t="inlineStr"/>
      <c r="E40" s="34">
        <f>IFERROR(AVERAGE(E33,E34,E35,E36,E37,E38,E39),"")</f>
        <v/>
      </c>
      <c r="F40" s="34">
        <f>IFERROR(AVERAGE(F33,F34,F35,F36,F37,F38,F39),"")</f>
        <v/>
      </c>
      <c r="G40" s="34">
        <f>IFERROR(AVERAGE(G33,G34,G35,G36,G37,G38,G39),"")</f>
        <v/>
      </c>
      <c r="H40" s="42">
        <f>IFERROR(IF(ABS(F40)&lt;Control!$B$13,"n/m",E40/F40),"n/m")</f>
        <v/>
      </c>
      <c r="I40" s="43">
        <f>IFERROR(AVERAGE(I33,I34,I35,I36,I37,I38,I39),"")</f>
        <v/>
      </c>
      <c r="J40" s="34">
        <f>IFERROR(AVERAGE(J33,J34,J35,J36,J37,J38,J39),"")</f>
        <v/>
      </c>
      <c r="K40" s="34">
        <f>IFERROR(AVERAGE(K33,K34,K35,K36,K37,K38,K39),"")</f>
        <v/>
      </c>
      <c r="L40" s="34">
        <f>IFERROR(AVERAGE(L33,L34,L35,L36,L37,L38,L39),"")</f>
        <v/>
      </c>
      <c r="M40" s="34">
        <f>IFERROR(AVERAGE(M33,M34,M35,M36,M37,M38,M39),"")</f>
        <v/>
      </c>
      <c r="N40" s="34">
        <f>IFERROR(AVERAGE(N33,N34,N35,N36,N37,N38,N39),"")</f>
        <v/>
      </c>
      <c r="O40" s="42">
        <f>IFERROR(IF(ABS(M40)&lt;Control!$B$13,"n/m",L40/M40),"n/m")</f>
        <v/>
      </c>
      <c r="P40" s="43">
        <f>IFERROR(AVERAGE(P33,P34,P35,P36,P37,P38,P39),"")</f>
        <v/>
      </c>
      <c r="Q40" s="34">
        <f>IFERROR(AVERAGE(Q33,Q34,Q35,Q36,Q37,Q38,Q39),"")</f>
        <v/>
      </c>
      <c r="R40" s="34">
        <f>IFERROR(AVERAGE(R33,R34,R35,R36,R37,R38,R39),"")</f>
        <v/>
      </c>
    </row>
    <row r="41">
      <c r="A41" s="7">
        <f>IFERROR("EM Asia: local 10Y "&amp;TEXT($E$40,"+0;-0")&amp;"bp on the month against UST 10Y "&amp;TEXT($F$40,"+0;-0")&amp;"bp, so the gap to Treasuries moved "&amp;TEXT($G$40,"+0;-0")&amp;"bp"&amp;IF(ISNUMBER($H$40)," (pass-through "&amp;TEXT($H$40,"0.00")&amp;"x)","")&amp;". History (2y beta "&amp;TEXT($I$40,"0.00")&amp;") would have predicted "&amp;TEXT($J$40,"+0;-0")&amp;"bp; the surprise is "&amp;TEXT($K$40,"+0;-0")&amp;"bp. YTD: "&amp;TEXT($L$40,"+0;-0")&amp;"bp against "&amp;TEXT($M$40,"+0;-0")&amp;"bp, gap "&amp;TEXT($N$40,"+0;-0")&amp;"bp"&amp;IF(ISNUMBER($O$40)," (pass-through "&amp;TEXT($O$40,"0.00")&amp;"x)","")&amp;". "&amp;IF($K$40&lt;-5,"The curve did better than its own history — absorbed.",IF($K$40&gt;5,"The curve did worse than its own history — imported.","Moved in line with its own history.")),"")</f>
        <v/>
      </c>
    </row>
    <row r="43" ht="16" customHeight="1">
      <c r="A43" s="36" t="inlineStr">
        <is>
          <t>EM AVERAGE AND MEMO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</row>
    <row r="44" ht="40" customHeight="1">
      <c r="A44" s="12" t="inlineStr">
        <is>
          <t>Country</t>
        </is>
      </c>
      <c r="B44" s="12" t="inlineStr">
        <is>
          <t>Region</t>
        </is>
      </c>
      <c r="C44" s="12" t="inlineStr">
        <is>
          <t>Level</t>
        </is>
      </c>
      <c r="D44" s="12" t="inlineStr">
        <is>
          <t>In avg</t>
        </is>
      </c>
      <c r="E44" s="12" t="inlineStr">
        <is>
          <t>1M: Total move (bp)</t>
        </is>
      </c>
      <c r="F44" s="12" t="inlineStr">
        <is>
          <t>1M: US-driven: d UST 10Y (bp)</t>
        </is>
      </c>
      <c r="G44" s="12" t="inlineStr">
        <is>
          <t>1M: Intrinsic: d gap to UST (bp)</t>
        </is>
      </c>
      <c r="H44" s="12" t="inlineStr">
        <is>
          <t>1M: Pass-through (total / US)</t>
        </is>
      </c>
      <c r="I44" s="12" t="inlineStr">
        <is>
          <t>1M: Beta to UST 10Y (2y)</t>
        </is>
      </c>
      <c r="J44" s="12" t="inlineStr">
        <is>
          <t>1M: Predicted by beta (bp)</t>
        </is>
      </c>
      <c r="K44" s="12" t="inlineStr">
        <is>
          <t>1M: Surprise: actual less predicted (bp)</t>
        </is>
      </c>
      <c r="L44" s="12" t="inlineStr">
        <is>
          <t>YTD: Total move (bp)</t>
        </is>
      </c>
      <c r="M44" s="12" t="inlineStr">
        <is>
          <t>YTD: US-driven: d UST 10Y (bp)</t>
        </is>
      </c>
      <c r="N44" s="12" t="inlineStr">
        <is>
          <t>YTD: Intrinsic: d gap to UST (bp)</t>
        </is>
      </c>
      <c r="O44" s="12" t="inlineStr">
        <is>
          <t>YTD: Pass-through (total / US)</t>
        </is>
      </c>
      <c r="P44" s="12" t="inlineStr">
        <is>
          <t>YTD: Beta to UST 10Y (2y)</t>
        </is>
      </c>
      <c r="Q44" s="12" t="inlineStr">
        <is>
          <t>YTD: Predicted by beta (bp)</t>
        </is>
      </c>
      <c r="R44" s="12" t="inlineStr">
        <is>
          <t>YTD: Surprise: actual less predicted (bp)</t>
        </is>
      </c>
    </row>
    <row r="45">
      <c r="A45" s="18" t="inlineStr">
        <is>
          <t>EM average (all flagged)</t>
        </is>
      </c>
      <c r="B45" s="38" t="inlineStr">
        <is>
          <t>n=18</t>
        </is>
      </c>
      <c r="C45" s="13" t="inlineStr"/>
      <c r="D45" s="13" t="inlineStr"/>
      <c r="E45" s="34">
        <f>IFERROR(AVERAGE(E6,E7,E8,E9,E10,E16,E17,E18,E19,E26,E27,E33,E34,E35,E36,E37,E38,E39),"")</f>
        <v/>
      </c>
      <c r="F45" s="34">
        <f>IFERROR(AVERAGE(F6,F7,F8,F9,F10,F16,F17,F18,F19,F26,F27,F33,F34,F35,F36,F37,F38,F39),"")</f>
        <v/>
      </c>
      <c r="G45" s="34">
        <f>IFERROR(AVERAGE(G6,G7,G8,G9,G10,G16,G17,G18,G19,G26,G27,G33,G34,G35,G36,G37,G38,G39),"")</f>
        <v/>
      </c>
      <c r="H45" s="42">
        <f>IFERROR(IF(ABS(F45)&lt;Control!$B$13,"n/m",E45/F45),"n/m")</f>
        <v/>
      </c>
      <c r="I45" s="43">
        <f>IFERROR(AVERAGE(I6,I7,I8,I9,I10,I16,I17,I18,I19,I26,I27,I33,I34,I35,I36,I37,I38,I39),"")</f>
        <v/>
      </c>
      <c r="J45" s="34">
        <f>IFERROR(AVERAGE(J6,J7,J8,J9,J10,J16,J17,J18,J19,J26,J27,J33,J34,J35,J36,J37,J38,J39),"")</f>
        <v/>
      </c>
      <c r="K45" s="34">
        <f>IFERROR(AVERAGE(K6,K7,K8,K9,K10,K16,K17,K18,K19,K26,K27,K33,K34,K35,K36,K37,K38,K39),"")</f>
        <v/>
      </c>
      <c r="L45" s="34">
        <f>IFERROR(AVERAGE(L6,L7,L8,L9,L10,L16,L17,L18,L19,L26,L27,L33,L34,L35,L36,L37,L38,L39),"")</f>
        <v/>
      </c>
      <c r="M45" s="34">
        <f>IFERROR(AVERAGE(M6,M7,M8,M9,M10,M16,M17,M18,M19,M26,M27,M33,M34,M35,M36,M37,M38,M39),"")</f>
        <v/>
      </c>
      <c r="N45" s="34">
        <f>IFERROR(AVERAGE(N6,N7,N8,N9,N10,N16,N17,N18,N19,N26,N27,N33,N34,N35,N36,N37,N38,N39),"")</f>
        <v/>
      </c>
      <c r="O45" s="42">
        <f>IFERROR(IF(ABS(M45)&lt;Control!$B$13,"n/m",L45/M45),"n/m")</f>
        <v/>
      </c>
      <c r="P45" s="43">
        <f>IFERROR(AVERAGE(P6,P7,P8,P9,P10,P16,P17,P18,P19,P26,P27,P33,P34,P35,P36,P37,P38,P39),"")</f>
        <v/>
      </c>
      <c r="Q45" s="34">
        <f>IFERROR(AVERAGE(Q6,Q7,Q8,Q9,Q10,Q16,Q17,Q18,Q19,Q26,Q27,Q33,Q34,Q35,Q36,Q37,Q38,Q39),"")</f>
        <v/>
      </c>
      <c r="R45" s="34">
        <f>IFERROR(AVERAGE(R6,R7,R8,R9,R10,R16,R17,R18,R19,R26,R27,R33,R34,R35,R36,R37,R38,R39),"")</f>
        <v/>
      </c>
    </row>
    <row r="46">
      <c r="A46" s="13" t="inlineStr">
        <is>
          <t>South Africa</t>
        </is>
      </c>
      <c r="B46" s="38" t="inlineStr">
        <is>
          <t>(memo)</t>
        </is>
      </c>
      <c r="C46" s="14">
        <f>INDEX(HIST_D!$AY$8:$AY$791,1)</f>
        <v/>
      </c>
      <c r="D46" s="44" t="inlineStr">
        <is>
          <t>no</t>
        </is>
      </c>
      <c r="E46" s="34">
        <f>IFERROR((INDEX(HIST_D!$AY$8:$AY$791,1)-INDEX(HIST_D!$AY$8:$AY$791,Control!$B$10))*100,"")</f>
        <v/>
      </c>
      <c r="F46" s="15">
        <f>IFERROR((INDEX(HIST_D!$D$8:$D$791,1)-INDEX(HIST_D!$D$8:$D$791,Control!$B$10))*100,"")</f>
        <v/>
      </c>
      <c r="G46" s="15">
        <f>IFERROR(E46-F46,"")</f>
        <v/>
      </c>
      <c r="H46" s="39">
        <f>IFERROR(IF(ABS(F46)&lt;Control!$B$13,"n/m",E46/F46),"n/m")</f>
        <v/>
      </c>
      <c r="I46" s="40">
        <f>IFERROR(SLOPE(HIST_D!$CR$8:INDEX(HIST_D!$CR$8:$CR$791,Control!$B$12),HIST_D!$BV$8:INDEX(HIST_D!$BV$8:$BV$791,Control!$B$12)),"")</f>
        <v/>
      </c>
      <c r="J46" s="15">
        <f>IFERROR(I46*(INDEX(HIST_D!$D$8:$D$791,1)-INDEX(HIST_D!$D$8:$D$791,Control!$B$10))*100,"")</f>
        <v/>
      </c>
      <c r="K46" s="41">
        <f>IFERROR(E46-J46,"")</f>
        <v/>
      </c>
      <c r="L46" s="34">
        <f>IFERROR((INDEX(HIST_D!$AY$8:$AY$791,1)-INDEX(HIST_D!$AY$8:$AY$791,Control!$B$11))*100,"")</f>
        <v/>
      </c>
      <c r="M46" s="15">
        <f>IFERROR((INDEX(HIST_D!$D$8:$D$791,1)-INDEX(HIST_D!$D$8:$D$791,Control!$B$11))*100,"")</f>
        <v/>
      </c>
      <c r="N46" s="15">
        <f>IFERROR(L46-M46,"")</f>
        <v/>
      </c>
      <c r="O46" s="39">
        <f>IFERROR(IF(ABS(M46)&lt;Control!$B$13,"n/m",L46/M46),"n/m")</f>
        <v/>
      </c>
      <c r="P46" s="40">
        <f>IFERROR(SLOPE(HIST_D!$CR$8:INDEX(HIST_D!$CR$8:$CR$791,Control!$B$12),HIST_D!$BV$8:INDEX(HIST_D!$BV$8:$BV$791,Control!$B$12)),"")</f>
        <v/>
      </c>
      <c r="Q46" s="15">
        <f>IFERROR(P46*(INDEX(HIST_D!$D$8:$D$791,1)-INDEX(HIST_D!$D$8:$D$791,Control!$B$11))*100,"")</f>
        <v/>
      </c>
      <c r="R46" s="41">
        <f>IFERROR(L46-Q46,"")</f>
        <v/>
      </c>
      <c r="S46" s="7" t="inlineStr">
        <is>
          <t>not in any of the four regions you named; shown as a memo line, in no average</t>
        </is>
      </c>
    </row>
    <row r="47">
      <c r="A47" s="5">
        <f>IFERROR("EM: local 10Y "&amp;TEXT($E$45,"+0;-0")&amp;"bp on the month against UST 10Y "&amp;TEXT($F$45,"+0;-0")&amp;"bp, so the gap to Treasuries moved "&amp;TEXT($G$45,"+0;-0")&amp;"bp"&amp;IF(ISNUMBER($H$45)," (pass-through "&amp;TEXT($H$45,"0.00")&amp;"x)","")&amp;". History (2y beta "&amp;TEXT($I$45,"0.00")&amp;") would have predicted "&amp;TEXT($J$45,"+0;-0")&amp;"bp; the surprise is "&amp;TEXT($K$45,"+0;-0")&amp;"bp. YTD: "&amp;TEXT($L$45,"+0;-0")&amp;"bp against "&amp;TEXT($M$45,"+0;-0")&amp;"bp, gap "&amp;TEXT($N$45,"+0;-0")&amp;"bp"&amp;IF(ISNUMBER($O$45)," (pass-through "&amp;TEXT($O$45,"0.00")&amp;"x)","")&amp;". "&amp;IF($K$45&lt;-5,"The curve did better than its own history — absorbed.",IF($K$45&gt;5,"The curve did worse than its own history — imported.","Moved in line with its own history.")),"")</f>
        <v/>
      </c>
    </row>
  </sheetData>
  <conditionalFormatting sqref="G5:G49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K5:K49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N5:N49">
    <cfRule type="colorScale" priority="3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R5:R49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CURRENCIES  —  return on the currency, by country and region</t>
        </is>
      </c>
    </row>
    <row r="2">
      <c r="A2" s="2" t="inlineStr">
        <is>
          <t>Return on the EM currency (prior/current - 1, so positive = EM strength) = -(DXY return) + return ex-dollar. US-driven is the dollar under a beta of one; intrinsic is what is left after the dollar. Pass-through = total / US-driven.</t>
        </is>
      </c>
    </row>
    <row r="4" ht="16" customHeight="1">
      <c r="A4" s="36" t="inlineStr">
        <is>
          <t>LATAM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return on EM ccy</t>
        </is>
      </c>
      <c r="F5" s="12" t="inlineStr">
        <is>
          <t>1M: US-driven: -(DXY return)</t>
        </is>
      </c>
      <c r="G5" s="12" t="inlineStr">
        <is>
          <t>1M: Intrinsic: return ex-dollar</t>
        </is>
      </c>
      <c r="H5" s="12" t="inlineStr">
        <is>
          <t>1M: Pass-through (total / US)</t>
        </is>
      </c>
      <c r="I5" s="12" t="inlineStr">
        <is>
          <t>1M: Beta to DXY (2y)</t>
        </is>
      </c>
      <c r="J5" s="12" t="inlineStr">
        <is>
          <t>1M: Predicted by beta</t>
        </is>
      </c>
      <c r="K5" s="12" t="inlineStr">
        <is>
          <t>1M: Surprise: actual less predicted</t>
        </is>
      </c>
      <c r="L5" s="12" t="inlineStr">
        <is>
          <t>YTD: Total: return on EM ccy</t>
        </is>
      </c>
      <c r="M5" s="12" t="inlineStr">
        <is>
          <t>YTD: US-driven: -(DXY return)</t>
        </is>
      </c>
      <c r="N5" s="12" t="inlineStr">
        <is>
          <t>YTD: Intrinsic: return ex-dollar</t>
        </is>
      </c>
      <c r="O5" s="12" t="inlineStr">
        <is>
          <t>YTD: Pass-through (total / US)</t>
        </is>
      </c>
      <c r="P5" s="12" t="inlineStr">
        <is>
          <t>YTD: Beta to DXY (2y)</t>
        </is>
      </c>
      <c r="Q5" s="12" t="inlineStr">
        <is>
          <t>YTD: Predicted by beta</t>
        </is>
      </c>
      <c r="R5" s="12" t="inlineStr">
        <is>
          <t>YTD: Surprise: actual less predicted</t>
        </is>
      </c>
    </row>
    <row r="6">
      <c r="A6" s="13" t="inlineStr">
        <is>
          <t>Brazil</t>
        </is>
      </c>
      <c r="B6" s="38" t="inlineStr">
        <is>
          <t>LatAm</t>
        </is>
      </c>
      <c r="C6" s="45">
        <f>INDEX(HIST_D!$L$8:$L$791,1)</f>
        <v/>
      </c>
      <c r="D6" s="38" t="inlineStr">
        <is>
          <t>yes</t>
        </is>
      </c>
      <c r="E6" s="35">
        <f>IFERROR((INDEX(HIST_D!$L$8:$L$791,Control!$B$10)/INDEX(HIST_D!$L$8:$L$791,1)-1),"")</f>
        <v/>
      </c>
      <c r="F6" s="17">
        <f>IFERROR(-(INDEX(HIST_D!$I$8:$I$791,1)/INDEX(HIST_D!$I$8:$I$791,Control!$B$10)-1),"")</f>
        <v/>
      </c>
      <c r="G6" s="17">
        <f>IFERROR(E6-F6,"")</f>
        <v/>
      </c>
      <c r="H6" s="39">
        <f>IFERROR(IF(ABS(F6)&lt;0.005,"n/m",E6/F6),"n/m")</f>
        <v/>
      </c>
      <c r="I6" s="40">
        <f>IFERROR(SLOPE(HIST_D!$CS$8:INDEX(HIST_D!$CS$8:$CS$791,Control!$B$12),HIST_D!$BX$8:INDEX(HIST_D!$BX$8:$BX$791,Control!$B$12)),"")</f>
        <v/>
      </c>
      <c r="J6" s="17">
        <f>IFERROR(I6*(INDEX(HIST_D!$I$8:$I$791,1)/INDEX(HIST_D!$I$8:$I$791,Control!$B$10)-1),"")</f>
        <v/>
      </c>
      <c r="K6" s="46">
        <f>IFERROR(E6-J6,"")</f>
        <v/>
      </c>
      <c r="L6" s="35">
        <f>IFERROR((INDEX(HIST_D!$L$8:$L$791,Control!$B$11)/INDEX(HIST_D!$L$8:$L$791,1)-1),"")</f>
        <v/>
      </c>
      <c r="M6" s="17">
        <f>IFERROR(-(INDEX(HIST_D!$I$8:$I$791,1)/INDEX(HIST_D!$I$8:$I$791,Control!$B$11)-1),"")</f>
        <v/>
      </c>
      <c r="N6" s="17">
        <f>IFERROR(L6-M6,"")</f>
        <v/>
      </c>
      <c r="O6" s="39">
        <f>IFERROR(IF(ABS(M6)&lt;0.005,"n/m",L6/M6),"n/m")</f>
        <v/>
      </c>
      <c r="P6" s="40">
        <f>IFERROR(SLOPE(HIST_D!$CS$8:INDEX(HIST_D!$CS$8:$CS$791,Control!$B$12),HIST_D!$BX$8:INDEX(HIST_D!$BX$8:$BX$791,Control!$B$12)),"")</f>
        <v/>
      </c>
      <c r="Q6" s="17">
        <f>IFERROR(P6*(INDEX(HIST_D!$I$8:$I$791,1)/INDEX(HIST_D!$I$8:$I$791,Control!$B$11)-1),"")</f>
        <v/>
      </c>
      <c r="R6" s="46">
        <f>IFERROR(L6-Q6,"")</f>
        <v/>
      </c>
    </row>
    <row r="7">
      <c r="A7" s="13" t="inlineStr">
        <is>
          <t>Mexico</t>
        </is>
      </c>
      <c r="B7" s="38" t="inlineStr">
        <is>
          <t>LatAm</t>
        </is>
      </c>
      <c r="C7" s="45">
        <f>INDEX(HIST_D!$M$8:$M$791,1)</f>
        <v/>
      </c>
      <c r="D7" s="38" t="inlineStr">
        <is>
          <t>yes</t>
        </is>
      </c>
      <c r="E7" s="35">
        <f>IFERROR((INDEX(HIST_D!$M$8:$M$791,Control!$B$10)/INDEX(HIST_D!$M$8:$M$791,1)-1),"")</f>
        <v/>
      </c>
      <c r="F7" s="17">
        <f>IFERROR(-(INDEX(HIST_D!$I$8:$I$791,1)/INDEX(HIST_D!$I$8:$I$791,Control!$B$10)-1),"")</f>
        <v/>
      </c>
      <c r="G7" s="17">
        <f>IFERROR(E7-F7,"")</f>
        <v/>
      </c>
      <c r="H7" s="39">
        <f>IFERROR(IF(ABS(F7)&lt;0.005,"n/m",E7/F7),"n/m")</f>
        <v/>
      </c>
      <c r="I7" s="40">
        <f>IFERROR(SLOPE(HIST_D!$CT$8:INDEX(HIST_D!$CT$8:$CT$791,Control!$B$12),HIST_D!$BX$8:INDEX(HIST_D!$BX$8:$BX$791,Control!$B$12)),"")</f>
        <v/>
      </c>
      <c r="J7" s="17">
        <f>IFERROR(I7*(INDEX(HIST_D!$I$8:$I$791,1)/INDEX(HIST_D!$I$8:$I$791,Control!$B$10)-1),"")</f>
        <v/>
      </c>
      <c r="K7" s="46">
        <f>IFERROR(E7-J7,"")</f>
        <v/>
      </c>
      <c r="L7" s="35">
        <f>IFERROR((INDEX(HIST_D!$M$8:$M$791,Control!$B$11)/INDEX(HIST_D!$M$8:$M$791,1)-1),"")</f>
        <v/>
      </c>
      <c r="M7" s="17">
        <f>IFERROR(-(INDEX(HIST_D!$I$8:$I$791,1)/INDEX(HIST_D!$I$8:$I$791,Control!$B$11)-1),"")</f>
        <v/>
      </c>
      <c r="N7" s="17">
        <f>IFERROR(L7-M7,"")</f>
        <v/>
      </c>
      <c r="O7" s="39">
        <f>IFERROR(IF(ABS(M7)&lt;0.005,"n/m",L7/M7),"n/m")</f>
        <v/>
      </c>
      <c r="P7" s="40">
        <f>IFERROR(SLOPE(HIST_D!$CT$8:INDEX(HIST_D!$CT$8:$CT$791,Control!$B$12),HIST_D!$BX$8:INDEX(HIST_D!$BX$8:$BX$791,Control!$B$12)),"")</f>
        <v/>
      </c>
      <c r="Q7" s="17">
        <f>IFERROR(P7*(INDEX(HIST_D!$I$8:$I$791,1)/INDEX(HIST_D!$I$8:$I$791,Control!$B$11)-1),"")</f>
        <v/>
      </c>
      <c r="R7" s="46">
        <f>IFERROR(L7-Q7,"")</f>
        <v/>
      </c>
    </row>
    <row r="8">
      <c r="A8" s="13" t="inlineStr">
        <is>
          <t>Chile</t>
        </is>
      </c>
      <c r="B8" s="38" t="inlineStr">
        <is>
          <t>LatAm</t>
        </is>
      </c>
      <c r="C8" s="45">
        <f>INDEX(HIST_D!$N$8:$N$791,1)</f>
        <v/>
      </c>
      <c r="D8" s="38" t="inlineStr">
        <is>
          <t>yes</t>
        </is>
      </c>
      <c r="E8" s="35">
        <f>IFERROR((INDEX(HIST_D!$N$8:$N$791,Control!$B$10)/INDEX(HIST_D!$N$8:$N$791,1)-1),"")</f>
        <v/>
      </c>
      <c r="F8" s="17">
        <f>IFERROR(-(INDEX(HIST_D!$I$8:$I$791,1)/INDEX(HIST_D!$I$8:$I$791,Control!$B$10)-1),"")</f>
        <v/>
      </c>
      <c r="G8" s="17">
        <f>IFERROR(E8-F8,"")</f>
        <v/>
      </c>
      <c r="H8" s="39">
        <f>IFERROR(IF(ABS(F8)&lt;0.005,"n/m",E8/F8),"n/m")</f>
        <v/>
      </c>
      <c r="I8" s="40">
        <f>IFERROR(SLOPE(HIST_D!$CU$8:INDEX(HIST_D!$CU$8:$CU$791,Control!$B$12),HIST_D!$BX$8:INDEX(HIST_D!$BX$8:$BX$791,Control!$B$12)),"")</f>
        <v/>
      </c>
      <c r="J8" s="17">
        <f>IFERROR(I8*(INDEX(HIST_D!$I$8:$I$791,1)/INDEX(HIST_D!$I$8:$I$791,Control!$B$10)-1),"")</f>
        <v/>
      </c>
      <c r="K8" s="46">
        <f>IFERROR(E8-J8,"")</f>
        <v/>
      </c>
      <c r="L8" s="35">
        <f>IFERROR((INDEX(HIST_D!$N$8:$N$791,Control!$B$11)/INDEX(HIST_D!$N$8:$N$791,1)-1),"")</f>
        <v/>
      </c>
      <c r="M8" s="17">
        <f>IFERROR(-(INDEX(HIST_D!$I$8:$I$791,1)/INDEX(HIST_D!$I$8:$I$791,Control!$B$11)-1),"")</f>
        <v/>
      </c>
      <c r="N8" s="17">
        <f>IFERROR(L8-M8,"")</f>
        <v/>
      </c>
      <c r="O8" s="39">
        <f>IFERROR(IF(ABS(M8)&lt;0.005,"n/m",L8/M8),"n/m")</f>
        <v/>
      </c>
      <c r="P8" s="40">
        <f>IFERROR(SLOPE(HIST_D!$CU$8:INDEX(HIST_D!$CU$8:$CU$791,Control!$B$12),HIST_D!$BX$8:INDEX(HIST_D!$BX$8:$BX$791,Control!$B$12)),"")</f>
        <v/>
      </c>
      <c r="Q8" s="17">
        <f>IFERROR(P8*(INDEX(HIST_D!$I$8:$I$791,1)/INDEX(HIST_D!$I$8:$I$791,Control!$B$11)-1),"")</f>
        <v/>
      </c>
      <c r="R8" s="46">
        <f>IFERROR(L8-Q8,"")</f>
        <v/>
      </c>
    </row>
    <row r="9">
      <c r="A9" s="13" t="inlineStr">
        <is>
          <t>Colombia</t>
        </is>
      </c>
      <c r="B9" s="38" t="inlineStr">
        <is>
          <t>LatAm</t>
        </is>
      </c>
      <c r="C9" s="45">
        <f>INDEX(HIST_D!$O$8:$O$791,1)</f>
        <v/>
      </c>
      <c r="D9" s="38" t="inlineStr">
        <is>
          <t>yes</t>
        </is>
      </c>
      <c r="E9" s="35">
        <f>IFERROR((INDEX(HIST_D!$O$8:$O$791,Control!$B$10)/INDEX(HIST_D!$O$8:$O$791,1)-1),"")</f>
        <v/>
      </c>
      <c r="F9" s="17">
        <f>IFERROR(-(INDEX(HIST_D!$I$8:$I$791,1)/INDEX(HIST_D!$I$8:$I$791,Control!$B$10)-1),"")</f>
        <v/>
      </c>
      <c r="G9" s="17">
        <f>IFERROR(E9-F9,"")</f>
        <v/>
      </c>
      <c r="H9" s="39">
        <f>IFERROR(IF(ABS(F9)&lt;0.005,"n/m",E9/F9),"n/m")</f>
        <v/>
      </c>
      <c r="I9" s="40">
        <f>IFERROR(SLOPE(HIST_D!$CV$8:INDEX(HIST_D!$CV$8:$CV$791,Control!$B$12),HIST_D!$BX$8:INDEX(HIST_D!$BX$8:$BX$791,Control!$B$12)),"")</f>
        <v/>
      </c>
      <c r="J9" s="17">
        <f>IFERROR(I9*(INDEX(HIST_D!$I$8:$I$791,1)/INDEX(HIST_D!$I$8:$I$791,Control!$B$10)-1),"")</f>
        <v/>
      </c>
      <c r="K9" s="46">
        <f>IFERROR(E9-J9,"")</f>
        <v/>
      </c>
      <c r="L9" s="35">
        <f>IFERROR((INDEX(HIST_D!$O$8:$O$791,Control!$B$11)/INDEX(HIST_D!$O$8:$O$791,1)-1),"")</f>
        <v/>
      </c>
      <c r="M9" s="17">
        <f>IFERROR(-(INDEX(HIST_D!$I$8:$I$791,1)/INDEX(HIST_D!$I$8:$I$791,Control!$B$11)-1),"")</f>
        <v/>
      </c>
      <c r="N9" s="17">
        <f>IFERROR(L9-M9,"")</f>
        <v/>
      </c>
      <c r="O9" s="39">
        <f>IFERROR(IF(ABS(M9)&lt;0.005,"n/m",L9/M9),"n/m")</f>
        <v/>
      </c>
      <c r="P9" s="40">
        <f>IFERROR(SLOPE(HIST_D!$CV$8:INDEX(HIST_D!$CV$8:$CV$791,Control!$B$12),HIST_D!$BX$8:INDEX(HIST_D!$BX$8:$BX$791,Control!$B$12)),"")</f>
        <v/>
      </c>
      <c r="Q9" s="17">
        <f>IFERROR(P9*(INDEX(HIST_D!$I$8:$I$791,1)/INDEX(HIST_D!$I$8:$I$791,Control!$B$11)-1),"")</f>
        <v/>
      </c>
      <c r="R9" s="46">
        <f>IFERROR(L9-Q9,"")</f>
        <v/>
      </c>
    </row>
    <row r="10">
      <c r="A10" s="13" t="inlineStr">
        <is>
          <t>Peru</t>
        </is>
      </c>
      <c r="B10" s="38" t="inlineStr">
        <is>
          <t>LatAm</t>
        </is>
      </c>
      <c r="C10" s="45">
        <f>INDEX(HIST_D!$P$8:$P$791,1)</f>
        <v/>
      </c>
      <c r="D10" s="38" t="inlineStr">
        <is>
          <t>yes</t>
        </is>
      </c>
      <c r="E10" s="35">
        <f>IFERROR((INDEX(HIST_D!$P$8:$P$791,Control!$B$10)/INDEX(HIST_D!$P$8:$P$791,1)-1),"")</f>
        <v/>
      </c>
      <c r="F10" s="17">
        <f>IFERROR(-(INDEX(HIST_D!$I$8:$I$791,1)/INDEX(HIST_D!$I$8:$I$791,Control!$B$10)-1),"")</f>
        <v/>
      </c>
      <c r="G10" s="17">
        <f>IFERROR(E10-F10,"")</f>
        <v/>
      </c>
      <c r="H10" s="39">
        <f>IFERROR(IF(ABS(F10)&lt;0.005,"n/m",E10/F10),"n/m")</f>
        <v/>
      </c>
      <c r="I10" s="40">
        <f>IFERROR(SLOPE(HIST_D!$CW$8:INDEX(HIST_D!$CW$8:$CW$791,Control!$B$12),HIST_D!$BX$8:INDEX(HIST_D!$BX$8:$BX$791,Control!$B$12)),"")</f>
        <v/>
      </c>
      <c r="J10" s="17">
        <f>IFERROR(I10*(INDEX(HIST_D!$I$8:$I$791,1)/INDEX(HIST_D!$I$8:$I$791,Control!$B$10)-1),"")</f>
        <v/>
      </c>
      <c r="K10" s="46">
        <f>IFERROR(E10-J10,"")</f>
        <v/>
      </c>
      <c r="L10" s="35">
        <f>IFERROR((INDEX(HIST_D!$P$8:$P$791,Control!$B$11)/INDEX(HIST_D!$P$8:$P$791,1)-1),"")</f>
        <v/>
      </c>
      <c r="M10" s="17">
        <f>IFERROR(-(INDEX(HIST_D!$I$8:$I$791,1)/INDEX(HIST_D!$I$8:$I$791,Control!$B$11)-1),"")</f>
        <v/>
      </c>
      <c r="N10" s="17">
        <f>IFERROR(L10-M10,"")</f>
        <v/>
      </c>
      <c r="O10" s="39">
        <f>IFERROR(IF(ABS(M10)&lt;0.005,"n/m",L10/M10),"n/m")</f>
        <v/>
      </c>
      <c r="P10" s="40">
        <f>IFERROR(SLOPE(HIST_D!$CW$8:INDEX(HIST_D!$CW$8:$CW$791,Control!$B$12),HIST_D!$BX$8:INDEX(HIST_D!$BX$8:$BX$791,Control!$B$12)),"")</f>
        <v/>
      </c>
      <c r="Q10" s="17">
        <f>IFERROR(P10*(INDEX(HIST_D!$I$8:$I$791,1)/INDEX(HIST_D!$I$8:$I$791,Control!$B$11)-1),"")</f>
        <v/>
      </c>
      <c r="R10" s="46">
        <f>IFERROR(L10-Q10,"")</f>
        <v/>
      </c>
    </row>
    <row r="11">
      <c r="A11" s="18" t="inlineStr">
        <is>
          <t>LatAm average</t>
        </is>
      </c>
      <c r="B11" s="38" t="inlineStr">
        <is>
          <t>n=5</t>
        </is>
      </c>
      <c r="C11" s="13" t="inlineStr"/>
      <c r="D11" s="13" t="inlineStr"/>
      <c r="E11" s="35">
        <f>IFERROR(AVERAGE(E6,E7,E8,E9,E10),"")</f>
        <v/>
      </c>
      <c r="F11" s="35">
        <f>IFERROR(AVERAGE(F6,F7,F8,F9,F10),"")</f>
        <v/>
      </c>
      <c r="G11" s="35">
        <f>IFERROR(AVERAGE(G6,G7,G8,G9,G10),"")</f>
        <v/>
      </c>
      <c r="H11" s="42">
        <f>IFERROR(IF(ABS(F11)&lt;0.005,"n/m",E11/F11),"n/m")</f>
        <v/>
      </c>
      <c r="I11" s="43">
        <f>IFERROR(AVERAGE(I6,I7,I8,I9,I10),"")</f>
        <v/>
      </c>
      <c r="J11" s="35">
        <f>IFERROR(AVERAGE(J6,J7,J8,J9,J10),"")</f>
        <v/>
      </c>
      <c r="K11" s="35">
        <f>IFERROR(AVERAGE(K6,K7,K8,K9,K10),"")</f>
        <v/>
      </c>
      <c r="L11" s="35">
        <f>IFERROR(AVERAGE(L6,L7,L8,L9,L10),"")</f>
        <v/>
      </c>
      <c r="M11" s="35">
        <f>IFERROR(AVERAGE(M6,M7,M8,M9,M10),"")</f>
        <v/>
      </c>
      <c r="N11" s="35">
        <f>IFERROR(AVERAGE(N6,N7,N8,N9,N10),"")</f>
        <v/>
      </c>
      <c r="O11" s="42">
        <f>IFERROR(IF(ABS(M11)&lt;0.005,"n/m",L11/M11),"n/m")</f>
        <v/>
      </c>
      <c r="P11" s="43">
        <f>IFERROR(AVERAGE(P6,P7,P8,P9,P10),"")</f>
        <v/>
      </c>
      <c r="Q11" s="35">
        <f>IFERROR(AVERAGE(Q6,Q7,Q8,Q9,Q10),"")</f>
        <v/>
      </c>
      <c r="R11" s="35">
        <f>IFERROR(AVERAGE(R6,R7,R8,R9,R10),"")</f>
        <v/>
      </c>
    </row>
    <row r="12">
      <c r="A12" s="7">
        <f>IFERROR("LatAm: the currency returned "&amp;TEXT($E$11,"+0.0%;-0.0%")&amp;" on the month; a beta-of-one to the dollar implies "&amp;TEXT($F$11,"+0.0%;-0.0%")&amp;", so "&amp;TEXT($G$11,"+0.0%;-0.0%")&amp;" is ex-dollar"&amp;IF(ISNUMBER($H$11)," (pass-through "&amp;TEXT($H$11,"0.00")&amp;"x)","")&amp;". Against its 2y beta to DXY of "&amp;TEXT($I$11,"0.00")&amp;" the surprise is "&amp;TEXT($K$11,"+0.0%;-0.0%")&amp;". YTD: "&amp;TEXT($L$11,"+0.0%;-0.0%")&amp;", of which "&amp;TEXT($N$11,"+0.0%;-0.0%")&amp;" ex-dollar. "&amp;IF($K$11&gt;0.005,"Stronger than the dollar relationship implies — intrinsic support.",IF($K$11&lt;-0.005,"Weaker than the dollar relationship implies — intrinsic pressure.","In line with the dollar; nothing EM-specific here.")),"")</f>
        <v/>
      </c>
    </row>
    <row r="14" ht="16" customHeight="1">
      <c r="A14" s="36" t="inlineStr">
        <is>
          <t>EM EUROPE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return on EM ccy</t>
        </is>
      </c>
      <c r="F15" s="12" t="inlineStr">
        <is>
          <t>1M: US-driven: -(DXY return)</t>
        </is>
      </c>
      <c r="G15" s="12" t="inlineStr">
        <is>
          <t>1M: Intrinsic: return ex-dollar</t>
        </is>
      </c>
      <c r="H15" s="12" t="inlineStr">
        <is>
          <t>1M: Pass-through (total / US)</t>
        </is>
      </c>
      <c r="I15" s="12" t="inlineStr">
        <is>
          <t>1M: Beta to DXY (2y)</t>
        </is>
      </c>
      <c r="J15" s="12" t="inlineStr">
        <is>
          <t>1M: Predicted by beta</t>
        </is>
      </c>
      <c r="K15" s="12" t="inlineStr">
        <is>
          <t>1M: Surprise: actual less predicted</t>
        </is>
      </c>
      <c r="L15" s="12" t="inlineStr">
        <is>
          <t>YTD: Total: return on EM ccy</t>
        </is>
      </c>
      <c r="M15" s="12" t="inlineStr">
        <is>
          <t>YTD: US-driven: -(DXY return)</t>
        </is>
      </c>
      <c r="N15" s="12" t="inlineStr">
        <is>
          <t>YTD: Intrinsic: return ex-dollar</t>
        </is>
      </c>
      <c r="O15" s="12" t="inlineStr">
        <is>
          <t>YTD: Pass-through (total / US)</t>
        </is>
      </c>
      <c r="P15" s="12" t="inlineStr">
        <is>
          <t>YTD: Beta to DXY (2y)</t>
        </is>
      </c>
      <c r="Q15" s="12" t="inlineStr">
        <is>
          <t>YTD: Predicted by beta</t>
        </is>
      </c>
      <c r="R15" s="12" t="inlineStr">
        <is>
          <t>YTD: Surprise: actual less predicted</t>
        </is>
      </c>
    </row>
    <row r="16">
      <c r="A16" s="13" t="inlineStr">
        <is>
          <t>Poland</t>
        </is>
      </c>
      <c r="B16" s="38" t="inlineStr">
        <is>
          <t>EM Europe</t>
        </is>
      </c>
      <c r="C16" s="45">
        <f>INDEX(HIST_D!$Q$8:$Q$791,1)</f>
        <v/>
      </c>
      <c r="D16" s="38" t="inlineStr">
        <is>
          <t>yes</t>
        </is>
      </c>
      <c r="E16" s="35">
        <f>IFERROR((INDEX(HIST_D!$Q$8:$Q$791,Control!$B$10)/INDEX(HIST_D!$Q$8:$Q$791,1)-1),"")</f>
        <v/>
      </c>
      <c r="F16" s="17">
        <f>IFERROR(-(INDEX(HIST_D!$I$8:$I$791,1)/INDEX(HIST_D!$I$8:$I$791,Control!$B$10)-1),"")</f>
        <v/>
      </c>
      <c r="G16" s="17">
        <f>IFERROR(E16-F16,"")</f>
        <v/>
      </c>
      <c r="H16" s="39">
        <f>IFERROR(IF(ABS(F16)&lt;0.005,"n/m",E16/F16),"n/m")</f>
        <v/>
      </c>
      <c r="I16" s="40">
        <f>IFERROR(SLOPE(HIST_D!$CX$8:INDEX(HIST_D!$CX$8:$CX$791,Control!$B$12),HIST_D!$BX$8:INDEX(HIST_D!$BX$8:$BX$791,Control!$B$12)),"")</f>
        <v/>
      </c>
      <c r="J16" s="17">
        <f>IFERROR(I16*(INDEX(HIST_D!$I$8:$I$791,1)/INDEX(HIST_D!$I$8:$I$791,Control!$B$10)-1),"")</f>
        <v/>
      </c>
      <c r="K16" s="46">
        <f>IFERROR(E16-J16,"")</f>
        <v/>
      </c>
      <c r="L16" s="35">
        <f>IFERROR((INDEX(HIST_D!$Q$8:$Q$791,Control!$B$11)/INDEX(HIST_D!$Q$8:$Q$791,1)-1),"")</f>
        <v/>
      </c>
      <c r="M16" s="17">
        <f>IFERROR(-(INDEX(HIST_D!$I$8:$I$791,1)/INDEX(HIST_D!$I$8:$I$791,Control!$B$11)-1),"")</f>
        <v/>
      </c>
      <c r="N16" s="17">
        <f>IFERROR(L16-M16,"")</f>
        <v/>
      </c>
      <c r="O16" s="39">
        <f>IFERROR(IF(ABS(M16)&lt;0.005,"n/m",L16/M16),"n/m")</f>
        <v/>
      </c>
      <c r="P16" s="40">
        <f>IFERROR(SLOPE(HIST_D!$CX$8:INDEX(HIST_D!$CX$8:$CX$791,Control!$B$12),HIST_D!$BX$8:INDEX(HIST_D!$BX$8:$BX$791,Control!$B$12)),"")</f>
        <v/>
      </c>
      <c r="Q16" s="17">
        <f>IFERROR(P16*(INDEX(HIST_D!$I$8:$I$791,1)/INDEX(HIST_D!$I$8:$I$791,Control!$B$11)-1),"")</f>
        <v/>
      </c>
      <c r="R16" s="46">
        <f>IFERROR(L16-Q16,"")</f>
        <v/>
      </c>
    </row>
    <row r="17">
      <c r="A17" s="13" t="inlineStr">
        <is>
          <t>Hungary</t>
        </is>
      </c>
      <c r="B17" s="38" t="inlineStr">
        <is>
          <t>EM Europe</t>
        </is>
      </c>
      <c r="C17" s="45">
        <f>INDEX(HIST_D!$R$8:$R$791,1)</f>
        <v/>
      </c>
      <c r="D17" s="38" t="inlineStr">
        <is>
          <t>yes</t>
        </is>
      </c>
      <c r="E17" s="35">
        <f>IFERROR((INDEX(HIST_D!$R$8:$R$791,Control!$B$10)/INDEX(HIST_D!$R$8:$R$791,1)-1),"")</f>
        <v/>
      </c>
      <c r="F17" s="17">
        <f>IFERROR(-(INDEX(HIST_D!$I$8:$I$791,1)/INDEX(HIST_D!$I$8:$I$791,Control!$B$10)-1),"")</f>
        <v/>
      </c>
      <c r="G17" s="17">
        <f>IFERROR(E17-F17,"")</f>
        <v/>
      </c>
      <c r="H17" s="39">
        <f>IFERROR(IF(ABS(F17)&lt;0.005,"n/m",E17/F17),"n/m")</f>
        <v/>
      </c>
      <c r="I17" s="40">
        <f>IFERROR(SLOPE(HIST_D!$CY$8:INDEX(HIST_D!$CY$8:$CY$791,Control!$B$12),HIST_D!$BX$8:INDEX(HIST_D!$BX$8:$BX$791,Control!$B$12)),"")</f>
        <v/>
      </c>
      <c r="J17" s="17">
        <f>IFERROR(I17*(INDEX(HIST_D!$I$8:$I$791,1)/INDEX(HIST_D!$I$8:$I$791,Control!$B$10)-1),"")</f>
        <v/>
      </c>
      <c r="K17" s="46">
        <f>IFERROR(E17-J17,"")</f>
        <v/>
      </c>
      <c r="L17" s="35">
        <f>IFERROR((INDEX(HIST_D!$R$8:$R$791,Control!$B$11)/INDEX(HIST_D!$R$8:$R$791,1)-1),"")</f>
        <v/>
      </c>
      <c r="M17" s="17">
        <f>IFERROR(-(INDEX(HIST_D!$I$8:$I$791,1)/INDEX(HIST_D!$I$8:$I$791,Control!$B$11)-1),"")</f>
        <v/>
      </c>
      <c r="N17" s="17">
        <f>IFERROR(L17-M17,"")</f>
        <v/>
      </c>
      <c r="O17" s="39">
        <f>IFERROR(IF(ABS(M17)&lt;0.005,"n/m",L17/M17),"n/m")</f>
        <v/>
      </c>
      <c r="P17" s="40">
        <f>IFERROR(SLOPE(HIST_D!$CY$8:INDEX(HIST_D!$CY$8:$CY$791,Control!$B$12),HIST_D!$BX$8:INDEX(HIST_D!$BX$8:$BX$791,Control!$B$12)),"")</f>
        <v/>
      </c>
      <c r="Q17" s="17">
        <f>IFERROR(P17*(INDEX(HIST_D!$I$8:$I$791,1)/INDEX(HIST_D!$I$8:$I$791,Control!$B$11)-1),"")</f>
        <v/>
      </c>
      <c r="R17" s="46">
        <f>IFERROR(L17-Q17,"")</f>
        <v/>
      </c>
    </row>
    <row r="18">
      <c r="A18" s="13" t="inlineStr">
        <is>
          <t>Czechia</t>
        </is>
      </c>
      <c r="B18" s="38" t="inlineStr">
        <is>
          <t>EM Europe</t>
        </is>
      </c>
      <c r="C18" s="45">
        <f>INDEX(HIST_D!$S$8:$S$791,1)</f>
        <v/>
      </c>
      <c r="D18" s="38" t="inlineStr">
        <is>
          <t>yes</t>
        </is>
      </c>
      <c r="E18" s="35">
        <f>IFERROR((INDEX(HIST_D!$S$8:$S$791,Control!$B$10)/INDEX(HIST_D!$S$8:$S$791,1)-1),"")</f>
        <v/>
      </c>
      <c r="F18" s="17">
        <f>IFERROR(-(INDEX(HIST_D!$I$8:$I$791,1)/INDEX(HIST_D!$I$8:$I$791,Control!$B$10)-1),"")</f>
        <v/>
      </c>
      <c r="G18" s="17">
        <f>IFERROR(E18-F18,"")</f>
        <v/>
      </c>
      <c r="H18" s="39">
        <f>IFERROR(IF(ABS(F18)&lt;0.005,"n/m",E18/F18),"n/m")</f>
        <v/>
      </c>
      <c r="I18" s="40">
        <f>IFERROR(SLOPE(HIST_D!$CZ$8:INDEX(HIST_D!$CZ$8:$CZ$791,Control!$B$12),HIST_D!$BX$8:INDEX(HIST_D!$BX$8:$BX$791,Control!$B$12)),"")</f>
        <v/>
      </c>
      <c r="J18" s="17">
        <f>IFERROR(I18*(INDEX(HIST_D!$I$8:$I$791,1)/INDEX(HIST_D!$I$8:$I$791,Control!$B$10)-1),"")</f>
        <v/>
      </c>
      <c r="K18" s="46">
        <f>IFERROR(E18-J18,"")</f>
        <v/>
      </c>
      <c r="L18" s="35">
        <f>IFERROR((INDEX(HIST_D!$S$8:$S$791,Control!$B$11)/INDEX(HIST_D!$S$8:$S$791,1)-1),"")</f>
        <v/>
      </c>
      <c r="M18" s="17">
        <f>IFERROR(-(INDEX(HIST_D!$I$8:$I$791,1)/INDEX(HIST_D!$I$8:$I$791,Control!$B$11)-1),"")</f>
        <v/>
      </c>
      <c r="N18" s="17">
        <f>IFERROR(L18-M18,"")</f>
        <v/>
      </c>
      <c r="O18" s="39">
        <f>IFERROR(IF(ABS(M18)&lt;0.005,"n/m",L18/M18),"n/m")</f>
        <v/>
      </c>
      <c r="P18" s="40">
        <f>IFERROR(SLOPE(HIST_D!$CZ$8:INDEX(HIST_D!$CZ$8:$CZ$791,Control!$B$12),HIST_D!$BX$8:INDEX(HIST_D!$BX$8:$BX$791,Control!$B$12)),"")</f>
        <v/>
      </c>
      <c r="Q18" s="17">
        <f>IFERROR(P18*(INDEX(HIST_D!$I$8:$I$791,1)/INDEX(HIST_D!$I$8:$I$791,Control!$B$11)-1),"")</f>
        <v/>
      </c>
      <c r="R18" s="46">
        <f>IFERROR(L18-Q18,"")</f>
        <v/>
      </c>
    </row>
    <row r="19">
      <c r="A19" s="13" t="inlineStr">
        <is>
          <t>Romania</t>
        </is>
      </c>
      <c r="B19" s="38" t="inlineStr">
        <is>
          <t>EM Europe</t>
        </is>
      </c>
      <c r="C19" s="45">
        <f>INDEX(HIST_D!$T$8:$T$791,1)</f>
        <v/>
      </c>
      <c r="D19" s="38" t="inlineStr">
        <is>
          <t>yes</t>
        </is>
      </c>
      <c r="E19" s="35">
        <f>IFERROR((INDEX(HIST_D!$T$8:$T$791,Control!$B$10)/INDEX(HIST_D!$T$8:$T$791,1)-1),"")</f>
        <v/>
      </c>
      <c r="F19" s="17">
        <f>IFERROR(-(INDEX(HIST_D!$I$8:$I$791,1)/INDEX(HIST_D!$I$8:$I$791,Control!$B$10)-1),"")</f>
        <v/>
      </c>
      <c r="G19" s="17">
        <f>IFERROR(E19-F19,"")</f>
        <v/>
      </c>
      <c r="H19" s="39">
        <f>IFERROR(IF(ABS(F19)&lt;0.005,"n/m",E19/F19),"n/m")</f>
        <v/>
      </c>
      <c r="I19" s="40">
        <f>IFERROR(SLOPE(HIST_D!$DA$8:INDEX(HIST_D!$DA$8:$DA$791,Control!$B$12),HIST_D!$BX$8:INDEX(HIST_D!$BX$8:$BX$791,Control!$B$12)),"")</f>
        <v/>
      </c>
      <c r="J19" s="17">
        <f>IFERROR(I19*(INDEX(HIST_D!$I$8:$I$791,1)/INDEX(HIST_D!$I$8:$I$791,Control!$B$10)-1),"")</f>
        <v/>
      </c>
      <c r="K19" s="46">
        <f>IFERROR(E19-J19,"")</f>
        <v/>
      </c>
      <c r="L19" s="35">
        <f>IFERROR((INDEX(HIST_D!$T$8:$T$791,Control!$B$11)/INDEX(HIST_D!$T$8:$T$791,1)-1),"")</f>
        <v/>
      </c>
      <c r="M19" s="17">
        <f>IFERROR(-(INDEX(HIST_D!$I$8:$I$791,1)/INDEX(HIST_D!$I$8:$I$791,Control!$B$11)-1),"")</f>
        <v/>
      </c>
      <c r="N19" s="17">
        <f>IFERROR(L19-M19,"")</f>
        <v/>
      </c>
      <c r="O19" s="39">
        <f>IFERROR(IF(ABS(M19)&lt;0.005,"n/m",L19/M19),"n/m")</f>
        <v/>
      </c>
      <c r="P19" s="40">
        <f>IFERROR(SLOPE(HIST_D!$DA$8:INDEX(HIST_D!$DA$8:$DA$791,Control!$B$12),HIST_D!$BX$8:INDEX(HIST_D!$BX$8:$BX$791,Control!$B$12)),"")</f>
        <v/>
      </c>
      <c r="Q19" s="17">
        <f>IFERROR(P19*(INDEX(HIST_D!$I$8:$I$791,1)/INDEX(HIST_D!$I$8:$I$791,Control!$B$11)-1),"")</f>
        <v/>
      </c>
      <c r="R19" s="46">
        <f>IFERROR(L19-Q19,"")</f>
        <v/>
      </c>
    </row>
    <row r="20">
      <c r="A20" s="13" t="inlineStr">
        <is>
          <t>Turkiye</t>
        </is>
      </c>
      <c r="B20" s="38" t="inlineStr">
        <is>
          <t>EM Europe</t>
        </is>
      </c>
      <c r="C20" s="45">
        <f>INDEX(HIST_D!$U$8:$U$791,1)</f>
        <v/>
      </c>
      <c r="D20" s="44" t="inlineStr">
        <is>
          <t>no</t>
        </is>
      </c>
      <c r="E20" s="35">
        <f>IFERROR((INDEX(HIST_D!$U$8:$U$791,Control!$B$10)/INDEX(HIST_D!$U$8:$U$791,1)-1),"")</f>
        <v/>
      </c>
      <c r="F20" s="17">
        <f>IFERROR(-(INDEX(HIST_D!$I$8:$I$791,1)/INDEX(HIST_D!$I$8:$I$791,Control!$B$10)-1),"")</f>
        <v/>
      </c>
      <c r="G20" s="17">
        <f>IFERROR(E20-F20,"")</f>
        <v/>
      </c>
      <c r="H20" s="39">
        <f>IFERROR(IF(ABS(F20)&lt;0.005,"n/m",E20/F20),"n/m")</f>
        <v/>
      </c>
      <c r="I20" s="40">
        <f>IFERROR(SLOPE(HIST_D!$DB$8:INDEX(HIST_D!$DB$8:$DB$791,Control!$B$12),HIST_D!$BX$8:INDEX(HIST_D!$BX$8:$BX$791,Control!$B$12)),"")</f>
        <v/>
      </c>
      <c r="J20" s="17">
        <f>IFERROR(I20*(INDEX(HIST_D!$I$8:$I$791,1)/INDEX(HIST_D!$I$8:$I$791,Control!$B$10)-1),"")</f>
        <v/>
      </c>
      <c r="K20" s="46">
        <f>IFERROR(E20-J20,"")</f>
        <v/>
      </c>
      <c r="L20" s="35">
        <f>IFERROR((INDEX(HIST_D!$U$8:$U$791,Control!$B$11)/INDEX(HIST_D!$U$8:$U$791,1)-1),"")</f>
        <v/>
      </c>
      <c r="M20" s="17">
        <f>IFERROR(-(INDEX(HIST_D!$I$8:$I$791,1)/INDEX(HIST_D!$I$8:$I$791,Control!$B$11)-1),"")</f>
        <v/>
      </c>
      <c r="N20" s="17">
        <f>IFERROR(L20-M20,"")</f>
        <v/>
      </c>
      <c r="O20" s="39">
        <f>IFERROR(IF(ABS(M20)&lt;0.005,"n/m",L20/M20),"n/m")</f>
        <v/>
      </c>
      <c r="P20" s="40">
        <f>IFERROR(SLOPE(HIST_D!$DB$8:INDEX(HIST_D!$DB$8:$DB$791,Control!$B$12),HIST_D!$BX$8:INDEX(HIST_D!$BX$8:$BX$791,Control!$B$12)),"")</f>
        <v/>
      </c>
      <c r="Q20" s="17">
        <f>IFERROR(P20*(INDEX(HIST_D!$I$8:$I$791,1)/INDEX(HIST_D!$I$8:$I$791,Control!$B$11)-1),"")</f>
        <v/>
      </c>
      <c r="R20" s="46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8" t="inlineStr">
        <is>
          <t>n=4</t>
        </is>
      </c>
      <c r="C21" s="13" t="inlineStr"/>
      <c r="D21" s="13" t="inlineStr"/>
      <c r="E21" s="35">
        <f>IFERROR(AVERAGE(E16,E17,E18,E19),"")</f>
        <v/>
      </c>
      <c r="F21" s="35">
        <f>IFERROR(AVERAGE(F16,F17,F18,F19),"")</f>
        <v/>
      </c>
      <c r="G21" s="35">
        <f>IFERROR(AVERAGE(G16,G17,G18,G19),"")</f>
        <v/>
      </c>
      <c r="H21" s="42">
        <f>IFERROR(IF(ABS(F21)&lt;0.005,"n/m",E21/F21),"n/m")</f>
        <v/>
      </c>
      <c r="I21" s="43">
        <f>IFERROR(AVERAGE(I16,I17,I18,I19),"")</f>
        <v/>
      </c>
      <c r="J21" s="35">
        <f>IFERROR(AVERAGE(J16,J17,J18,J19),"")</f>
        <v/>
      </c>
      <c r="K21" s="35">
        <f>IFERROR(AVERAGE(K16,K17,K18,K19),"")</f>
        <v/>
      </c>
      <c r="L21" s="35">
        <f>IFERROR(AVERAGE(L16,L17,L18,L19),"")</f>
        <v/>
      </c>
      <c r="M21" s="35">
        <f>IFERROR(AVERAGE(M16,M17,M18,M19),"")</f>
        <v/>
      </c>
      <c r="N21" s="35">
        <f>IFERROR(AVERAGE(N16,N17,N18,N19),"")</f>
        <v/>
      </c>
      <c r="O21" s="42">
        <f>IFERROR(IF(ABS(M21)&lt;0.005,"n/m",L21/M21),"n/m")</f>
        <v/>
      </c>
      <c r="P21" s="43">
        <f>IFERROR(AVERAGE(P16,P17,P18,P19),"")</f>
        <v/>
      </c>
      <c r="Q21" s="35">
        <f>IFERROR(AVERAGE(Q16,Q17,Q18,Q19),"")</f>
        <v/>
      </c>
      <c r="R21" s="35">
        <f>IFERROR(AVERAGE(R16,R17,R18,R19),"")</f>
        <v/>
      </c>
    </row>
    <row r="22">
      <c r="A22" s="7">
        <f>IFERROR("EM Europe: the currency returned "&amp;TEXT($E$21,"+0.0%;-0.0%")&amp;" on the month; a beta-of-one to the dollar implies "&amp;TEXT($F$21,"+0.0%;-0.0%")&amp;", so "&amp;TEXT($G$21,"+0.0%;-0.0%")&amp;" is ex-dollar"&amp;IF(ISNUMBER($H$21)," (pass-through "&amp;TEXT($H$21,"0.00")&amp;"x)","")&amp;". Against its 2y beta to DXY of "&amp;TEXT($I$21,"0.00")&amp;" the surprise is "&amp;TEXT($K$21,"+0.0%;-0.0%")&amp;". YTD: "&amp;TEXT($L$21,"+0.0%;-0.0%")&amp;", of which "&amp;TEXT($N$21,"+0.0%;-0.0%")&amp;" ex-dollar. "&amp;IF($K$21&gt;0.005,"Stronger than the dollar relationship implies — intrinsic support.",IF($K$21&lt;-0.005,"Weaker than the dollar relationship implies — intrinsic pressure.","In line with the dollar; nothing EM-specific here.")),"")</f>
        <v/>
      </c>
    </row>
    <row r="24" ht="16" customHeight="1">
      <c r="A24" s="36" t="inlineStr">
        <is>
          <t>MIDDLE EAST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return on EM ccy</t>
        </is>
      </c>
      <c r="F25" s="12" t="inlineStr">
        <is>
          <t>1M: US-driven: -(DXY return)</t>
        </is>
      </c>
      <c r="G25" s="12" t="inlineStr">
        <is>
          <t>1M: Intrinsic: return ex-dollar</t>
        </is>
      </c>
      <c r="H25" s="12" t="inlineStr">
        <is>
          <t>1M: Pass-through (total / US)</t>
        </is>
      </c>
      <c r="I25" s="12" t="inlineStr">
        <is>
          <t>1M: Beta to DXY (2y)</t>
        </is>
      </c>
      <c r="J25" s="12" t="inlineStr">
        <is>
          <t>1M: Predicted by beta</t>
        </is>
      </c>
      <c r="K25" s="12" t="inlineStr">
        <is>
          <t>1M: Surprise: actual less predicted</t>
        </is>
      </c>
      <c r="L25" s="12" t="inlineStr">
        <is>
          <t>YTD: Total: return on EM ccy</t>
        </is>
      </c>
      <c r="M25" s="12" t="inlineStr">
        <is>
          <t>YTD: US-driven: -(DXY return)</t>
        </is>
      </c>
      <c r="N25" s="12" t="inlineStr">
        <is>
          <t>YTD: Intrinsic: return ex-dollar</t>
        </is>
      </c>
      <c r="O25" s="12" t="inlineStr">
        <is>
          <t>YTD: Pass-through (total / US)</t>
        </is>
      </c>
      <c r="P25" s="12" t="inlineStr">
        <is>
          <t>YTD: Beta to DXY (2y)</t>
        </is>
      </c>
      <c r="Q25" s="12" t="inlineStr">
        <is>
          <t>YTD: Predicted by beta</t>
        </is>
      </c>
      <c r="R25" s="12" t="inlineStr">
        <is>
          <t>YTD: Surprise: actual less predicted</t>
        </is>
      </c>
    </row>
    <row r="26">
      <c r="A26" s="13" t="inlineStr">
        <is>
          <t>Israel</t>
        </is>
      </c>
      <c r="B26" s="38" t="inlineStr">
        <is>
          <t>Middle East</t>
        </is>
      </c>
      <c r="C26" s="45">
        <f>INDEX(HIST_D!$V$8:$V$791,1)</f>
        <v/>
      </c>
      <c r="D26" s="38" t="inlineStr">
        <is>
          <t>yes</t>
        </is>
      </c>
      <c r="E26" s="35">
        <f>IFERROR((INDEX(HIST_D!$V$8:$V$791,Control!$B$10)/INDEX(HIST_D!$V$8:$V$791,1)-1),"")</f>
        <v/>
      </c>
      <c r="F26" s="17">
        <f>IFERROR(-(INDEX(HIST_D!$I$8:$I$791,1)/INDEX(HIST_D!$I$8:$I$791,Control!$B$10)-1),"")</f>
        <v/>
      </c>
      <c r="G26" s="17">
        <f>IFERROR(E26-F26,"")</f>
        <v/>
      </c>
      <c r="H26" s="39">
        <f>IFERROR(IF(ABS(F26)&lt;0.005,"n/m",E26/F26),"n/m")</f>
        <v/>
      </c>
      <c r="I26" s="40">
        <f>IFERROR(SLOPE(HIST_D!$DC$8:INDEX(HIST_D!$DC$8:$DC$791,Control!$B$12),HIST_D!$BX$8:INDEX(HIST_D!$BX$8:$BX$791,Control!$B$12)),"")</f>
        <v/>
      </c>
      <c r="J26" s="17">
        <f>IFERROR(I26*(INDEX(HIST_D!$I$8:$I$791,1)/INDEX(HIST_D!$I$8:$I$791,Control!$B$10)-1),"")</f>
        <v/>
      </c>
      <c r="K26" s="46">
        <f>IFERROR(E26-J26,"")</f>
        <v/>
      </c>
      <c r="L26" s="35">
        <f>IFERROR((INDEX(HIST_D!$V$8:$V$791,Control!$B$11)/INDEX(HIST_D!$V$8:$V$791,1)-1),"")</f>
        <v/>
      </c>
      <c r="M26" s="17">
        <f>IFERROR(-(INDEX(HIST_D!$I$8:$I$791,1)/INDEX(HIST_D!$I$8:$I$791,Control!$B$11)-1),"")</f>
        <v/>
      </c>
      <c r="N26" s="17">
        <f>IFERROR(L26-M26,"")</f>
        <v/>
      </c>
      <c r="O26" s="39">
        <f>IFERROR(IF(ABS(M26)&lt;0.005,"n/m",L26/M26),"n/m")</f>
        <v/>
      </c>
      <c r="P26" s="40">
        <f>IFERROR(SLOPE(HIST_D!$DC$8:INDEX(HIST_D!$DC$8:$DC$791,Control!$B$12),HIST_D!$BX$8:INDEX(HIST_D!$BX$8:$BX$791,Control!$B$12)),"")</f>
        <v/>
      </c>
      <c r="Q26" s="17">
        <f>IFERROR(P26*(INDEX(HIST_D!$I$8:$I$791,1)/INDEX(HIST_D!$I$8:$I$791,Control!$B$11)-1),"")</f>
        <v/>
      </c>
      <c r="R26" s="46">
        <f>IFERROR(L26-Q26,"")</f>
        <v/>
      </c>
    </row>
    <row r="27">
      <c r="A27" s="13" t="inlineStr">
        <is>
          <t>Egypt</t>
        </is>
      </c>
      <c r="B27" s="38" t="inlineStr">
        <is>
          <t>Middle East</t>
        </is>
      </c>
      <c r="C27" s="45">
        <f>INDEX(HIST_D!$W$8:$W$791,1)</f>
        <v/>
      </c>
      <c r="D27" s="44" t="inlineStr">
        <is>
          <t>no</t>
        </is>
      </c>
      <c r="E27" s="35">
        <f>IFERROR((INDEX(HIST_D!$W$8:$W$791,Control!$B$10)/INDEX(HIST_D!$W$8:$W$791,1)-1),"")</f>
        <v/>
      </c>
      <c r="F27" s="17">
        <f>IFERROR(-(INDEX(HIST_D!$I$8:$I$791,1)/INDEX(HIST_D!$I$8:$I$791,Control!$B$10)-1),"")</f>
        <v/>
      </c>
      <c r="G27" s="17">
        <f>IFERROR(E27-F27,"")</f>
        <v/>
      </c>
      <c r="H27" s="39">
        <f>IFERROR(IF(ABS(F27)&lt;0.005,"n/m",E27/F27),"n/m")</f>
        <v/>
      </c>
      <c r="I27" s="40">
        <f>IFERROR(SLOPE(HIST_D!$DD$8:INDEX(HIST_D!$DD$8:$DD$791,Control!$B$12),HIST_D!$BX$8:INDEX(HIST_D!$BX$8:$BX$791,Control!$B$12)),"")</f>
        <v/>
      </c>
      <c r="J27" s="17">
        <f>IFERROR(I27*(INDEX(HIST_D!$I$8:$I$791,1)/INDEX(HIST_D!$I$8:$I$791,Control!$B$10)-1),"")</f>
        <v/>
      </c>
      <c r="K27" s="46">
        <f>IFERROR(E27-J27,"")</f>
        <v/>
      </c>
      <c r="L27" s="35">
        <f>IFERROR((INDEX(HIST_D!$W$8:$W$791,Control!$B$11)/INDEX(HIST_D!$W$8:$W$791,1)-1),"")</f>
        <v/>
      </c>
      <c r="M27" s="17">
        <f>IFERROR(-(INDEX(HIST_D!$I$8:$I$791,1)/INDEX(HIST_D!$I$8:$I$791,Control!$B$11)-1),"")</f>
        <v/>
      </c>
      <c r="N27" s="17">
        <f>IFERROR(L27-M27,"")</f>
        <v/>
      </c>
      <c r="O27" s="39">
        <f>IFERROR(IF(ABS(M27)&lt;0.005,"n/m",L27/M27),"n/m")</f>
        <v/>
      </c>
      <c r="P27" s="40">
        <f>IFERROR(SLOPE(HIST_D!$DD$8:INDEX(HIST_D!$DD$8:$DD$791,Control!$B$12),HIST_D!$BX$8:INDEX(HIST_D!$BX$8:$BX$791,Control!$B$12)),"")</f>
        <v/>
      </c>
      <c r="Q27" s="17">
        <f>IFERROR(P27*(INDEX(HIST_D!$I$8:$I$791,1)/INDEX(HIST_D!$I$8:$I$791,Control!$B$11)-1),"")</f>
        <v/>
      </c>
      <c r="R27" s="46">
        <f>IFERROR(L27-Q27,"")</f>
        <v/>
      </c>
      <c r="S27" s="7" t="inlineStr">
        <is>
          <t>excluded from FX average: managed float with step devaluations; GTEGP10Y is Verify</t>
        </is>
      </c>
    </row>
    <row r="28">
      <c r="A28" s="18" t="inlineStr">
        <is>
          <t>Middle East average</t>
        </is>
      </c>
      <c r="B28" s="38" t="inlineStr">
        <is>
          <t>n=1</t>
        </is>
      </c>
      <c r="C28" s="13" t="inlineStr"/>
      <c r="D28" s="13" t="inlineStr"/>
      <c r="E28" s="35">
        <f>IFERROR(AVERAGE(E26),"")</f>
        <v/>
      </c>
      <c r="F28" s="35">
        <f>IFERROR(AVERAGE(F26),"")</f>
        <v/>
      </c>
      <c r="G28" s="35">
        <f>IFERROR(AVERAGE(G26),"")</f>
        <v/>
      </c>
      <c r="H28" s="42">
        <f>IFERROR(IF(ABS(F28)&lt;0.005,"n/m",E28/F28),"n/m")</f>
        <v/>
      </c>
      <c r="I28" s="43">
        <f>IFERROR(AVERAGE(I26),"")</f>
        <v/>
      </c>
      <c r="J28" s="35">
        <f>IFERROR(AVERAGE(J26),"")</f>
        <v/>
      </c>
      <c r="K28" s="35">
        <f>IFERROR(AVERAGE(K26),"")</f>
        <v/>
      </c>
      <c r="L28" s="35">
        <f>IFERROR(AVERAGE(L26),"")</f>
        <v/>
      </c>
      <c r="M28" s="35">
        <f>IFERROR(AVERAGE(M26),"")</f>
        <v/>
      </c>
      <c r="N28" s="35">
        <f>IFERROR(AVERAGE(N26),"")</f>
        <v/>
      </c>
      <c r="O28" s="42">
        <f>IFERROR(IF(ABS(M28)&lt;0.005,"n/m",L28/M28),"n/m")</f>
        <v/>
      </c>
      <c r="P28" s="43">
        <f>IFERROR(AVERAGE(P26),"")</f>
        <v/>
      </c>
      <c r="Q28" s="35">
        <f>IFERROR(AVERAGE(Q26),"")</f>
        <v/>
      </c>
      <c r="R28" s="35">
        <f>IFERROR(AVERAGE(R26),"")</f>
        <v/>
      </c>
    </row>
    <row r="29">
      <c r="A29" s="7">
        <f>IFERROR("Middle East: the currency returned "&amp;TEXT($E$28,"+0.0%;-0.0%")&amp;" on the month; a beta-of-one to the dollar implies "&amp;TEXT($F$28,"+0.0%;-0.0%")&amp;", so "&amp;TEXT($G$28,"+0.0%;-0.0%")&amp;" is ex-dollar"&amp;IF(ISNUMBER($H$28)," (pass-through "&amp;TEXT($H$28,"0.00")&amp;"x)","")&amp;". Against its 2y beta to DXY of "&amp;TEXT($I$28,"0.00")&amp;" the surprise is "&amp;TEXT($K$28,"+0.0%;-0.0%")&amp;". YTD: "&amp;TEXT($L$28,"+0.0%;-0.0%")&amp;", of which "&amp;TEXT($N$28,"+0.0%;-0.0%")&amp;" ex-dollar. "&amp;IF($K$28&gt;0.005,"Stronger than the dollar relationship implies — intrinsic support.",IF($K$28&lt;-0.005,"Weaker than the dollar relationship implies — intrinsic pressure.","In line with the dollar; nothing EM-specific here.")),"")</f>
        <v/>
      </c>
    </row>
    <row r="31" ht="16" customHeight="1">
      <c r="A31" s="36" t="inlineStr">
        <is>
          <t>EM ASIA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</row>
    <row r="32" ht="40" customHeight="1">
      <c r="A32" s="12" t="inlineStr">
        <is>
          <t>Country</t>
        </is>
      </c>
      <c r="B32" s="12" t="inlineStr">
        <is>
          <t>Region</t>
        </is>
      </c>
      <c r="C32" s="12" t="inlineStr">
        <is>
          <t>Level</t>
        </is>
      </c>
      <c r="D32" s="12" t="inlineStr">
        <is>
          <t>In avg</t>
        </is>
      </c>
      <c r="E32" s="12" t="inlineStr">
        <is>
          <t>1M: Total: return on EM ccy</t>
        </is>
      </c>
      <c r="F32" s="12" t="inlineStr">
        <is>
          <t>1M: US-driven: -(DXY return)</t>
        </is>
      </c>
      <c r="G32" s="12" t="inlineStr">
        <is>
          <t>1M: Intrinsic: return ex-dollar</t>
        </is>
      </c>
      <c r="H32" s="12" t="inlineStr">
        <is>
          <t>1M: Pass-through (total / US)</t>
        </is>
      </c>
      <c r="I32" s="12" t="inlineStr">
        <is>
          <t>1M: Beta to DXY (2y)</t>
        </is>
      </c>
      <c r="J32" s="12" t="inlineStr">
        <is>
          <t>1M: Predicted by beta</t>
        </is>
      </c>
      <c r="K32" s="12" t="inlineStr">
        <is>
          <t>1M: Surprise: actual less predicted</t>
        </is>
      </c>
      <c r="L32" s="12" t="inlineStr">
        <is>
          <t>YTD: Total: return on EM ccy</t>
        </is>
      </c>
      <c r="M32" s="12" t="inlineStr">
        <is>
          <t>YTD: US-driven: -(DXY return)</t>
        </is>
      </c>
      <c r="N32" s="12" t="inlineStr">
        <is>
          <t>YTD: Intrinsic: return ex-dollar</t>
        </is>
      </c>
      <c r="O32" s="12" t="inlineStr">
        <is>
          <t>YTD: Pass-through (total / US)</t>
        </is>
      </c>
      <c r="P32" s="12" t="inlineStr">
        <is>
          <t>YTD: Beta to DXY (2y)</t>
        </is>
      </c>
      <c r="Q32" s="12" t="inlineStr">
        <is>
          <t>YTD: Predicted by beta</t>
        </is>
      </c>
      <c r="R32" s="12" t="inlineStr">
        <is>
          <t>YTD: Surprise: actual less predicted</t>
        </is>
      </c>
    </row>
    <row r="33">
      <c r="A33" s="13" t="inlineStr">
        <is>
          <t>China</t>
        </is>
      </c>
      <c r="B33" s="38" t="inlineStr">
        <is>
          <t>EM Asia</t>
        </is>
      </c>
      <c r="C33" s="45">
        <f>INDEX(HIST_D!$X$8:$X$791,1)</f>
        <v/>
      </c>
      <c r="D33" s="38" t="inlineStr">
        <is>
          <t>yes</t>
        </is>
      </c>
      <c r="E33" s="35">
        <f>IFERROR((INDEX(HIST_D!$X$8:$X$791,Control!$B$10)/INDEX(HIST_D!$X$8:$X$791,1)-1),"")</f>
        <v/>
      </c>
      <c r="F33" s="17">
        <f>IFERROR(-(INDEX(HIST_D!$I$8:$I$791,1)/INDEX(HIST_D!$I$8:$I$791,Control!$B$10)-1),"")</f>
        <v/>
      </c>
      <c r="G33" s="17">
        <f>IFERROR(E33-F33,"")</f>
        <v/>
      </c>
      <c r="H33" s="39">
        <f>IFERROR(IF(ABS(F33)&lt;0.005,"n/m",E33/F33),"n/m")</f>
        <v/>
      </c>
      <c r="I33" s="40">
        <f>IFERROR(SLOPE(HIST_D!$DE$8:INDEX(HIST_D!$DE$8:$DE$791,Control!$B$12),HIST_D!$BX$8:INDEX(HIST_D!$BX$8:$BX$791,Control!$B$12)),"")</f>
        <v/>
      </c>
      <c r="J33" s="17">
        <f>IFERROR(I33*(INDEX(HIST_D!$I$8:$I$791,1)/INDEX(HIST_D!$I$8:$I$791,Control!$B$10)-1),"")</f>
        <v/>
      </c>
      <c r="K33" s="46">
        <f>IFERROR(E33-J33,"")</f>
        <v/>
      </c>
      <c r="L33" s="35">
        <f>IFERROR((INDEX(HIST_D!$X$8:$X$791,Control!$B$11)/INDEX(HIST_D!$X$8:$X$791,1)-1),"")</f>
        <v/>
      </c>
      <c r="M33" s="17">
        <f>IFERROR(-(INDEX(HIST_D!$I$8:$I$791,1)/INDEX(HIST_D!$I$8:$I$791,Control!$B$11)-1),"")</f>
        <v/>
      </c>
      <c r="N33" s="17">
        <f>IFERROR(L33-M33,"")</f>
        <v/>
      </c>
      <c r="O33" s="39">
        <f>IFERROR(IF(ABS(M33)&lt;0.005,"n/m",L33/M33),"n/m")</f>
        <v/>
      </c>
      <c r="P33" s="40">
        <f>IFERROR(SLOPE(HIST_D!$DE$8:INDEX(HIST_D!$DE$8:$DE$791,Control!$B$12),HIST_D!$BX$8:INDEX(HIST_D!$BX$8:$BX$791,Control!$B$12)),"")</f>
        <v/>
      </c>
      <c r="Q33" s="17">
        <f>IFERROR(P33*(INDEX(HIST_D!$I$8:$I$791,1)/INDEX(HIST_D!$I$8:$I$791,Control!$B$11)-1),"")</f>
        <v/>
      </c>
      <c r="R33" s="46">
        <f>IFERROR(L33-Q33,"")</f>
        <v/>
      </c>
    </row>
    <row r="34">
      <c r="A34" s="13" t="inlineStr">
        <is>
          <t>India</t>
        </is>
      </c>
      <c r="B34" s="38" t="inlineStr">
        <is>
          <t>EM Asia</t>
        </is>
      </c>
      <c r="C34" s="45">
        <f>INDEX(HIST_D!$Y$8:$Y$791,1)</f>
        <v/>
      </c>
      <c r="D34" s="38" t="inlineStr">
        <is>
          <t>yes</t>
        </is>
      </c>
      <c r="E34" s="35">
        <f>IFERROR((INDEX(HIST_D!$Y$8:$Y$791,Control!$B$10)/INDEX(HIST_D!$Y$8:$Y$791,1)-1),"")</f>
        <v/>
      </c>
      <c r="F34" s="17">
        <f>IFERROR(-(INDEX(HIST_D!$I$8:$I$791,1)/INDEX(HIST_D!$I$8:$I$791,Control!$B$10)-1),"")</f>
        <v/>
      </c>
      <c r="G34" s="17">
        <f>IFERROR(E34-F34,"")</f>
        <v/>
      </c>
      <c r="H34" s="39">
        <f>IFERROR(IF(ABS(F34)&lt;0.005,"n/m",E34/F34),"n/m")</f>
        <v/>
      </c>
      <c r="I34" s="40">
        <f>IFERROR(SLOPE(HIST_D!$DF$8:INDEX(HIST_D!$DF$8:$DF$791,Control!$B$12),HIST_D!$BX$8:INDEX(HIST_D!$BX$8:$BX$791,Control!$B$12)),"")</f>
        <v/>
      </c>
      <c r="J34" s="17">
        <f>IFERROR(I34*(INDEX(HIST_D!$I$8:$I$791,1)/INDEX(HIST_D!$I$8:$I$791,Control!$B$10)-1),"")</f>
        <v/>
      </c>
      <c r="K34" s="46">
        <f>IFERROR(E34-J34,"")</f>
        <v/>
      </c>
      <c r="L34" s="35">
        <f>IFERROR((INDEX(HIST_D!$Y$8:$Y$791,Control!$B$11)/INDEX(HIST_D!$Y$8:$Y$791,1)-1),"")</f>
        <v/>
      </c>
      <c r="M34" s="17">
        <f>IFERROR(-(INDEX(HIST_D!$I$8:$I$791,1)/INDEX(HIST_D!$I$8:$I$791,Control!$B$11)-1),"")</f>
        <v/>
      </c>
      <c r="N34" s="17">
        <f>IFERROR(L34-M34,"")</f>
        <v/>
      </c>
      <c r="O34" s="39">
        <f>IFERROR(IF(ABS(M34)&lt;0.005,"n/m",L34/M34),"n/m")</f>
        <v/>
      </c>
      <c r="P34" s="40">
        <f>IFERROR(SLOPE(HIST_D!$DF$8:INDEX(HIST_D!$DF$8:$DF$791,Control!$B$12),HIST_D!$BX$8:INDEX(HIST_D!$BX$8:$BX$791,Control!$B$12)),"")</f>
        <v/>
      </c>
      <c r="Q34" s="17">
        <f>IFERROR(P34*(INDEX(HIST_D!$I$8:$I$791,1)/INDEX(HIST_D!$I$8:$I$791,Control!$B$11)-1),"")</f>
        <v/>
      </c>
      <c r="R34" s="46">
        <f>IFERROR(L34-Q34,"")</f>
        <v/>
      </c>
      <c r="S34" s="7" t="inlineStr">
        <is>
          <t>no sovereign USD debt, no CDS — rates and FX only</t>
        </is>
      </c>
    </row>
    <row r="35">
      <c r="A35" s="13" t="inlineStr">
        <is>
          <t>Indonesia</t>
        </is>
      </c>
      <c r="B35" s="38" t="inlineStr">
        <is>
          <t>EM Asia</t>
        </is>
      </c>
      <c r="C35" s="45">
        <f>INDEX(HIST_D!$Z$8:$Z$791,1)</f>
        <v/>
      </c>
      <c r="D35" s="38" t="inlineStr">
        <is>
          <t>yes</t>
        </is>
      </c>
      <c r="E35" s="35">
        <f>IFERROR((INDEX(HIST_D!$Z$8:$Z$791,Control!$B$10)/INDEX(HIST_D!$Z$8:$Z$791,1)-1),"")</f>
        <v/>
      </c>
      <c r="F35" s="17">
        <f>IFERROR(-(INDEX(HIST_D!$I$8:$I$791,1)/INDEX(HIST_D!$I$8:$I$791,Control!$B$10)-1),"")</f>
        <v/>
      </c>
      <c r="G35" s="17">
        <f>IFERROR(E35-F35,"")</f>
        <v/>
      </c>
      <c r="H35" s="39">
        <f>IFERROR(IF(ABS(F35)&lt;0.005,"n/m",E35/F35),"n/m")</f>
        <v/>
      </c>
      <c r="I35" s="40">
        <f>IFERROR(SLOPE(HIST_D!$DG$8:INDEX(HIST_D!$DG$8:$DG$791,Control!$B$12),HIST_D!$BX$8:INDEX(HIST_D!$BX$8:$BX$791,Control!$B$12)),"")</f>
        <v/>
      </c>
      <c r="J35" s="17">
        <f>IFERROR(I35*(INDEX(HIST_D!$I$8:$I$791,1)/INDEX(HIST_D!$I$8:$I$791,Control!$B$10)-1),"")</f>
        <v/>
      </c>
      <c r="K35" s="46">
        <f>IFERROR(E35-J35,"")</f>
        <v/>
      </c>
      <c r="L35" s="35">
        <f>IFERROR((INDEX(HIST_D!$Z$8:$Z$791,Control!$B$11)/INDEX(HIST_D!$Z$8:$Z$791,1)-1),"")</f>
        <v/>
      </c>
      <c r="M35" s="17">
        <f>IFERROR(-(INDEX(HIST_D!$I$8:$I$791,1)/INDEX(HIST_D!$I$8:$I$791,Control!$B$11)-1),"")</f>
        <v/>
      </c>
      <c r="N35" s="17">
        <f>IFERROR(L35-M35,"")</f>
        <v/>
      </c>
      <c r="O35" s="39">
        <f>IFERROR(IF(ABS(M35)&lt;0.005,"n/m",L35/M35),"n/m")</f>
        <v/>
      </c>
      <c r="P35" s="40">
        <f>IFERROR(SLOPE(HIST_D!$DG$8:INDEX(HIST_D!$DG$8:$DG$791,Control!$B$12),HIST_D!$BX$8:INDEX(HIST_D!$BX$8:$BX$791,Control!$B$12)),"")</f>
        <v/>
      </c>
      <c r="Q35" s="17">
        <f>IFERROR(P35*(INDEX(HIST_D!$I$8:$I$791,1)/INDEX(HIST_D!$I$8:$I$791,Control!$B$11)-1),"")</f>
        <v/>
      </c>
      <c r="R35" s="46">
        <f>IFERROR(L35-Q35,"")</f>
        <v/>
      </c>
    </row>
    <row r="36">
      <c r="A36" s="13" t="inlineStr">
        <is>
          <t>Korea</t>
        </is>
      </c>
      <c r="B36" s="38" t="inlineStr">
        <is>
          <t>EM Asia</t>
        </is>
      </c>
      <c r="C36" s="45">
        <f>INDEX(HIST_D!$AA$8:$AA$791,1)</f>
        <v/>
      </c>
      <c r="D36" s="38" t="inlineStr">
        <is>
          <t>yes</t>
        </is>
      </c>
      <c r="E36" s="35">
        <f>IFERROR((INDEX(HIST_D!$AA$8:$AA$791,Control!$B$10)/INDEX(HIST_D!$AA$8:$AA$791,1)-1),"")</f>
        <v/>
      </c>
      <c r="F36" s="17">
        <f>IFERROR(-(INDEX(HIST_D!$I$8:$I$791,1)/INDEX(HIST_D!$I$8:$I$791,Control!$B$10)-1),"")</f>
        <v/>
      </c>
      <c r="G36" s="17">
        <f>IFERROR(E36-F36,"")</f>
        <v/>
      </c>
      <c r="H36" s="39">
        <f>IFERROR(IF(ABS(F36)&lt;0.005,"n/m",E36/F36),"n/m")</f>
        <v/>
      </c>
      <c r="I36" s="40">
        <f>IFERROR(SLOPE(HIST_D!$DH$8:INDEX(HIST_D!$DH$8:$DH$791,Control!$B$12),HIST_D!$BX$8:INDEX(HIST_D!$BX$8:$BX$791,Control!$B$12)),"")</f>
        <v/>
      </c>
      <c r="J36" s="17">
        <f>IFERROR(I36*(INDEX(HIST_D!$I$8:$I$791,1)/INDEX(HIST_D!$I$8:$I$791,Control!$B$10)-1),"")</f>
        <v/>
      </c>
      <c r="K36" s="46">
        <f>IFERROR(E36-J36,"")</f>
        <v/>
      </c>
      <c r="L36" s="35">
        <f>IFERROR((INDEX(HIST_D!$AA$8:$AA$791,Control!$B$11)/INDEX(HIST_D!$AA$8:$AA$791,1)-1),"")</f>
        <v/>
      </c>
      <c r="M36" s="17">
        <f>IFERROR(-(INDEX(HIST_D!$I$8:$I$791,1)/INDEX(HIST_D!$I$8:$I$791,Control!$B$11)-1),"")</f>
        <v/>
      </c>
      <c r="N36" s="17">
        <f>IFERROR(L36-M36,"")</f>
        <v/>
      </c>
      <c r="O36" s="39">
        <f>IFERROR(IF(ABS(M36)&lt;0.005,"n/m",L36/M36),"n/m")</f>
        <v/>
      </c>
      <c r="P36" s="40">
        <f>IFERROR(SLOPE(HIST_D!$DH$8:INDEX(HIST_D!$DH$8:$DH$791,Control!$B$12),HIST_D!$BX$8:INDEX(HIST_D!$BX$8:$BX$791,Control!$B$12)),"")</f>
        <v/>
      </c>
      <c r="Q36" s="17">
        <f>IFERROR(P36*(INDEX(HIST_D!$I$8:$I$791,1)/INDEX(HIST_D!$I$8:$I$791,Control!$B$11)-1),"")</f>
        <v/>
      </c>
      <c r="R36" s="46">
        <f>IFERROR(L36-Q36,"")</f>
        <v/>
      </c>
    </row>
    <row r="37">
      <c r="A37" s="13" t="inlineStr">
        <is>
          <t>Thailand</t>
        </is>
      </c>
      <c r="B37" s="38" t="inlineStr">
        <is>
          <t>EM Asia</t>
        </is>
      </c>
      <c r="C37" s="45">
        <f>INDEX(HIST_D!$AB$8:$AB$791,1)</f>
        <v/>
      </c>
      <c r="D37" s="38" t="inlineStr">
        <is>
          <t>yes</t>
        </is>
      </c>
      <c r="E37" s="35">
        <f>IFERROR((INDEX(HIST_D!$AB$8:$AB$791,Control!$B$10)/INDEX(HIST_D!$AB$8:$AB$791,1)-1),"")</f>
        <v/>
      </c>
      <c r="F37" s="17">
        <f>IFERROR(-(INDEX(HIST_D!$I$8:$I$791,1)/INDEX(HIST_D!$I$8:$I$791,Control!$B$10)-1),"")</f>
        <v/>
      </c>
      <c r="G37" s="17">
        <f>IFERROR(E37-F37,"")</f>
        <v/>
      </c>
      <c r="H37" s="39">
        <f>IFERROR(IF(ABS(F37)&lt;0.005,"n/m",E37/F37),"n/m")</f>
        <v/>
      </c>
      <c r="I37" s="40">
        <f>IFERROR(SLOPE(HIST_D!$DI$8:INDEX(HIST_D!$DI$8:$DI$791,Control!$B$12),HIST_D!$BX$8:INDEX(HIST_D!$BX$8:$BX$791,Control!$B$12)),"")</f>
        <v/>
      </c>
      <c r="J37" s="17">
        <f>IFERROR(I37*(INDEX(HIST_D!$I$8:$I$791,1)/INDEX(HIST_D!$I$8:$I$791,Control!$B$10)-1),"")</f>
        <v/>
      </c>
      <c r="K37" s="46">
        <f>IFERROR(E37-J37,"")</f>
        <v/>
      </c>
      <c r="L37" s="35">
        <f>IFERROR((INDEX(HIST_D!$AB$8:$AB$791,Control!$B$11)/INDEX(HIST_D!$AB$8:$AB$791,1)-1),"")</f>
        <v/>
      </c>
      <c r="M37" s="17">
        <f>IFERROR(-(INDEX(HIST_D!$I$8:$I$791,1)/INDEX(HIST_D!$I$8:$I$791,Control!$B$11)-1),"")</f>
        <v/>
      </c>
      <c r="N37" s="17">
        <f>IFERROR(L37-M37,"")</f>
        <v/>
      </c>
      <c r="O37" s="39">
        <f>IFERROR(IF(ABS(M37)&lt;0.005,"n/m",L37/M37),"n/m")</f>
        <v/>
      </c>
      <c r="P37" s="40">
        <f>IFERROR(SLOPE(HIST_D!$DI$8:INDEX(HIST_D!$DI$8:$DI$791,Control!$B$12),HIST_D!$BX$8:INDEX(HIST_D!$BX$8:$BX$791,Control!$B$12)),"")</f>
        <v/>
      </c>
      <c r="Q37" s="17">
        <f>IFERROR(P37*(INDEX(HIST_D!$I$8:$I$791,1)/INDEX(HIST_D!$I$8:$I$791,Control!$B$11)-1),"")</f>
        <v/>
      </c>
      <c r="R37" s="46">
        <f>IFERROR(L37-Q37,"")</f>
        <v/>
      </c>
    </row>
    <row r="38">
      <c r="A38" s="13" t="inlineStr">
        <is>
          <t>Malaysia</t>
        </is>
      </c>
      <c r="B38" s="38" t="inlineStr">
        <is>
          <t>EM Asia</t>
        </is>
      </c>
      <c r="C38" s="45">
        <f>INDEX(HIST_D!$AC$8:$AC$791,1)</f>
        <v/>
      </c>
      <c r="D38" s="38" t="inlineStr">
        <is>
          <t>yes</t>
        </is>
      </c>
      <c r="E38" s="35">
        <f>IFERROR((INDEX(HIST_D!$AC$8:$AC$791,Control!$B$10)/INDEX(HIST_D!$AC$8:$AC$791,1)-1),"")</f>
        <v/>
      </c>
      <c r="F38" s="17">
        <f>IFERROR(-(INDEX(HIST_D!$I$8:$I$791,1)/INDEX(HIST_D!$I$8:$I$791,Control!$B$10)-1),"")</f>
        <v/>
      </c>
      <c r="G38" s="17">
        <f>IFERROR(E38-F38,"")</f>
        <v/>
      </c>
      <c r="H38" s="39">
        <f>IFERROR(IF(ABS(F38)&lt;0.005,"n/m",E38/F38),"n/m")</f>
        <v/>
      </c>
      <c r="I38" s="40">
        <f>IFERROR(SLOPE(HIST_D!$DJ$8:INDEX(HIST_D!$DJ$8:$DJ$791,Control!$B$12),HIST_D!$BX$8:INDEX(HIST_D!$BX$8:$BX$791,Control!$B$12)),"")</f>
        <v/>
      </c>
      <c r="J38" s="17">
        <f>IFERROR(I38*(INDEX(HIST_D!$I$8:$I$791,1)/INDEX(HIST_D!$I$8:$I$791,Control!$B$10)-1),"")</f>
        <v/>
      </c>
      <c r="K38" s="46">
        <f>IFERROR(E38-J38,"")</f>
        <v/>
      </c>
      <c r="L38" s="35">
        <f>IFERROR((INDEX(HIST_D!$AC$8:$AC$791,Control!$B$11)/INDEX(HIST_D!$AC$8:$AC$791,1)-1),"")</f>
        <v/>
      </c>
      <c r="M38" s="17">
        <f>IFERROR(-(INDEX(HIST_D!$I$8:$I$791,1)/INDEX(HIST_D!$I$8:$I$791,Control!$B$11)-1),"")</f>
        <v/>
      </c>
      <c r="N38" s="17">
        <f>IFERROR(L38-M38,"")</f>
        <v/>
      </c>
      <c r="O38" s="39">
        <f>IFERROR(IF(ABS(M38)&lt;0.005,"n/m",L38/M38),"n/m")</f>
        <v/>
      </c>
      <c r="P38" s="40">
        <f>IFERROR(SLOPE(HIST_D!$DJ$8:INDEX(HIST_D!$DJ$8:$DJ$791,Control!$B$12),HIST_D!$BX$8:INDEX(HIST_D!$BX$8:$BX$791,Control!$B$12)),"")</f>
        <v/>
      </c>
      <c r="Q38" s="17">
        <f>IFERROR(P38*(INDEX(HIST_D!$I$8:$I$791,1)/INDEX(HIST_D!$I$8:$I$791,Control!$B$11)-1),"")</f>
        <v/>
      </c>
      <c r="R38" s="46">
        <f>IFERROR(L38-Q38,"")</f>
        <v/>
      </c>
    </row>
    <row r="39">
      <c r="A39" s="13" t="inlineStr">
        <is>
          <t>Philippines</t>
        </is>
      </c>
      <c r="B39" s="38" t="inlineStr">
        <is>
          <t>EM Asia</t>
        </is>
      </c>
      <c r="C39" s="45">
        <f>INDEX(HIST_D!$AD$8:$AD$791,1)</f>
        <v/>
      </c>
      <c r="D39" s="38" t="inlineStr">
        <is>
          <t>yes</t>
        </is>
      </c>
      <c r="E39" s="35">
        <f>IFERROR((INDEX(HIST_D!$AD$8:$AD$791,Control!$B$10)/INDEX(HIST_D!$AD$8:$AD$791,1)-1),"")</f>
        <v/>
      </c>
      <c r="F39" s="17">
        <f>IFERROR(-(INDEX(HIST_D!$I$8:$I$791,1)/INDEX(HIST_D!$I$8:$I$791,Control!$B$10)-1),"")</f>
        <v/>
      </c>
      <c r="G39" s="17">
        <f>IFERROR(E39-F39,"")</f>
        <v/>
      </c>
      <c r="H39" s="39">
        <f>IFERROR(IF(ABS(F39)&lt;0.005,"n/m",E39/F39),"n/m")</f>
        <v/>
      </c>
      <c r="I39" s="40">
        <f>IFERROR(SLOPE(HIST_D!$DK$8:INDEX(HIST_D!$DK$8:$DK$791,Control!$B$12),HIST_D!$BX$8:INDEX(HIST_D!$BX$8:$BX$791,Control!$B$12)),"")</f>
        <v/>
      </c>
      <c r="J39" s="17">
        <f>IFERROR(I39*(INDEX(HIST_D!$I$8:$I$791,1)/INDEX(HIST_D!$I$8:$I$791,Control!$B$10)-1),"")</f>
        <v/>
      </c>
      <c r="K39" s="46">
        <f>IFERROR(E39-J39,"")</f>
        <v/>
      </c>
      <c r="L39" s="35">
        <f>IFERROR((INDEX(HIST_D!$AD$8:$AD$791,Control!$B$11)/INDEX(HIST_D!$AD$8:$AD$791,1)-1),"")</f>
        <v/>
      </c>
      <c r="M39" s="17">
        <f>IFERROR(-(INDEX(HIST_D!$I$8:$I$791,1)/INDEX(HIST_D!$I$8:$I$791,Control!$B$11)-1),"")</f>
        <v/>
      </c>
      <c r="N39" s="17">
        <f>IFERROR(L39-M39,"")</f>
        <v/>
      </c>
      <c r="O39" s="39">
        <f>IFERROR(IF(ABS(M39)&lt;0.005,"n/m",L39/M39),"n/m")</f>
        <v/>
      </c>
      <c r="P39" s="40">
        <f>IFERROR(SLOPE(HIST_D!$DK$8:INDEX(HIST_D!$DK$8:$DK$791,Control!$B$12),HIST_D!$BX$8:INDEX(HIST_D!$BX$8:$BX$791,Control!$B$12)),"")</f>
        <v/>
      </c>
      <c r="Q39" s="17">
        <f>IFERROR(P39*(INDEX(HIST_D!$I$8:$I$791,1)/INDEX(HIST_D!$I$8:$I$791,Control!$B$11)-1),"")</f>
        <v/>
      </c>
      <c r="R39" s="46">
        <f>IFERROR(L39-Q39,"")</f>
        <v/>
      </c>
    </row>
    <row r="40">
      <c r="A40" s="18" t="inlineStr">
        <is>
          <t>EM Asia average</t>
        </is>
      </c>
      <c r="B40" s="38" t="inlineStr">
        <is>
          <t>n=7</t>
        </is>
      </c>
      <c r="C40" s="13" t="inlineStr"/>
      <c r="D40" s="13" t="inlineStr"/>
      <c r="E40" s="35">
        <f>IFERROR(AVERAGE(E33,E34,E35,E36,E37,E38,E39),"")</f>
        <v/>
      </c>
      <c r="F40" s="35">
        <f>IFERROR(AVERAGE(F33,F34,F35,F36,F37,F38,F39),"")</f>
        <v/>
      </c>
      <c r="G40" s="35">
        <f>IFERROR(AVERAGE(G33,G34,G35,G36,G37,G38,G39),"")</f>
        <v/>
      </c>
      <c r="H40" s="42">
        <f>IFERROR(IF(ABS(F40)&lt;0.005,"n/m",E40/F40),"n/m")</f>
        <v/>
      </c>
      <c r="I40" s="43">
        <f>IFERROR(AVERAGE(I33,I34,I35,I36,I37,I38,I39),"")</f>
        <v/>
      </c>
      <c r="J40" s="35">
        <f>IFERROR(AVERAGE(J33,J34,J35,J36,J37,J38,J39),"")</f>
        <v/>
      </c>
      <c r="K40" s="35">
        <f>IFERROR(AVERAGE(K33,K34,K35,K36,K37,K38,K39),"")</f>
        <v/>
      </c>
      <c r="L40" s="35">
        <f>IFERROR(AVERAGE(L33,L34,L35,L36,L37,L38,L39),"")</f>
        <v/>
      </c>
      <c r="M40" s="35">
        <f>IFERROR(AVERAGE(M33,M34,M35,M36,M37,M38,M39),"")</f>
        <v/>
      </c>
      <c r="N40" s="35">
        <f>IFERROR(AVERAGE(N33,N34,N35,N36,N37,N38,N39),"")</f>
        <v/>
      </c>
      <c r="O40" s="42">
        <f>IFERROR(IF(ABS(M40)&lt;0.005,"n/m",L40/M40),"n/m")</f>
        <v/>
      </c>
      <c r="P40" s="43">
        <f>IFERROR(AVERAGE(P33,P34,P35,P36,P37,P38,P39),"")</f>
        <v/>
      </c>
      <c r="Q40" s="35">
        <f>IFERROR(AVERAGE(Q33,Q34,Q35,Q36,Q37,Q38,Q39),"")</f>
        <v/>
      </c>
      <c r="R40" s="35">
        <f>IFERROR(AVERAGE(R33,R34,R35,R36,R37,R38,R39),"")</f>
        <v/>
      </c>
    </row>
    <row r="41">
      <c r="A41" s="7">
        <f>IFERROR("EM Asia: the currency returned "&amp;TEXT($E$40,"+0.0%;-0.0%")&amp;" on the month; a beta-of-one to the dollar implies "&amp;TEXT($F$40,"+0.0%;-0.0%")&amp;", so "&amp;TEXT($G$40,"+0.0%;-0.0%")&amp;" is ex-dollar"&amp;IF(ISNUMBER($H$40)," (pass-through "&amp;TEXT($H$40,"0.00")&amp;"x)","")&amp;". Against its 2y beta to DXY of "&amp;TEXT($I$40,"0.00")&amp;" the surprise is "&amp;TEXT($K$40,"+0.0%;-0.0%")&amp;". YTD: "&amp;TEXT($L$40,"+0.0%;-0.0%")&amp;", of which "&amp;TEXT($N$40,"+0.0%;-0.0%")&amp;" ex-dollar. "&amp;IF($K$40&gt;0.005,"Stronger than the dollar relationship implies — intrinsic support.",IF($K$40&lt;-0.005,"Weaker than the dollar relationship implies — intrinsic pressure.","In line with the dollar; nothing EM-specific here.")),"")</f>
        <v/>
      </c>
    </row>
    <row r="43" ht="16" customHeight="1">
      <c r="A43" s="36" t="inlineStr">
        <is>
          <t>EM AVERAGE AND MEMO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</row>
    <row r="44" ht="40" customHeight="1">
      <c r="A44" s="12" t="inlineStr">
        <is>
          <t>Country</t>
        </is>
      </c>
      <c r="B44" s="12" t="inlineStr">
        <is>
          <t>Region</t>
        </is>
      </c>
      <c r="C44" s="12" t="inlineStr">
        <is>
          <t>Level</t>
        </is>
      </c>
      <c r="D44" s="12" t="inlineStr">
        <is>
          <t>In avg</t>
        </is>
      </c>
      <c r="E44" s="12" t="inlineStr">
        <is>
          <t>1M: Total: return on EM ccy</t>
        </is>
      </c>
      <c r="F44" s="12" t="inlineStr">
        <is>
          <t>1M: US-driven: -(DXY return)</t>
        </is>
      </c>
      <c r="G44" s="12" t="inlineStr">
        <is>
          <t>1M: Intrinsic: return ex-dollar</t>
        </is>
      </c>
      <c r="H44" s="12" t="inlineStr">
        <is>
          <t>1M: Pass-through (total / US)</t>
        </is>
      </c>
      <c r="I44" s="12" t="inlineStr">
        <is>
          <t>1M: Beta to DXY (2y)</t>
        </is>
      </c>
      <c r="J44" s="12" t="inlineStr">
        <is>
          <t>1M: Predicted by beta</t>
        </is>
      </c>
      <c r="K44" s="12" t="inlineStr">
        <is>
          <t>1M: Surprise: actual less predicted</t>
        </is>
      </c>
      <c r="L44" s="12" t="inlineStr">
        <is>
          <t>YTD: Total: return on EM ccy</t>
        </is>
      </c>
      <c r="M44" s="12" t="inlineStr">
        <is>
          <t>YTD: US-driven: -(DXY return)</t>
        </is>
      </c>
      <c r="N44" s="12" t="inlineStr">
        <is>
          <t>YTD: Intrinsic: return ex-dollar</t>
        </is>
      </c>
      <c r="O44" s="12" t="inlineStr">
        <is>
          <t>YTD: Pass-through (total / US)</t>
        </is>
      </c>
      <c r="P44" s="12" t="inlineStr">
        <is>
          <t>YTD: Beta to DXY (2y)</t>
        </is>
      </c>
      <c r="Q44" s="12" t="inlineStr">
        <is>
          <t>YTD: Predicted by beta</t>
        </is>
      </c>
      <c r="R44" s="12" t="inlineStr">
        <is>
          <t>YTD: Surprise: actual less predicted</t>
        </is>
      </c>
    </row>
    <row r="45">
      <c r="A45" s="18" t="inlineStr">
        <is>
          <t>EM average (all flagged)</t>
        </is>
      </c>
      <c r="B45" s="38" t="inlineStr">
        <is>
          <t>n=17</t>
        </is>
      </c>
      <c r="C45" s="13" t="inlineStr"/>
      <c r="D45" s="13" t="inlineStr"/>
      <c r="E45" s="35">
        <f>IFERROR(AVERAGE(E6,E7,E8,E9,E10,E16,E17,E18,E19,E26,E33,E34,E35,E36,E37,E38,E39),"")</f>
        <v/>
      </c>
      <c r="F45" s="35">
        <f>IFERROR(AVERAGE(F6,F7,F8,F9,F10,F16,F17,F18,F19,F26,F33,F34,F35,F36,F37,F38,F39),"")</f>
        <v/>
      </c>
      <c r="G45" s="35">
        <f>IFERROR(AVERAGE(G6,G7,G8,G9,G10,G16,G17,G18,G19,G26,G33,G34,G35,G36,G37,G38,G39),"")</f>
        <v/>
      </c>
      <c r="H45" s="42">
        <f>IFERROR(IF(ABS(F45)&lt;0.005,"n/m",E45/F45),"n/m")</f>
        <v/>
      </c>
      <c r="I45" s="43">
        <f>IFERROR(AVERAGE(I6,I7,I8,I9,I10,I16,I17,I18,I19,I26,I33,I34,I35,I36,I37,I38,I39),"")</f>
        <v/>
      </c>
      <c r="J45" s="35">
        <f>IFERROR(AVERAGE(J6,J7,J8,J9,J10,J16,J17,J18,J19,J26,J33,J34,J35,J36,J37,J38,J39),"")</f>
        <v/>
      </c>
      <c r="K45" s="35">
        <f>IFERROR(AVERAGE(K6,K7,K8,K9,K10,K16,K17,K18,K19,K26,K33,K34,K35,K36,K37,K38,K39),"")</f>
        <v/>
      </c>
      <c r="L45" s="35">
        <f>IFERROR(AVERAGE(L6,L7,L8,L9,L10,L16,L17,L18,L19,L26,L33,L34,L35,L36,L37,L38,L39),"")</f>
        <v/>
      </c>
      <c r="M45" s="35">
        <f>IFERROR(AVERAGE(M6,M7,M8,M9,M10,M16,M17,M18,M19,M26,M33,M34,M35,M36,M37,M38,M39),"")</f>
        <v/>
      </c>
      <c r="N45" s="35">
        <f>IFERROR(AVERAGE(N6,N7,N8,N9,N10,N16,N17,N18,N19,N26,N33,N34,N35,N36,N37,N38,N39),"")</f>
        <v/>
      </c>
      <c r="O45" s="42">
        <f>IFERROR(IF(ABS(M45)&lt;0.005,"n/m",L45/M45),"n/m")</f>
        <v/>
      </c>
      <c r="P45" s="43">
        <f>IFERROR(AVERAGE(P6,P7,P8,P9,P10,P16,P17,P18,P19,P26,P33,P34,P35,P36,P37,P38,P39),"")</f>
        <v/>
      </c>
      <c r="Q45" s="35">
        <f>IFERROR(AVERAGE(Q6,Q7,Q8,Q9,Q10,Q16,Q17,Q18,Q19,Q26,Q33,Q34,Q35,Q36,Q37,Q38,Q39),"")</f>
        <v/>
      </c>
      <c r="R45" s="35">
        <f>IFERROR(AVERAGE(R6,R7,R8,R9,R10,R16,R17,R18,R19,R26,R33,R34,R35,R36,R37,R38,R39),"")</f>
        <v/>
      </c>
    </row>
    <row r="46">
      <c r="A46" s="13" t="inlineStr">
        <is>
          <t>South Africa</t>
        </is>
      </c>
      <c r="B46" s="38" t="inlineStr">
        <is>
          <t>(memo)</t>
        </is>
      </c>
      <c r="C46" s="45">
        <f>INDEX(HIST_D!$AE$8:$AE$791,1)</f>
        <v/>
      </c>
      <c r="D46" s="44" t="inlineStr">
        <is>
          <t>no</t>
        </is>
      </c>
      <c r="E46" s="35">
        <f>IFERROR((INDEX(HIST_D!$AE$8:$AE$791,Control!$B$10)/INDEX(HIST_D!$AE$8:$AE$791,1)-1),"")</f>
        <v/>
      </c>
      <c r="F46" s="17">
        <f>IFERROR(-(INDEX(HIST_D!$I$8:$I$791,1)/INDEX(HIST_D!$I$8:$I$791,Control!$B$10)-1),"")</f>
        <v/>
      </c>
      <c r="G46" s="17">
        <f>IFERROR(E46-F46,"")</f>
        <v/>
      </c>
      <c r="H46" s="39">
        <f>IFERROR(IF(ABS(F46)&lt;0.005,"n/m",E46/F46),"n/m")</f>
        <v/>
      </c>
      <c r="I46" s="40">
        <f>IFERROR(SLOPE(HIST_D!$DL$8:INDEX(HIST_D!$DL$8:$DL$791,Control!$B$12),HIST_D!$BX$8:INDEX(HIST_D!$BX$8:$BX$791,Control!$B$12)),"")</f>
        <v/>
      </c>
      <c r="J46" s="17">
        <f>IFERROR(I46*(INDEX(HIST_D!$I$8:$I$791,1)/INDEX(HIST_D!$I$8:$I$791,Control!$B$10)-1),"")</f>
        <v/>
      </c>
      <c r="K46" s="46">
        <f>IFERROR(E46-J46,"")</f>
        <v/>
      </c>
      <c r="L46" s="35">
        <f>IFERROR((INDEX(HIST_D!$AE$8:$AE$791,Control!$B$11)/INDEX(HIST_D!$AE$8:$AE$791,1)-1),"")</f>
        <v/>
      </c>
      <c r="M46" s="17">
        <f>IFERROR(-(INDEX(HIST_D!$I$8:$I$791,1)/INDEX(HIST_D!$I$8:$I$791,Control!$B$11)-1),"")</f>
        <v/>
      </c>
      <c r="N46" s="17">
        <f>IFERROR(L46-M46,"")</f>
        <v/>
      </c>
      <c r="O46" s="39">
        <f>IFERROR(IF(ABS(M46)&lt;0.005,"n/m",L46/M46),"n/m")</f>
        <v/>
      </c>
      <c r="P46" s="40">
        <f>IFERROR(SLOPE(HIST_D!$DL$8:INDEX(HIST_D!$DL$8:$DL$791,Control!$B$12),HIST_D!$BX$8:INDEX(HIST_D!$BX$8:$BX$791,Control!$B$12)),"")</f>
        <v/>
      </c>
      <c r="Q46" s="17">
        <f>IFERROR(P46*(INDEX(HIST_D!$I$8:$I$791,1)/INDEX(HIST_D!$I$8:$I$791,Control!$B$11)-1),"")</f>
        <v/>
      </c>
      <c r="R46" s="46">
        <f>IFERROR(L46-Q46,"")</f>
        <v/>
      </c>
      <c r="S46" s="7" t="inlineStr">
        <is>
          <t>not in any of the four regions you named; shown as a memo line, in no average</t>
        </is>
      </c>
    </row>
    <row r="47">
      <c r="A47" s="5">
        <f>IFERROR("EM: the currency returned "&amp;TEXT($E$45,"+0.0%;-0.0%")&amp;" on the month; a beta-of-one to the dollar implies "&amp;TEXT($F$45,"+0.0%;-0.0%")&amp;", so "&amp;TEXT($G$45,"+0.0%;-0.0%")&amp;" is ex-dollar"&amp;IF(ISNUMBER($H$45)," (pass-through "&amp;TEXT($H$45,"0.00")&amp;"x)","")&amp;". Against its 2y beta to DXY of "&amp;TEXT($I$45,"0.00")&amp;" the surprise is "&amp;TEXT($K$45,"+0.0%;-0.0%")&amp;". YTD: "&amp;TEXT($L$45,"+0.0%;-0.0%")&amp;", of which "&amp;TEXT($N$45,"+0.0%;-0.0%")&amp;" ex-dollar. "&amp;IF($K$45&gt;0.005,"Stronger than the dollar relationship implies — intrinsic support.",IF($K$45&lt;-0.005,"Weaker than the dollar relationship implies — intrinsic pressure.","In line with the dollar; nothing EM-specific here.")),"")</f>
        <v/>
      </c>
    </row>
  </sheetData>
  <conditionalFormatting sqref="G5:G49">
    <cfRule type="colorScale" priority="1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K5:K49">
    <cfRule type="colorScale" priority="2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N5:N49">
    <cfRule type="colorScale" priority="3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R5:R49">
    <cfRule type="colorScale" priority="4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USD SOVEREIGN CREDIT  —  5y CDS as the spread, by country and region</t>
        </is>
      </c>
    </row>
    <row r="2">
      <c r="A2" s="2" t="inlineStr">
        <is>
          <t>A 5y USD sovereign yield is UST 5Y + spread, so d(yield) = d(UST 5Y) + d(CDS 5Y). This split is exact: US-driven is Treasuries, intrinsic is the spread. US share = Treasuries / total yield move.</t>
        </is>
      </c>
    </row>
    <row r="4" ht="16" customHeight="1">
      <c r="A4" s="36" t="inlineStr">
        <is>
          <t>LATAM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d(UST 5Y + CDS) (bp)</t>
        </is>
      </c>
      <c r="F5" s="12" t="inlineStr">
        <is>
          <t>1M: US-driven: d UST 5Y (bp)</t>
        </is>
      </c>
      <c r="G5" s="12" t="inlineStr">
        <is>
          <t>1M: Intrinsic: d CDS 5Y (bp)</t>
        </is>
      </c>
      <c r="H5" s="12" t="inlineStr">
        <is>
          <t>1M: US share (UST / total)</t>
        </is>
      </c>
      <c r="I5" s="12" t="inlineStr">
        <is>
          <t>1M: Spread beta to UST 5Y (2y)</t>
        </is>
      </c>
      <c r="J5" s="12" t="inlineStr">
        <is>
          <t>1M: Predicted d spread (bp)</t>
        </is>
      </c>
      <c r="K5" s="12" t="inlineStr">
        <is>
          <t>1M: Spread surprise: actual less predicted (bp)</t>
        </is>
      </c>
      <c r="L5" s="12" t="inlineStr">
        <is>
          <t>YTD: Total: d(UST 5Y + CDS) (bp)</t>
        </is>
      </c>
      <c r="M5" s="12" t="inlineStr">
        <is>
          <t>YTD: US-driven: d UST 5Y (bp)</t>
        </is>
      </c>
      <c r="N5" s="12" t="inlineStr">
        <is>
          <t>YTD: Intrinsic: d CDS 5Y (bp)</t>
        </is>
      </c>
      <c r="O5" s="12" t="inlineStr">
        <is>
          <t>YTD: US share (UST / total)</t>
        </is>
      </c>
      <c r="P5" s="12" t="inlineStr">
        <is>
          <t>YTD: Spread beta to UST 5Y (2y)</t>
        </is>
      </c>
      <c r="Q5" s="12" t="inlineStr">
        <is>
          <t>YTD: Predicted d spread (bp)</t>
        </is>
      </c>
      <c r="R5" s="12" t="inlineStr">
        <is>
          <t>YTD: Spread surprise: actual less predicted (bp)</t>
        </is>
      </c>
    </row>
    <row r="6">
      <c r="A6" s="13" t="inlineStr">
        <is>
          <t>Brazil</t>
        </is>
      </c>
      <c r="B6" s="38" t="inlineStr">
        <is>
          <t>LatAm</t>
        </is>
      </c>
      <c r="C6" s="47">
        <f>INDEX(HIST_D!$AZ$8:$AZ$791,1)</f>
        <v/>
      </c>
      <c r="D6" s="38" t="inlineStr">
        <is>
          <t>yes</t>
        </is>
      </c>
      <c r="E6" s="34">
        <f>IFERROR((INDEX(HIST_D!$C$8:$C$791,1)-INDEX(HIST_D!$C$8:$C$791,Control!$B$10))*100+(INDEX(HIST_D!$AZ$8:$AZ$791,1)-INDEX(HIST_D!$AZ$8:$AZ$791,Control!$B$10)),"")</f>
        <v/>
      </c>
      <c r="F6" s="15">
        <f>IFERROR((INDEX(HIST_D!$C$8:$C$791,1)-INDEX(HIST_D!$C$8:$C$791,Control!$B$10))*100,"")</f>
        <v/>
      </c>
      <c r="G6" s="15">
        <f>IFERROR((INDEX(HIST_D!$AZ$8:$AZ$791,1)-INDEX(HIST_D!$AZ$8:$AZ$791,Control!$B$10)),"")</f>
        <v/>
      </c>
      <c r="H6" s="48">
        <f>IFERROR(IF(ABS(E6)&lt;1,"n/m",F6/E6),"n/m")</f>
        <v/>
      </c>
      <c r="I6" s="40">
        <f>IFERROR(SLOPE(HIST_D!$DM$8:INDEX(HIST_D!$DM$8:$DM$791,Control!$B$12),HIST_D!$BW$8:INDEX(HIST_D!$BW$8:$BW$791,Control!$B$12)),"")</f>
        <v/>
      </c>
      <c r="J6" s="15">
        <f>IFERROR(I6*(INDEX(HIST_D!$C$8:$C$791,1)-INDEX(HIST_D!$C$8:$C$791,Control!$B$10))*100,"")</f>
        <v/>
      </c>
      <c r="K6" s="41">
        <f>IFERROR(G6-J6,"")</f>
        <v/>
      </c>
      <c r="L6" s="34">
        <f>IFERROR((INDEX(HIST_D!$C$8:$C$791,1)-INDEX(HIST_D!$C$8:$C$791,Control!$B$11))*100+(INDEX(HIST_D!$AZ$8:$AZ$791,1)-INDEX(HIST_D!$AZ$8:$AZ$791,Control!$B$11)),"")</f>
        <v/>
      </c>
      <c r="M6" s="15">
        <f>IFERROR((INDEX(HIST_D!$C$8:$C$791,1)-INDEX(HIST_D!$C$8:$C$791,Control!$B$11))*100,"")</f>
        <v/>
      </c>
      <c r="N6" s="15">
        <f>IFERROR((INDEX(HIST_D!$AZ$8:$AZ$791,1)-INDEX(HIST_D!$AZ$8:$AZ$791,Control!$B$11)),"")</f>
        <v/>
      </c>
      <c r="O6" s="48">
        <f>IFERROR(IF(ABS(L6)&lt;1,"n/m",M6/L6),"n/m")</f>
        <v/>
      </c>
      <c r="P6" s="40">
        <f>IFERROR(SLOPE(HIST_D!$DM$8:INDEX(HIST_D!$DM$8:$DM$791,Control!$B$12),HIST_D!$BW$8:INDEX(HIST_D!$BW$8:$BW$791,Control!$B$12)),"")</f>
        <v/>
      </c>
      <c r="Q6" s="15">
        <f>IFERROR(P6*(INDEX(HIST_D!$C$8:$C$791,1)-INDEX(HIST_D!$C$8:$C$791,Control!$B$11))*100,"")</f>
        <v/>
      </c>
      <c r="R6" s="41">
        <f>IFERROR(N6-Q6,"")</f>
        <v/>
      </c>
    </row>
    <row r="7">
      <c r="A7" s="13" t="inlineStr">
        <is>
          <t>Mexico</t>
        </is>
      </c>
      <c r="B7" s="38" t="inlineStr">
        <is>
          <t>LatAm</t>
        </is>
      </c>
      <c r="C7" s="47">
        <f>INDEX(HIST_D!$BA$8:$BA$791,1)</f>
        <v/>
      </c>
      <c r="D7" s="38" t="inlineStr">
        <is>
          <t>yes</t>
        </is>
      </c>
      <c r="E7" s="34">
        <f>IFERROR((INDEX(HIST_D!$C$8:$C$791,1)-INDEX(HIST_D!$C$8:$C$791,Control!$B$10))*100+(INDEX(HIST_D!$BA$8:$BA$791,1)-INDEX(HIST_D!$BA$8:$BA$791,Control!$B$10)),"")</f>
        <v/>
      </c>
      <c r="F7" s="15">
        <f>IFERROR((INDEX(HIST_D!$C$8:$C$791,1)-INDEX(HIST_D!$C$8:$C$791,Control!$B$10))*100,"")</f>
        <v/>
      </c>
      <c r="G7" s="15">
        <f>IFERROR((INDEX(HIST_D!$BA$8:$BA$791,1)-INDEX(HIST_D!$BA$8:$BA$791,Control!$B$10)),"")</f>
        <v/>
      </c>
      <c r="H7" s="48">
        <f>IFERROR(IF(ABS(E7)&lt;1,"n/m",F7/E7),"n/m")</f>
        <v/>
      </c>
      <c r="I7" s="40">
        <f>IFERROR(SLOPE(HIST_D!$DN$8:INDEX(HIST_D!$DN$8:$DN$791,Control!$B$12),HIST_D!$BW$8:INDEX(HIST_D!$BW$8:$BW$791,Control!$B$12)),"")</f>
        <v/>
      </c>
      <c r="J7" s="15">
        <f>IFERROR(I7*(INDEX(HIST_D!$C$8:$C$791,1)-INDEX(HIST_D!$C$8:$C$791,Control!$B$10))*100,"")</f>
        <v/>
      </c>
      <c r="K7" s="41">
        <f>IFERROR(G7-J7,"")</f>
        <v/>
      </c>
      <c r="L7" s="34">
        <f>IFERROR((INDEX(HIST_D!$C$8:$C$791,1)-INDEX(HIST_D!$C$8:$C$791,Control!$B$11))*100+(INDEX(HIST_D!$BA$8:$BA$791,1)-INDEX(HIST_D!$BA$8:$BA$791,Control!$B$11)),"")</f>
        <v/>
      </c>
      <c r="M7" s="15">
        <f>IFERROR((INDEX(HIST_D!$C$8:$C$791,1)-INDEX(HIST_D!$C$8:$C$791,Control!$B$11))*100,"")</f>
        <v/>
      </c>
      <c r="N7" s="15">
        <f>IFERROR((INDEX(HIST_D!$BA$8:$BA$791,1)-INDEX(HIST_D!$BA$8:$BA$791,Control!$B$11)),"")</f>
        <v/>
      </c>
      <c r="O7" s="48">
        <f>IFERROR(IF(ABS(L7)&lt;1,"n/m",M7/L7),"n/m")</f>
        <v/>
      </c>
      <c r="P7" s="40">
        <f>IFERROR(SLOPE(HIST_D!$DN$8:INDEX(HIST_D!$DN$8:$DN$791,Control!$B$12),HIST_D!$BW$8:INDEX(HIST_D!$BW$8:$BW$791,Control!$B$12)),"")</f>
        <v/>
      </c>
      <c r="Q7" s="15">
        <f>IFERROR(P7*(INDEX(HIST_D!$C$8:$C$791,1)-INDEX(HIST_D!$C$8:$C$791,Control!$B$11))*100,"")</f>
        <v/>
      </c>
      <c r="R7" s="41">
        <f>IFERROR(N7-Q7,"")</f>
        <v/>
      </c>
    </row>
    <row r="8">
      <c r="A8" s="13" t="inlineStr">
        <is>
          <t>Chile</t>
        </is>
      </c>
      <c r="B8" s="38" t="inlineStr">
        <is>
          <t>LatAm</t>
        </is>
      </c>
      <c r="C8" s="47">
        <f>INDEX(HIST_D!$BB$8:$BB$791,1)</f>
        <v/>
      </c>
      <c r="D8" s="38" t="inlineStr">
        <is>
          <t>yes</t>
        </is>
      </c>
      <c r="E8" s="34">
        <f>IFERROR((INDEX(HIST_D!$C$8:$C$791,1)-INDEX(HIST_D!$C$8:$C$791,Control!$B$10))*100+(INDEX(HIST_D!$BB$8:$BB$791,1)-INDEX(HIST_D!$BB$8:$BB$791,Control!$B$10)),"")</f>
        <v/>
      </c>
      <c r="F8" s="15">
        <f>IFERROR((INDEX(HIST_D!$C$8:$C$791,1)-INDEX(HIST_D!$C$8:$C$791,Control!$B$10))*100,"")</f>
        <v/>
      </c>
      <c r="G8" s="15">
        <f>IFERROR((INDEX(HIST_D!$BB$8:$BB$791,1)-INDEX(HIST_D!$BB$8:$BB$791,Control!$B$10)),"")</f>
        <v/>
      </c>
      <c r="H8" s="48">
        <f>IFERROR(IF(ABS(E8)&lt;1,"n/m",F8/E8),"n/m")</f>
        <v/>
      </c>
      <c r="I8" s="40">
        <f>IFERROR(SLOPE(HIST_D!$DO$8:INDEX(HIST_D!$DO$8:$DO$791,Control!$B$12),HIST_D!$BW$8:INDEX(HIST_D!$BW$8:$BW$791,Control!$B$12)),"")</f>
        <v/>
      </c>
      <c r="J8" s="15">
        <f>IFERROR(I8*(INDEX(HIST_D!$C$8:$C$791,1)-INDEX(HIST_D!$C$8:$C$791,Control!$B$10))*100,"")</f>
        <v/>
      </c>
      <c r="K8" s="41">
        <f>IFERROR(G8-J8,"")</f>
        <v/>
      </c>
      <c r="L8" s="34">
        <f>IFERROR((INDEX(HIST_D!$C$8:$C$791,1)-INDEX(HIST_D!$C$8:$C$791,Control!$B$11))*100+(INDEX(HIST_D!$BB$8:$BB$791,1)-INDEX(HIST_D!$BB$8:$BB$791,Control!$B$11)),"")</f>
        <v/>
      </c>
      <c r="M8" s="15">
        <f>IFERROR((INDEX(HIST_D!$C$8:$C$791,1)-INDEX(HIST_D!$C$8:$C$791,Control!$B$11))*100,"")</f>
        <v/>
      </c>
      <c r="N8" s="15">
        <f>IFERROR((INDEX(HIST_D!$BB$8:$BB$791,1)-INDEX(HIST_D!$BB$8:$BB$791,Control!$B$11)),"")</f>
        <v/>
      </c>
      <c r="O8" s="48">
        <f>IFERROR(IF(ABS(L8)&lt;1,"n/m",M8/L8),"n/m")</f>
        <v/>
      </c>
      <c r="P8" s="40">
        <f>IFERROR(SLOPE(HIST_D!$DO$8:INDEX(HIST_D!$DO$8:$DO$791,Control!$B$12),HIST_D!$BW$8:INDEX(HIST_D!$BW$8:$BW$791,Control!$B$12)),"")</f>
        <v/>
      </c>
      <c r="Q8" s="15">
        <f>IFERROR(P8*(INDEX(HIST_D!$C$8:$C$791,1)-INDEX(HIST_D!$C$8:$C$791,Control!$B$11))*100,"")</f>
        <v/>
      </c>
      <c r="R8" s="41">
        <f>IFERROR(N8-Q8,"")</f>
        <v/>
      </c>
    </row>
    <row r="9">
      <c r="A9" s="13" t="inlineStr">
        <is>
          <t>Colombia</t>
        </is>
      </c>
      <c r="B9" s="38" t="inlineStr">
        <is>
          <t>LatAm</t>
        </is>
      </c>
      <c r="C9" s="47">
        <f>INDEX(HIST_D!$BC$8:$BC$791,1)</f>
        <v/>
      </c>
      <c r="D9" s="38" t="inlineStr">
        <is>
          <t>yes</t>
        </is>
      </c>
      <c r="E9" s="34">
        <f>IFERROR((INDEX(HIST_D!$C$8:$C$791,1)-INDEX(HIST_D!$C$8:$C$791,Control!$B$10))*100+(INDEX(HIST_D!$BC$8:$BC$791,1)-INDEX(HIST_D!$BC$8:$BC$791,Control!$B$10)),"")</f>
        <v/>
      </c>
      <c r="F9" s="15">
        <f>IFERROR((INDEX(HIST_D!$C$8:$C$791,1)-INDEX(HIST_D!$C$8:$C$791,Control!$B$10))*100,"")</f>
        <v/>
      </c>
      <c r="G9" s="15">
        <f>IFERROR((INDEX(HIST_D!$BC$8:$BC$791,1)-INDEX(HIST_D!$BC$8:$BC$791,Control!$B$10)),"")</f>
        <v/>
      </c>
      <c r="H9" s="48">
        <f>IFERROR(IF(ABS(E9)&lt;1,"n/m",F9/E9),"n/m")</f>
        <v/>
      </c>
      <c r="I9" s="40">
        <f>IFERROR(SLOPE(HIST_D!$DP$8:INDEX(HIST_D!$DP$8:$DP$791,Control!$B$12),HIST_D!$BW$8:INDEX(HIST_D!$BW$8:$BW$791,Control!$B$12)),"")</f>
        <v/>
      </c>
      <c r="J9" s="15">
        <f>IFERROR(I9*(INDEX(HIST_D!$C$8:$C$791,1)-INDEX(HIST_D!$C$8:$C$791,Control!$B$10))*100,"")</f>
        <v/>
      </c>
      <c r="K9" s="41">
        <f>IFERROR(G9-J9,"")</f>
        <v/>
      </c>
      <c r="L9" s="34">
        <f>IFERROR((INDEX(HIST_D!$C$8:$C$791,1)-INDEX(HIST_D!$C$8:$C$791,Control!$B$11))*100+(INDEX(HIST_D!$BC$8:$BC$791,1)-INDEX(HIST_D!$BC$8:$BC$791,Control!$B$11)),"")</f>
        <v/>
      </c>
      <c r="M9" s="15">
        <f>IFERROR((INDEX(HIST_D!$C$8:$C$791,1)-INDEX(HIST_D!$C$8:$C$791,Control!$B$11))*100,"")</f>
        <v/>
      </c>
      <c r="N9" s="15">
        <f>IFERROR((INDEX(HIST_D!$BC$8:$BC$791,1)-INDEX(HIST_D!$BC$8:$BC$791,Control!$B$11)),"")</f>
        <v/>
      </c>
      <c r="O9" s="48">
        <f>IFERROR(IF(ABS(L9)&lt;1,"n/m",M9/L9),"n/m")</f>
        <v/>
      </c>
      <c r="P9" s="40">
        <f>IFERROR(SLOPE(HIST_D!$DP$8:INDEX(HIST_D!$DP$8:$DP$791,Control!$B$12),HIST_D!$BW$8:INDEX(HIST_D!$BW$8:$BW$791,Control!$B$12)),"")</f>
        <v/>
      </c>
      <c r="Q9" s="15">
        <f>IFERROR(P9*(INDEX(HIST_D!$C$8:$C$791,1)-INDEX(HIST_D!$C$8:$C$791,Control!$B$11))*100,"")</f>
        <v/>
      </c>
      <c r="R9" s="41">
        <f>IFERROR(N9-Q9,"")</f>
        <v/>
      </c>
    </row>
    <row r="10">
      <c r="A10" s="13" t="inlineStr">
        <is>
          <t>Peru</t>
        </is>
      </c>
      <c r="B10" s="38" t="inlineStr">
        <is>
          <t>LatAm</t>
        </is>
      </c>
      <c r="C10" s="47">
        <f>INDEX(HIST_D!$BD$8:$BD$791,1)</f>
        <v/>
      </c>
      <c r="D10" s="38" t="inlineStr">
        <is>
          <t>yes</t>
        </is>
      </c>
      <c r="E10" s="34">
        <f>IFERROR((INDEX(HIST_D!$C$8:$C$791,1)-INDEX(HIST_D!$C$8:$C$791,Control!$B$10))*100+(INDEX(HIST_D!$BD$8:$BD$791,1)-INDEX(HIST_D!$BD$8:$BD$791,Control!$B$10)),"")</f>
        <v/>
      </c>
      <c r="F10" s="15">
        <f>IFERROR((INDEX(HIST_D!$C$8:$C$791,1)-INDEX(HIST_D!$C$8:$C$791,Control!$B$10))*100,"")</f>
        <v/>
      </c>
      <c r="G10" s="15">
        <f>IFERROR((INDEX(HIST_D!$BD$8:$BD$791,1)-INDEX(HIST_D!$BD$8:$BD$791,Control!$B$10)),"")</f>
        <v/>
      </c>
      <c r="H10" s="48">
        <f>IFERROR(IF(ABS(E10)&lt;1,"n/m",F10/E10),"n/m")</f>
        <v/>
      </c>
      <c r="I10" s="40">
        <f>IFERROR(SLOPE(HIST_D!$DQ$8:INDEX(HIST_D!$DQ$8:$DQ$791,Control!$B$12),HIST_D!$BW$8:INDEX(HIST_D!$BW$8:$BW$791,Control!$B$12)),"")</f>
        <v/>
      </c>
      <c r="J10" s="15">
        <f>IFERROR(I10*(INDEX(HIST_D!$C$8:$C$791,1)-INDEX(HIST_D!$C$8:$C$791,Control!$B$10))*100,"")</f>
        <v/>
      </c>
      <c r="K10" s="41">
        <f>IFERROR(G10-J10,"")</f>
        <v/>
      </c>
      <c r="L10" s="34">
        <f>IFERROR((INDEX(HIST_D!$C$8:$C$791,1)-INDEX(HIST_D!$C$8:$C$791,Control!$B$11))*100+(INDEX(HIST_D!$BD$8:$BD$791,1)-INDEX(HIST_D!$BD$8:$BD$791,Control!$B$11)),"")</f>
        <v/>
      </c>
      <c r="M10" s="15">
        <f>IFERROR((INDEX(HIST_D!$C$8:$C$791,1)-INDEX(HIST_D!$C$8:$C$791,Control!$B$11))*100,"")</f>
        <v/>
      </c>
      <c r="N10" s="15">
        <f>IFERROR((INDEX(HIST_D!$BD$8:$BD$791,1)-INDEX(HIST_D!$BD$8:$BD$791,Control!$B$11)),"")</f>
        <v/>
      </c>
      <c r="O10" s="48">
        <f>IFERROR(IF(ABS(L10)&lt;1,"n/m",M10/L10),"n/m")</f>
        <v/>
      </c>
      <c r="P10" s="40">
        <f>IFERROR(SLOPE(HIST_D!$DQ$8:INDEX(HIST_D!$DQ$8:$DQ$791,Control!$B$12),HIST_D!$BW$8:INDEX(HIST_D!$BW$8:$BW$791,Control!$B$12)),"")</f>
        <v/>
      </c>
      <c r="Q10" s="15">
        <f>IFERROR(P10*(INDEX(HIST_D!$C$8:$C$791,1)-INDEX(HIST_D!$C$8:$C$791,Control!$B$11))*100,"")</f>
        <v/>
      </c>
      <c r="R10" s="41">
        <f>IFERROR(N10-Q10,"")</f>
        <v/>
      </c>
    </row>
    <row r="11">
      <c r="A11" s="18" t="inlineStr">
        <is>
          <t>LatAm average</t>
        </is>
      </c>
      <c r="B11" s="38" t="inlineStr">
        <is>
          <t>n=5</t>
        </is>
      </c>
      <c r="C11" s="13" t="inlineStr"/>
      <c r="D11" s="13" t="inlineStr"/>
      <c r="E11" s="34">
        <f>IFERROR(AVERAGE(E6,E7,E8,E9,E10),"")</f>
        <v/>
      </c>
      <c r="F11" s="34">
        <f>IFERROR(AVERAGE(F6,F7,F8,F9,F10),"")</f>
        <v/>
      </c>
      <c r="G11" s="34">
        <f>IFERROR(AVERAGE(G6,G7,G8,G9,G10),"")</f>
        <v/>
      </c>
      <c r="H11" s="49">
        <f>IFERROR(IF(ABS(E11)&lt;1,"n/m",F11/E11),"n/m")</f>
        <v/>
      </c>
      <c r="I11" s="43">
        <f>IFERROR(AVERAGE(I6,I7,I8,I9,I10),"")</f>
        <v/>
      </c>
      <c r="J11" s="34">
        <f>IFERROR(AVERAGE(J6,J7,J8,J9,J10),"")</f>
        <v/>
      </c>
      <c r="K11" s="34">
        <f>IFERROR(AVERAGE(K6,K7,K8,K9,K10),"")</f>
        <v/>
      </c>
      <c r="L11" s="34">
        <f>IFERROR(AVERAGE(L6,L7,L8,L9,L10),"")</f>
        <v/>
      </c>
      <c r="M11" s="34">
        <f>IFERROR(AVERAGE(M6,M7,M8,M9,M10),"")</f>
        <v/>
      </c>
      <c r="N11" s="34">
        <f>IFERROR(AVERAGE(N6,N7,N8,N9,N10),"")</f>
        <v/>
      </c>
      <c r="O11" s="49">
        <f>IFERROR(IF(ABS(L11)&lt;1,"n/m",M11/L11),"n/m")</f>
        <v/>
      </c>
      <c r="P11" s="43">
        <f>IFERROR(AVERAGE(P6,P7,P8,P9,P10),"")</f>
        <v/>
      </c>
      <c r="Q11" s="34">
        <f>IFERROR(AVERAGE(Q6,Q7,Q8,Q9,Q10),"")</f>
        <v/>
      </c>
      <c r="R11" s="34">
        <f>IFERROR(AVERAGE(R6,R7,R8,R9,R10),"")</f>
        <v/>
      </c>
    </row>
    <row r="12">
      <c r="A12" s="7">
        <f>IFERROR("LatAm: the 5y USD yield proxy moved "&amp;TEXT($E$11,"+0;-0")&amp;"bp on the month — "&amp;TEXT($F$11,"+0;-0")&amp;"bp Treasuries, "&amp;TEXT($G$11,"+0;-0")&amp;"bp spread"&amp;IF(ISNUMBER($H$11),", so "&amp;TEXT($H$11,"0%")&amp;" of the move is the US","")&amp;". YTD "&amp;TEXT($L$11,"+0;-0")&amp;"bp: "&amp;TEXT($M$11,"+0;-0")&amp;"bp Treasuries, "&amp;TEXT($N$11,"+0;-0")&amp;"bp spread. "&amp;IF($G$11&lt;=0,"Spreads did not widen into the Treasury move — the loss here is duration, not credit.",IF($G$11&lt;$F$11*0.5,"Spreads widened, but by less than half the Treasury move — mostly a duration story.","Spreads widened by a comparable amount to Treasuries — this is being repriced for credit, not just rates.")),"")</f>
        <v/>
      </c>
    </row>
    <row r="14" ht="16" customHeight="1">
      <c r="A14" s="36" t="inlineStr">
        <is>
          <t>EM EUROPE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d(UST 5Y + CDS) (bp)</t>
        </is>
      </c>
      <c r="F15" s="12" t="inlineStr">
        <is>
          <t>1M: US-driven: d UST 5Y (bp)</t>
        </is>
      </c>
      <c r="G15" s="12" t="inlineStr">
        <is>
          <t>1M: Intrinsic: d CDS 5Y (bp)</t>
        </is>
      </c>
      <c r="H15" s="12" t="inlineStr">
        <is>
          <t>1M: US share (UST / total)</t>
        </is>
      </c>
      <c r="I15" s="12" t="inlineStr">
        <is>
          <t>1M: Spread beta to UST 5Y (2y)</t>
        </is>
      </c>
      <c r="J15" s="12" t="inlineStr">
        <is>
          <t>1M: Predicted d spread (bp)</t>
        </is>
      </c>
      <c r="K15" s="12" t="inlineStr">
        <is>
          <t>1M: Spread surprise: actual less predicted (bp)</t>
        </is>
      </c>
      <c r="L15" s="12" t="inlineStr">
        <is>
          <t>YTD: Total: d(UST 5Y + CDS) (bp)</t>
        </is>
      </c>
      <c r="M15" s="12" t="inlineStr">
        <is>
          <t>YTD: US-driven: d UST 5Y (bp)</t>
        </is>
      </c>
      <c r="N15" s="12" t="inlineStr">
        <is>
          <t>YTD: Intrinsic: d CDS 5Y (bp)</t>
        </is>
      </c>
      <c r="O15" s="12" t="inlineStr">
        <is>
          <t>YTD: US share (UST / total)</t>
        </is>
      </c>
      <c r="P15" s="12" t="inlineStr">
        <is>
          <t>YTD: Spread beta to UST 5Y (2y)</t>
        </is>
      </c>
      <c r="Q15" s="12" t="inlineStr">
        <is>
          <t>YTD: Predicted d spread (bp)</t>
        </is>
      </c>
      <c r="R15" s="12" t="inlineStr">
        <is>
          <t>YTD: Spread surprise: actual less predicted (bp)</t>
        </is>
      </c>
    </row>
    <row r="16">
      <c r="A16" s="13" t="inlineStr">
        <is>
          <t>Poland</t>
        </is>
      </c>
      <c r="B16" s="38" t="inlineStr">
        <is>
          <t>EM Europe</t>
        </is>
      </c>
      <c r="C16" s="47">
        <f>INDEX(HIST_D!$BE$8:$BE$791,1)</f>
        <v/>
      </c>
      <c r="D16" s="38" t="inlineStr">
        <is>
          <t>yes</t>
        </is>
      </c>
      <c r="E16" s="34">
        <f>IFERROR((INDEX(HIST_D!$C$8:$C$791,1)-INDEX(HIST_D!$C$8:$C$791,Control!$B$10))*100+(INDEX(HIST_D!$BE$8:$BE$791,1)-INDEX(HIST_D!$BE$8:$BE$791,Control!$B$10)),"")</f>
        <v/>
      </c>
      <c r="F16" s="15">
        <f>IFERROR((INDEX(HIST_D!$C$8:$C$791,1)-INDEX(HIST_D!$C$8:$C$791,Control!$B$10))*100,"")</f>
        <v/>
      </c>
      <c r="G16" s="15">
        <f>IFERROR((INDEX(HIST_D!$BE$8:$BE$791,1)-INDEX(HIST_D!$BE$8:$BE$791,Control!$B$10)),"")</f>
        <v/>
      </c>
      <c r="H16" s="48">
        <f>IFERROR(IF(ABS(E16)&lt;1,"n/m",F16/E16),"n/m")</f>
        <v/>
      </c>
      <c r="I16" s="40">
        <f>IFERROR(SLOPE(HIST_D!$DR$8:INDEX(HIST_D!$DR$8:$DR$791,Control!$B$12),HIST_D!$BW$8:INDEX(HIST_D!$BW$8:$BW$791,Control!$B$12)),"")</f>
        <v/>
      </c>
      <c r="J16" s="15">
        <f>IFERROR(I16*(INDEX(HIST_D!$C$8:$C$791,1)-INDEX(HIST_D!$C$8:$C$791,Control!$B$10))*100,"")</f>
        <v/>
      </c>
      <c r="K16" s="41">
        <f>IFERROR(G16-J16,"")</f>
        <v/>
      </c>
      <c r="L16" s="34">
        <f>IFERROR((INDEX(HIST_D!$C$8:$C$791,1)-INDEX(HIST_D!$C$8:$C$791,Control!$B$11))*100+(INDEX(HIST_D!$BE$8:$BE$791,1)-INDEX(HIST_D!$BE$8:$BE$791,Control!$B$11)),"")</f>
        <v/>
      </c>
      <c r="M16" s="15">
        <f>IFERROR((INDEX(HIST_D!$C$8:$C$791,1)-INDEX(HIST_D!$C$8:$C$791,Control!$B$11))*100,"")</f>
        <v/>
      </c>
      <c r="N16" s="15">
        <f>IFERROR((INDEX(HIST_D!$BE$8:$BE$791,1)-INDEX(HIST_D!$BE$8:$BE$791,Control!$B$11)),"")</f>
        <v/>
      </c>
      <c r="O16" s="48">
        <f>IFERROR(IF(ABS(L16)&lt;1,"n/m",M16/L16),"n/m")</f>
        <v/>
      </c>
      <c r="P16" s="40">
        <f>IFERROR(SLOPE(HIST_D!$DR$8:INDEX(HIST_D!$DR$8:$DR$791,Control!$B$12),HIST_D!$BW$8:INDEX(HIST_D!$BW$8:$BW$791,Control!$B$12)),"")</f>
        <v/>
      </c>
      <c r="Q16" s="15">
        <f>IFERROR(P16*(INDEX(HIST_D!$C$8:$C$791,1)-INDEX(HIST_D!$C$8:$C$791,Control!$B$11))*100,"")</f>
        <v/>
      </c>
      <c r="R16" s="41">
        <f>IFERROR(N16-Q16,"")</f>
        <v/>
      </c>
    </row>
    <row r="17">
      <c r="A17" s="13" t="inlineStr">
        <is>
          <t>Hungary</t>
        </is>
      </c>
      <c r="B17" s="38" t="inlineStr">
        <is>
          <t>EM Europe</t>
        </is>
      </c>
      <c r="C17" s="47">
        <f>INDEX(HIST_D!$BF$8:$BF$791,1)</f>
        <v/>
      </c>
      <c r="D17" s="38" t="inlineStr">
        <is>
          <t>yes</t>
        </is>
      </c>
      <c r="E17" s="34">
        <f>IFERROR((INDEX(HIST_D!$C$8:$C$791,1)-INDEX(HIST_D!$C$8:$C$791,Control!$B$10))*100+(INDEX(HIST_D!$BF$8:$BF$791,1)-INDEX(HIST_D!$BF$8:$BF$791,Control!$B$10)),"")</f>
        <v/>
      </c>
      <c r="F17" s="15">
        <f>IFERROR((INDEX(HIST_D!$C$8:$C$791,1)-INDEX(HIST_D!$C$8:$C$791,Control!$B$10))*100,"")</f>
        <v/>
      </c>
      <c r="G17" s="15">
        <f>IFERROR((INDEX(HIST_D!$BF$8:$BF$791,1)-INDEX(HIST_D!$BF$8:$BF$791,Control!$B$10)),"")</f>
        <v/>
      </c>
      <c r="H17" s="48">
        <f>IFERROR(IF(ABS(E17)&lt;1,"n/m",F17/E17),"n/m")</f>
        <v/>
      </c>
      <c r="I17" s="40">
        <f>IFERROR(SLOPE(HIST_D!$DS$8:INDEX(HIST_D!$DS$8:$DS$791,Control!$B$12),HIST_D!$BW$8:INDEX(HIST_D!$BW$8:$BW$791,Control!$B$12)),"")</f>
        <v/>
      </c>
      <c r="J17" s="15">
        <f>IFERROR(I17*(INDEX(HIST_D!$C$8:$C$791,1)-INDEX(HIST_D!$C$8:$C$791,Control!$B$10))*100,"")</f>
        <v/>
      </c>
      <c r="K17" s="41">
        <f>IFERROR(G17-J17,"")</f>
        <v/>
      </c>
      <c r="L17" s="34">
        <f>IFERROR((INDEX(HIST_D!$C$8:$C$791,1)-INDEX(HIST_D!$C$8:$C$791,Control!$B$11))*100+(INDEX(HIST_D!$BF$8:$BF$791,1)-INDEX(HIST_D!$BF$8:$BF$791,Control!$B$11)),"")</f>
        <v/>
      </c>
      <c r="M17" s="15">
        <f>IFERROR((INDEX(HIST_D!$C$8:$C$791,1)-INDEX(HIST_D!$C$8:$C$791,Control!$B$11))*100,"")</f>
        <v/>
      </c>
      <c r="N17" s="15">
        <f>IFERROR((INDEX(HIST_D!$BF$8:$BF$791,1)-INDEX(HIST_D!$BF$8:$BF$791,Control!$B$11)),"")</f>
        <v/>
      </c>
      <c r="O17" s="48">
        <f>IFERROR(IF(ABS(L17)&lt;1,"n/m",M17/L17),"n/m")</f>
        <v/>
      </c>
      <c r="P17" s="40">
        <f>IFERROR(SLOPE(HIST_D!$DS$8:INDEX(HIST_D!$DS$8:$DS$791,Control!$B$12),HIST_D!$BW$8:INDEX(HIST_D!$BW$8:$BW$791,Control!$B$12)),"")</f>
        <v/>
      </c>
      <c r="Q17" s="15">
        <f>IFERROR(P17*(INDEX(HIST_D!$C$8:$C$791,1)-INDEX(HIST_D!$C$8:$C$791,Control!$B$11))*100,"")</f>
        <v/>
      </c>
      <c r="R17" s="41">
        <f>IFERROR(N17-Q17,"")</f>
        <v/>
      </c>
    </row>
    <row r="18">
      <c r="A18" s="13" t="inlineStr">
        <is>
          <t>Czechia</t>
        </is>
      </c>
      <c r="B18" s="38" t="inlineStr">
        <is>
          <t>EM Europe</t>
        </is>
      </c>
      <c r="C18" s="47">
        <f>INDEX(HIST_D!$BG$8:$BG$791,1)</f>
        <v/>
      </c>
      <c r="D18" s="38" t="inlineStr">
        <is>
          <t>yes</t>
        </is>
      </c>
      <c r="E18" s="34">
        <f>IFERROR((INDEX(HIST_D!$C$8:$C$791,1)-INDEX(HIST_D!$C$8:$C$791,Control!$B$10))*100+(INDEX(HIST_D!$BG$8:$BG$791,1)-INDEX(HIST_D!$BG$8:$BG$791,Control!$B$10)),"")</f>
        <v/>
      </c>
      <c r="F18" s="15">
        <f>IFERROR((INDEX(HIST_D!$C$8:$C$791,1)-INDEX(HIST_D!$C$8:$C$791,Control!$B$10))*100,"")</f>
        <v/>
      </c>
      <c r="G18" s="15">
        <f>IFERROR((INDEX(HIST_D!$BG$8:$BG$791,1)-INDEX(HIST_D!$BG$8:$BG$791,Control!$B$10)),"")</f>
        <v/>
      </c>
      <c r="H18" s="48">
        <f>IFERROR(IF(ABS(E18)&lt;1,"n/m",F18/E18),"n/m")</f>
        <v/>
      </c>
      <c r="I18" s="40">
        <f>IFERROR(SLOPE(HIST_D!$DT$8:INDEX(HIST_D!$DT$8:$DT$791,Control!$B$12),HIST_D!$BW$8:INDEX(HIST_D!$BW$8:$BW$791,Control!$B$12)),"")</f>
        <v/>
      </c>
      <c r="J18" s="15">
        <f>IFERROR(I18*(INDEX(HIST_D!$C$8:$C$791,1)-INDEX(HIST_D!$C$8:$C$791,Control!$B$10))*100,"")</f>
        <v/>
      </c>
      <c r="K18" s="41">
        <f>IFERROR(G18-J18,"")</f>
        <v/>
      </c>
      <c r="L18" s="34">
        <f>IFERROR((INDEX(HIST_D!$C$8:$C$791,1)-INDEX(HIST_D!$C$8:$C$791,Control!$B$11))*100+(INDEX(HIST_D!$BG$8:$BG$791,1)-INDEX(HIST_D!$BG$8:$BG$791,Control!$B$11)),"")</f>
        <v/>
      </c>
      <c r="M18" s="15">
        <f>IFERROR((INDEX(HIST_D!$C$8:$C$791,1)-INDEX(HIST_D!$C$8:$C$791,Control!$B$11))*100,"")</f>
        <v/>
      </c>
      <c r="N18" s="15">
        <f>IFERROR((INDEX(HIST_D!$BG$8:$BG$791,1)-INDEX(HIST_D!$BG$8:$BG$791,Control!$B$11)),"")</f>
        <v/>
      </c>
      <c r="O18" s="48">
        <f>IFERROR(IF(ABS(L18)&lt;1,"n/m",M18/L18),"n/m")</f>
        <v/>
      </c>
      <c r="P18" s="40">
        <f>IFERROR(SLOPE(HIST_D!$DT$8:INDEX(HIST_D!$DT$8:$DT$791,Control!$B$12),HIST_D!$BW$8:INDEX(HIST_D!$BW$8:$BW$791,Control!$B$12)),"")</f>
        <v/>
      </c>
      <c r="Q18" s="15">
        <f>IFERROR(P18*(INDEX(HIST_D!$C$8:$C$791,1)-INDEX(HIST_D!$C$8:$C$791,Control!$B$11))*100,"")</f>
        <v/>
      </c>
      <c r="R18" s="41">
        <f>IFERROR(N18-Q18,"")</f>
        <v/>
      </c>
    </row>
    <row r="19">
      <c r="A19" s="13" t="inlineStr">
        <is>
          <t>Romania</t>
        </is>
      </c>
      <c r="B19" s="38" t="inlineStr">
        <is>
          <t>EM Europe</t>
        </is>
      </c>
      <c r="C19" s="47">
        <f>INDEX(HIST_D!$BH$8:$BH$791,1)</f>
        <v/>
      </c>
      <c r="D19" s="38" t="inlineStr">
        <is>
          <t>yes</t>
        </is>
      </c>
      <c r="E19" s="34">
        <f>IFERROR((INDEX(HIST_D!$C$8:$C$791,1)-INDEX(HIST_D!$C$8:$C$791,Control!$B$10))*100+(INDEX(HIST_D!$BH$8:$BH$791,1)-INDEX(HIST_D!$BH$8:$BH$791,Control!$B$10)),"")</f>
        <v/>
      </c>
      <c r="F19" s="15">
        <f>IFERROR((INDEX(HIST_D!$C$8:$C$791,1)-INDEX(HIST_D!$C$8:$C$791,Control!$B$10))*100,"")</f>
        <v/>
      </c>
      <c r="G19" s="15">
        <f>IFERROR((INDEX(HIST_D!$BH$8:$BH$791,1)-INDEX(HIST_D!$BH$8:$BH$791,Control!$B$10)),"")</f>
        <v/>
      </c>
      <c r="H19" s="48">
        <f>IFERROR(IF(ABS(E19)&lt;1,"n/m",F19/E19),"n/m")</f>
        <v/>
      </c>
      <c r="I19" s="40">
        <f>IFERROR(SLOPE(HIST_D!$DU$8:INDEX(HIST_D!$DU$8:$DU$791,Control!$B$12),HIST_D!$BW$8:INDEX(HIST_D!$BW$8:$BW$791,Control!$B$12)),"")</f>
        <v/>
      </c>
      <c r="J19" s="15">
        <f>IFERROR(I19*(INDEX(HIST_D!$C$8:$C$791,1)-INDEX(HIST_D!$C$8:$C$791,Control!$B$10))*100,"")</f>
        <v/>
      </c>
      <c r="K19" s="41">
        <f>IFERROR(G19-J19,"")</f>
        <v/>
      </c>
      <c r="L19" s="34">
        <f>IFERROR((INDEX(HIST_D!$C$8:$C$791,1)-INDEX(HIST_D!$C$8:$C$791,Control!$B$11))*100+(INDEX(HIST_D!$BH$8:$BH$791,1)-INDEX(HIST_D!$BH$8:$BH$791,Control!$B$11)),"")</f>
        <v/>
      </c>
      <c r="M19" s="15">
        <f>IFERROR((INDEX(HIST_D!$C$8:$C$791,1)-INDEX(HIST_D!$C$8:$C$791,Control!$B$11))*100,"")</f>
        <v/>
      </c>
      <c r="N19" s="15">
        <f>IFERROR((INDEX(HIST_D!$BH$8:$BH$791,1)-INDEX(HIST_D!$BH$8:$BH$791,Control!$B$11)),"")</f>
        <v/>
      </c>
      <c r="O19" s="48">
        <f>IFERROR(IF(ABS(L19)&lt;1,"n/m",M19/L19),"n/m")</f>
        <v/>
      </c>
      <c r="P19" s="40">
        <f>IFERROR(SLOPE(HIST_D!$DU$8:INDEX(HIST_D!$DU$8:$DU$791,Control!$B$12),HIST_D!$BW$8:INDEX(HIST_D!$BW$8:$BW$791,Control!$B$12)),"")</f>
        <v/>
      </c>
      <c r="Q19" s="15">
        <f>IFERROR(P19*(INDEX(HIST_D!$C$8:$C$791,1)-INDEX(HIST_D!$C$8:$C$791,Control!$B$11))*100,"")</f>
        <v/>
      </c>
      <c r="R19" s="41">
        <f>IFERROR(N19-Q19,"")</f>
        <v/>
      </c>
    </row>
    <row r="20">
      <c r="A20" s="13" t="inlineStr">
        <is>
          <t>Turkiye</t>
        </is>
      </c>
      <c r="B20" s="38" t="inlineStr">
        <is>
          <t>EM Europe</t>
        </is>
      </c>
      <c r="C20" s="47">
        <f>INDEX(HIST_D!$BI$8:$BI$791,1)</f>
        <v/>
      </c>
      <c r="D20" s="38" t="inlineStr">
        <is>
          <t>yes</t>
        </is>
      </c>
      <c r="E20" s="34">
        <f>IFERROR((INDEX(HIST_D!$C$8:$C$791,1)-INDEX(HIST_D!$C$8:$C$791,Control!$B$10))*100+(INDEX(HIST_D!$BI$8:$BI$791,1)-INDEX(HIST_D!$BI$8:$BI$791,Control!$B$10)),"")</f>
        <v/>
      </c>
      <c r="F20" s="15">
        <f>IFERROR((INDEX(HIST_D!$C$8:$C$791,1)-INDEX(HIST_D!$C$8:$C$791,Control!$B$10))*100,"")</f>
        <v/>
      </c>
      <c r="G20" s="15">
        <f>IFERROR((INDEX(HIST_D!$BI$8:$BI$791,1)-INDEX(HIST_D!$BI$8:$BI$791,Control!$B$10)),"")</f>
        <v/>
      </c>
      <c r="H20" s="48">
        <f>IFERROR(IF(ABS(E20)&lt;1,"n/m",F20/E20),"n/m")</f>
        <v/>
      </c>
      <c r="I20" s="40">
        <f>IFERROR(SLOPE(HIST_D!$DV$8:INDEX(HIST_D!$DV$8:$DV$791,Control!$B$12),HIST_D!$BW$8:INDEX(HIST_D!$BW$8:$BW$791,Control!$B$12)),"")</f>
        <v/>
      </c>
      <c r="J20" s="15">
        <f>IFERROR(I20*(INDEX(HIST_D!$C$8:$C$791,1)-INDEX(HIST_D!$C$8:$C$791,Control!$B$10))*100,"")</f>
        <v/>
      </c>
      <c r="K20" s="41">
        <f>IFERROR(G20-J20,"")</f>
        <v/>
      </c>
      <c r="L20" s="34">
        <f>IFERROR((INDEX(HIST_D!$C$8:$C$791,1)-INDEX(HIST_D!$C$8:$C$791,Control!$B$11))*100+(INDEX(HIST_D!$BI$8:$BI$791,1)-INDEX(HIST_D!$BI$8:$BI$791,Control!$B$11)),"")</f>
        <v/>
      </c>
      <c r="M20" s="15">
        <f>IFERROR((INDEX(HIST_D!$C$8:$C$791,1)-INDEX(HIST_D!$C$8:$C$791,Control!$B$11))*100,"")</f>
        <v/>
      </c>
      <c r="N20" s="15">
        <f>IFERROR((INDEX(HIST_D!$BI$8:$BI$791,1)-INDEX(HIST_D!$BI$8:$BI$791,Control!$B$11)),"")</f>
        <v/>
      </c>
      <c r="O20" s="48">
        <f>IFERROR(IF(ABS(L20)&lt;1,"n/m",M20/L20),"n/m")</f>
        <v/>
      </c>
      <c r="P20" s="40">
        <f>IFERROR(SLOPE(HIST_D!$DV$8:INDEX(HIST_D!$DV$8:$DV$791,Control!$B$12),HIST_D!$BW$8:INDEX(HIST_D!$BW$8:$BW$791,Control!$B$12)),"")</f>
        <v/>
      </c>
      <c r="Q20" s="15">
        <f>IFERROR(P20*(INDEX(HIST_D!$C$8:$C$791,1)-INDEX(HIST_D!$C$8:$C$791,Control!$B$11))*100,"")</f>
        <v/>
      </c>
      <c r="R20" s="41">
        <f>IFERROR(N20-Q20,"")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8" t="inlineStr">
        <is>
          <t>n=5</t>
        </is>
      </c>
      <c r="C21" s="13" t="inlineStr"/>
      <c r="D21" s="13" t="inlineStr"/>
      <c r="E21" s="34">
        <f>IFERROR(AVERAGE(E16,E17,E18,E19,E20),"")</f>
        <v/>
      </c>
      <c r="F21" s="34">
        <f>IFERROR(AVERAGE(F16,F17,F18,F19,F20),"")</f>
        <v/>
      </c>
      <c r="G21" s="34">
        <f>IFERROR(AVERAGE(G16,G17,G18,G19,G20),"")</f>
        <v/>
      </c>
      <c r="H21" s="49">
        <f>IFERROR(IF(ABS(E21)&lt;1,"n/m",F21/E21),"n/m")</f>
        <v/>
      </c>
      <c r="I21" s="43">
        <f>IFERROR(AVERAGE(I16,I17,I18,I19,I20),"")</f>
        <v/>
      </c>
      <c r="J21" s="34">
        <f>IFERROR(AVERAGE(J16,J17,J18,J19,J20),"")</f>
        <v/>
      </c>
      <c r="K21" s="34">
        <f>IFERROR(AVERAGE(K16,K17,K18,K19,K20),"")</f>
        <v/>
      </c>
      <c r="L21" s="34">
        <f>IFERROR(AVERAGE(L16,L17,L18,L19,L20),"")</f>
        <v/>
      </c>
      <c r="M21" s="34">
        <f>IFERROR(AVERAGE(M16,M17,M18,M19,M20),"")</f>
        <v/>
      </c>
      <c r="N21" s="34">
        <f>IFERROR(AVERAGE(N16,N17,N18,N19,N20),"")</f>
        <v/>
      </c>
      <c r="O21" s="49">
        <f>IFERROR(IF(ABS(L21)&lt;1,"n/m",M21/L21),"n/m")</f>
        <v/>
      </c>
      <c r="P21" s="43">
        <f>IFERROR(AVERAGE(P16,P17,P18,P19,P20),"")</f>
        <v/>
      </c>
      <c r="Q21" s="34">
        <f>IFERROR(AVERAGE(Q16,Q17,Q18,Q19,Q20),"")</f>
        <v/>
      </c>
      <c r="R21" s="34">
        <f>IFERROR(AVERAGE(R16,R17,R18,R19,R20),"")</f>
        <v/>
      </c>
    </row>
    <row r="22">
      <c r="A22" s="7">
        <f>IFERROR("EM Europe: the 5y USD yield proxy moved "&amp;TEXT($E$21,"+0;-0")&amp;"bp on the month — "&amp;TEXT($F$21,"+0;-0")&amp;"bp Treasuries, "&amp;TEXT($G$21,"+0;-0")&amp;"bp spread"&amp;IF(ISNUMBER($H$21),", so "&amp;TEXT($H$21,"0%")&amp;" of the move is the US","")&amp;". YTD "&amp;TEXT($L$21,"+0;-0")&amp;"bp: "&amp;TEXT($M$21,"+0;-0")&amp;"bp Treasuries, "&amp;TEXT($N$21,"+0;-0")&amp;"bp spread. "&amp;IF($G$21&lt;=0,"Spreads did not widen into the Treasury move — the loss here is duration, not credit.",IF($G$21&lt;$F$21*0.5,"Spreads widened, but by less than half the Treasury move — mostly a duration story.","Spreads widened by a comparable amount to Treasuries — this is being repriced for credit, not just rates.")),"")</f>
        <v/>
      </c>
    </row>
    <row r="24" ht="16" customHeight="1">
      <c r="A24" s="36" t="inlineStr">
        <is>
          <t>MIDDLE EAST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d(UST 5Y + CDS) (bp)</t>
        </is>
      </c>
      <c r="F25" s="12" t="inlineStr">
        <is>
          <t>1M: US-driven: d UST 5Y (bp)</t>
        </is>
      </c>
      <c r="G25" s="12" t="inlineStr">
        <is>
          <t>1M: Intrinsic: d CDS 5Y (bp)</t>
        </is>
      </c>
      <c r="H25" s="12" t="inlineStr">
        <is>
          <t>1M: US share (UST / total)</t>
        </is>
      </c>
      <c r="I25" s="12" t="inlineStr">
        <is>
          <t>1M: Spread beta to UST 5Y (2y)</t>
        </is>
      </c>
      <c r="J25" s="12" t="inlineStr">
        <is>
          <t>1M: Predicted d spread (bp)</t>
        </is>
      </c>
      <c r="K25" s="12" t="inlineStr">
        <is>
          <t>1M: Spread surprise: actual less predicted (bp)</t>
        </is>
      </c>
      <c r="L25" s="12" t="inlineStr">
        <is>
          <t>YTD: Total: d(UST 5Y + CDS) (bp)</t>
        </is>
      </c>
      <c r="M25" s="12" t="inlineStr">
        <is>
          <t>YTD: US-driven: d UST 5Y (bp)</t>
        </is>
      </c>
      <c r="N25" s="12" t="inlineStr">
        <is>
          <t>YTD: Intrinsic: d CDS 5Y (bp)</t>
        </is>
      </c>
      <c r="O25" s="12" t="inlineStr">
        <is>
          <t>YTD: US share (UST / total)</t>
        </is>
      </c>
      <c r="P25" s="12" t="inlineStr">
        <is>
          <t>YTD: Spread beta to UST 5Y (2y)</t>
        </is>
      </c>
      <c r="Q25" s="12" t="inlineStr">
        <is>
          <t>YTD: Predicted d spread (bp)</t>
        </is>
      </c>
      <c r="R25" s="12" t="inlineStr">
        <is>
          <t>YTD: Spread surprise: actual less predicted (bp)</t>
        </is>
      </c>
    </row>
    <row r="26">
      <c r="A26" s="13" t="inlineStr">
        <is>
          <t>Saudi Arabia</t>
        </is>
      </c>
      <c r="B26" s="38" t="inlineStr">
        <is>
          <t>Middle East</t>
        </is>
      </c>
      <c r="C26" s="47">
        <f>INDEX(HIST_D!$BJ$8:$BJ$791,1)</f>
        <v/>
      </c>
      <c r="D26" s="38" t="inlineStr">
        <is>
          <t>yes</t>
        </is>
      </c>
      <c r="E26" s="34">
        <f>IFERROR((INDEX(HIST_D!$C$8:$C$791,1)-INDEX(HIST_D!$C$8:$C$791,Control!$B$10))*100+(INDEX(HIST_D!$BJ$8:$BJ$791,1)-INDEX(HIST_D!$BJ$8:$BJ$791,Control!$B$10)),"")</f>
        <v/>
      </c>
      <c r="F26" s="15">
        <f>IFERROR((INDEX(HIST_D!$C$8:$C$791,1)-INDEX(HIST_D!$C$8:$C$791,Control!$B$10))*100,"")</f>
        <v/>
      </c>
      <c r="G26" s="15">
        <f>IFERROR((INDEX(HIST_D!$BJ$8:$BJ$791,1)-INDEX(HIST_D!$BJ$8:$BJ$791,Control!$B$10)),"")</f>
        <v/>
      </c>
      <c r="H26" s="48">
        <f>IFERROR(IF(ABS(E26)&lt;1,"n/m",F26/E26),"n/m")</f>
        <v/>
      </c>
      <c r="I26" s="40">
        <f>IFERROR(SLOPE(HIST_D!$DW$8:INDEX(HIST_D!$DW$8:$DW$791,Control!$B$12),HIST_D!$BW$8:INDEX(HIST_D!$BW$8:$BW$791,Control!$B$12)),"")</f>
        <v/>
      </c>
      <c r="J26" s="15">
        <f>IFERROR(I26*(INDEX(HIST_D!$C$8:$C$791,1)-INDEX(HIST_D!$C$8:$C$791,Control!$B$10))*100,"")</f>
        <v/>
      </c>
      <c r="K26" s="41">
        <f>IFERROR(G26-J26,"")</f>
        <v/>
      </c>
      <c r="L26" s="34">
        <f>IFERROR((INDEX(HIST_D!$C$8:$C$791,1)-INDEX(HIST_D!$C$8:$C$791,Control!$B$11))*100+(INDEX(HIST_D!$BJ$8:$BJ$791,1)-INDEX(HIST_D!$BJ$8:$BJ$791,Control!$B$11)),"")</f>
        <v/>
      </c>
      <c r="M26" s="15">
        <f>IFERROR((INDEX(HIST_D!$C$8:$C$791,1)-INDEX(HIST_D!$C$8:$C$791,Control!$B$11))*100,"")</f>
        <v/>
      </c>
      <c r="N26" s="15">
        <f>IFERROR((INDEX(HIST_D!$BJ$8:$BJ$791,1)-INDEX(HIST_D!$BJ$8:$BJ$791,Control!$B$11)),"")</f>
        <v/>
      </c>
      <c r="O26" s="48">
        <f>IFERROR(IF(ABS(L26)&lt;1,"n/m",M26/L26),"n/m")</f>
        <v/>
      </c>
      <c r="P26" s="40">
        <f>IFERROR(SLOPE(HIST_D!$DW$8:INDEX(HIST_D!$DW$8:$DW$791,Control!$B$12),HIST_D!$BW$8:INDEX(HIST_D!$BW$8:$BW$791,Control!$B$12)),"")</f>
        <v/>
      </c>
      <c r="Q26" s="15">
        <f>IFERROR(P26*(INDEX(HIST_D!$C$8:$C$791,1)-INDEX(HIST_D!$C$8:$C$791,Control!$B$11))*100,"")</f>
        <v/>
      </c>
      <c r="R26" s="41">
        <f>IFERROR(N26-Q26,"")</f>
        <v/>
      </c>
      <c r="S26" s="7" t="inlineStr">
        <is>
          <t>pegged; no local generic — credit only</t>
        </is>
      </c>
    </row>
    <row r="27">
      <c r="A27" s="13" t="inlineStr">
        <is>
          <t>UAE (Abu Dhabi)</t>
        </is>
      </c>
      <c r="B27" s="38" t="inlineStr">
        <is>
          <t>Middle East</t>
        </is>
      </c>
      <c r="C27" s="47">
        <f>INDEX(HIST_D!$BK$8:$BK$791,1)</f>
        <v/>
      </c>
      <c r="D27" s="38" t="inlineStr">
        <is>
          <t>yes</t>
        </is>
      </c>
      <c r="E27" s="34">
        <f>IFERROR((INDEX(HIST_D!$C$8:$C$791,1)-INDEX(HIST_D!$C$8:$C$791,Control!$B$10))*100+(INDEX(HIST_D!$BK$8:$BK$791,1)-INDEX(HIST_D!$BK$8:$BK$791,Control!$B$10)),"")</f>
        <v/>
      </c>
      <c r="F27" s="15">
        <f>IFERROR((INDEX(HIST_D!$C$8:$C$791,1)-INDEX(HIST_D!$C$8:$C$791,Control!$B$10))*100,"")</f>
        <v/>
      </c>
      <c r="G27" s="15">
        <f>IFERROR((INDEX(HIST_D!$BK$8:$BK$791,1)-INDEX(HIST_D!$BK$8:$BK$791,Control!$B$10)),"")</f>
        <v/>
      </c>
      <c r="H27" s="48">
        <f>IFERROR(IF(ABS(E27)&lt;1,"n/m",F27/E27),"n/m")</f>
        <v/>
      </c>
      <c r="I27" s="40">
        <f>IFERROR(SLOPE(HIST_D!$DX$8:INDEX(HIST_D!$DX$8:$DX$791,Control!$B$12),HIST_D!$BW$8:INDEX(HIST_D!$BW$8:$BW$791,Control!$B$12)),"")</f>
        <v/>
      </c>
      <c r="J27" s="15">
        <f>IFERROR(I27*(INDEX(HIST_D!$C$8:$C$791,1)-INDEX(HIST_D!$C$8:$C$791,Control!$B$10))*100,"")</f>
        <v/>
      </c>
      <c r="K27" s="41">
        <f>IFERROR(G27-J27,"")</f>
        <v/>
      </c>
      <c r="L27" s="34">
        <f>IFERROR((INDEX(HIST_D!$C$8:$C$791,1)-INDEX(HIST_D!$C$8:$C$791,Control!$B$11))*100+(INDEX(HIST_D!$BK$8:$BK$791,1)-INDEX(HIST_D!$BK$8:$BK$791,Control!$B$11)),"")</f>
        <v/>
      </c>
      <c r="M27" s="15">
        <f>IFERROR((INDEX(HIST_D!$C$8:$C$791,1)-INDEX(HIST_D!$C$8:$C$791,Control!$B$11))*100,"")</f>
        <v/>
      </c>
      <c r="N27" s="15">
        <f>IFERROR((INDEX(HIST_D!$BK$8:$BK$791,1)-INDEX(HIST_D!$BK$8:$BK$791,Control!$B$11)),"")</f>
        <v/>
      </c>
      <c r="O27" s="48">
        <f>IFERROR(IF(ABS(L27)&lt;1,"n/m",M27/L27),"n/m")</f>
        <v/>
      </c>
      <c r="P27" s="40">
        <f>IFERROR(SLOPE(HIST_D!$DX$8:INDEX(HIST_D!$DX$8:$DX$791,Control!$B$12),HIST_D!$BW$8:INDEX(HIST_D!$BW$8:$BW$791,Control!$B$12)),"")</f>
        <v/>
      </c>
      <c r="Q27" s="15">
        <f>IFERROR(P27*(INDEX(HIST_D!$C$8:$C$791,1)-INDEX(HIST_D!$C$8:$C$791,Control!$B$11))*100,"")</f>
        <v/>
      </c>
      <c r="R27" s="41">
        <f>IFERROR(N27-Q27,"")</f>
        <v/>
      </c>
      <c r="S27" s="7" t="inlineStr">
        <is>
          <t>pegged; no local generic — credit only</t>
        </is>
      </c>
    </row>
    <row r="28">
      <c r="A28" s="13" t="inlineStr">
        <is>
          <t>Qatar</t>
        </is>
      </c>
      <c r="B28" s="38" t="inlineStr">
        <is>
          <t>Middle East</t>
        </is>
      </c>
      <c r="C28" s="47">
        <f>INDEX(HIST_D!$BL$8:$BL$791,1)</f>
        <v/>
      </c>
      <c r="D28" s="38" t="inlineStr">
        <is>
          <t>yes</t>
        </is>
      </c>
      <c r="E28" s="34">
        <f>IFERROR((INDEX(HIST_D!$C$8:$C$791,1)-INDEX(HIST_D!$C$8:$C$791,Control!$B$10))*100+(INDEX(HIST_D!$BL$8:$BL$791,1)-INDEX(HIST_D!$BL$8:$BL$791,Control!$B$10)),"")</f>
        <v/>
      </c>
      <c r="F28" s="15">
        <f>IFERROR((INDEX(HIST_D!$C$8:$C$791,1)-INDEX(HIST_D!$C$8:$C$791,Control!$B$10))*100,"")</f>
        <v/>
      </c>
      <c r="G28" s="15">
        <f>IFERROR((INDEX(HIST_D!$BL$8:$BL$791,1)-INDEX(HIST_D!$BL$8:$BL$791,Control!$B$10)),"")</f>
        <v/>
      </c>
      <c r="H28" s="48">
        <f>IFERROR(IF(ABS(E28)&lt;1,"n/m",F28/E28),"n/m")</f>
        <v/>
      </c>
      <c r="I28" s="40">
        <f>IFERROR(SLOPE(HIST_D!$DY$8:INDEX(HIST_D!$DY$8:$DY$791,Control!$B$12),HIST_D!$BW$8:INDEX(HIST_D!$BW$8:$BW$791,Control!$B$12)),"")</f>
        <v/>
      </c>
      <c r="J28" s="15">
        <f>IFERROR(I28*(INDEX(HIST_D!$C$8:$C$791,1)-INDEX(HIST_D!$C$8:$C$791,Control!$B$10))*100,"")</f>
        <v/>
      </c>
      <c r="K28" s="41">
        <f>IFERROR(G28-J28,"")</f>
        <v/>
      </c>
      <c r="L28" s="34">
        <f>IFERROR((INDEX(HIST_D!$C$8:$C$791,1)-INDEX(HIST_D!$C$8:$C$791,Control!$B$11))*100+(INDEX(HIST_D!$BL$8:$BL$791,1)-INDEX(HIST_D!$BL$8:$BL$791,Control!$B$11)),"")</f>
        <v/>
      </c>
      <c r="M28" s="15">
        <f>IFERROR((INDEX(HIST_D!$C$8:$C$791,1)-INDEX(HIST_D!$C$8:$C$791,Control!$B$11))*100,"")</f>
        <v/>
      </c>
      <c r="N28" s="15">
        <f>IFERROR((INDEX(HIST_D!$BL$8:$BL$791,1)-INDEX(HIST_D!$BL$8:$BL$791,Control!$B$11)),"")</f>
        <v/>
      </c>
      <c r="O28" s="48">
        <f>IFERROR(IF(ABS(L28)&lt;1,"n/m",M28/L28),"n/m")</f>
        <v/>
      </c>
      <c r="P28" s="40">
        <f>IFERROR(SLOPE(HIST_D!$DY$8:INDEX(HIST_D!$DY$8:$DY$791,Control!$B$12),HIST_D!$BW$8:INDEX(HIST_D!$BW$8:$BW$791,Control!$B$12)),"")</f>
        <v/>
      </c>
      <c r="Q28" s="15">
        <f>IFERROR(P28*(INDEX(HIST_D!$C$8:$C$791,1)-INDEX(HIST_D!$C$8:$C$791,Control!$B$11))*100,"")</f>
        <v/>
      </c>
      <c r="R28" s="41">
        <f>IFERROR(N28-Q28,"")</f>
        <v/>
      </c>
      <c r="S28" s="7" t="inlineStr">
        <is>
          <t>pegged; no local generic — credit only</t>
        </is>
      </c>
    </row>
    <row r="29">
      <c r="A29" s="13" t="inlineStr">
        <is>
          <t>Israel</t>
        </is>
      </c>
      <c r="B29" s="38" t="inlineStr">
        <is>
          <t>Middle East</t>
        </is>
      </c>
      <c r="C29" s="47">
        <f>INDEX(HIST_D!$BM$8:$BM$791,1)</f>
        <v/>
      </c>
      <c r="D29" s="38" t="inlineStr">
        <is>
          <t>yes</t>
        </is>
      </c>
      <c r="E29" s="34">
        <f>IFERROR((INDEX(HIST_D!$C$8:$C$791,1)-INDEX(HIST_D!$C$8:$C$791,Control!$B$10))*100+(INDEX(HIST_D!$BM$8:$BM$791,1)-INDEX(HIST_D!$BM$8:$BM$791,Control!$B$10)),"")</f>
        <v/>
      </c>
      <c r="F29" s="15">
        <f>IFERROR((INDEX(HIST_D!$C$8:$C$791,1)-INDEX(HIST_D!$C$8:$C$791,Control!$B$10))*100,"")</f>
        <v/>
      </c>
      <c r="G29" s="15">
        <f>IFERROR((INDEX(HIST_D!$BM$8:$BM$791,1)-INDEX(HIST_D!$BM$8:$BM$791,Control!$B$10)),"")</f>
        <v/>
      </c>
      <c r="H29" s="48">
        <f>IFERROR(IF(ABS(E29)&lt;1,"n/m",F29/E29),"n/m")</f>
        <v/>
      </c>
      <c r="I29" s="40">
        <f>IFERROR(SLOPE(HIST_D!$DZ$8:INDEX(HIST_D!$DZ$8:$DZ$791,Control!$B$12),HIST_D!$BW$8:INDEX(HIST_D!$BW$8:$BW$791,Control!$B$12)),"")</f>
        <v/>
      </c>
      <c r="J29" s="15">
        <f>IFERROR(I29*(INDEX(HIST_D!$C$8:$C$791,1)-INDEX(HIST_D!$C$8:$C$791,Control!$B$10))*100,"")</f>
        <v/>
      </c>
      <c r="K29" s="41">
        <f>IFERROR(G29-J29,"")</f>
        <v/>
      </c>
      <c r="L29" s="34">
        <f>IFERROR((INDEX(HIST_D!$C$8:$C$791,1)-INDEX(HIST_D!$C$8:$C$791,Control!$B$11))*100+(INDEX(HIST_D!$BM$8:$BM$791,1)-INDEX(HIST_D!$BM$8:$BM$791,Control!$B$11)),"")</f>
        <v/>
      </c>
      <c r="M29" s="15">
        <f>IFERROR((INDEX(HIST_D!$C$8:$C$791,1)-INDEX(HIST_D!$C$8:$C$791,Control!$B$11))*100,"")</f>
        <v/>
      </c>
      <c r="N29" s="15">
        <f>IFERROR((INDEX(HIST_D!$BM$8:$BM$791,1)-INDEX(HIST_D!$BM$8:$BM$791,Control!$B$11)),"")</f>
        <v/>
      </c>
      <c r="O29" s="48">
        <f>IFERROR(IF(ABS(L29)&lt;1,"n/m",M29/L29),"n/m")</f>
        <v/>
      </c>
      <c r="P29" s="40">
        <f>IFERROR(SLOPE(HIST_D!$DZ$8:INDEX(HIST_D!$DZ$8:$DZ$791,Control!$B$12),HIST_D!$BW$8:INDEX(HIST_D!$BW$8:$BW$791,Control!$B$12)),"")</f>
        <v/>
      </c>
      <c r="Q29" s="15">
        <f>IFERROR(P29*(INDEX(HIST_D!$C$8:$C$791,1)-INDEX(HIST_D!$C$8:$C$791,Control!$B$11))*100,"")</f>
        <v/>
      </c>
      <c r="R29" s="41">
        <f>IFERROR(N29-Q29,"")</f>
        <v/>
      </c>
    </row>
    <row r="30">
      <c r="A30" s="13" t="inlineStr">
        <is>
          <t>Egypt</t>
        </is>
      </c>
      <c r="B30" s="38" t="inlineStr">
        <is>
          <t>Middle East</t>
        </is>
      </c>
      <c r="C30" s="47">
        <f>INDEX(HIST_D!$BN$8:$BN$791,1)</f>
        <v/>
      </c>
      <c r="D30" s="38" t="inlineStr">
        <is>
          <t>yes</t>
        </is>
      </c>
      <c r="E30" s="34">
        <f>IFERROR((INDEX(HIST_D!$C$8:$C$791,1)-INDEX(HIST_D!$C$8:$C$791,Control!$B$10))*100+(INDEX(HIST_D!$BN$8:$BN$791,1)-INDEX(HIST_D!$BN$8:$BN$791,Control!$B$10)),"")</f>
        <v/>
      </c>
      <c r="F30" s="15">
        <f>IFERROR((INDEX(HIST_D!$C$8:$C$791,1)-INDEX(HIST_D!$C$8:$C$791,Control!$B$10))*100,"")</f>
        <v/>
      </c>
      <c r="G30" s="15">
        <f>IFERROR((INDEX(HIST_D!$BN$8:$BN$791,1)-INDEX(HIST_D!$BN$8:$BN$791,Control!$B$10)),"")</f>
        <v/>
      </c>
      <c r="H30" s="48">
        <f>IFERROR(IF(ABS(E30)&lt;1,"n/m",F30/E30),"n/m")</f>
        <v/>
      </c>
      <c r="I30" s="40">
        <f>IFERROR(SLOPE(HIST_D!$EA$8:INDEX(HIST_D!$EA$8:$EA$791,Control!$B$12),HIST_D!$BW$8:INDEX(HIST_D!$BW$8:$BW$791,Control!$B$12)),"")</f>
        <v/>
      </c>
      <c r="J30" s="15">
        <f>IFERROR(I30*(INDEX(HIST_D!$C$8:$C$791,1)-INDEX(HIST_D!$C$8:$C$791,Control!$B$10))*100,"")</f>
        <v/>
      </c>
      <c r="K30" s="41">
        <f>IFERROR(G30-J30,"")</f>
        <v/>
      </c>
      <c r="L30" s="34">
        <f>IFERROR((INDEX(HIST_D!$C$8:$C$791,1)-INDEX(HIST_D!$C$8:$C$791,Control!$B$11))*100+(INDEX(HIST_D!$BN$8:$BN$791,1)-INDEX(HIST_D!$BN$8:$BN$791,Control!$B$11)),"")</f>
        <v/>
      </c>
      <c r="M30" s="15">
        <f>IFERROR((INDEX(HIST_D!$C$8:$C$791,1)-INDEX(HIST_D!$C$8:$C$791,Control!$B$11))*100,"")</f>
        <v/>
      </c>
      <c r="N30" s="15">
        <f>IFERROR((INDEX(HIST_D!$BN$8:$BN$791,1)-INDEX(HIST_D!$BN$8:$BN$791,Control!$B$11)),"")</f>
        <v/>
      </c>
      <c r="O30" s="48">
        <f>IFERROR(IF(ABS(L30)&lt;1,"n/m",M30/L30),"n/m")</f>
        <v/>
      </c>
      <c r="P30" s="40">
        <f>IFERROR(SLOPE(HIST_D!$EA$8:INDEX(HIST_D!$EA$8:$EA$791,Control!$B$12),HIST_D!$BW$8:INDEX(HIST_D!$BW$8:$BW$791,Control!$B$12)),"")</f>
        <v/>
      </c>
      <c r="Q30" s="15">
        <f>IFERROR(P30*(INDEX(HIST_D!$C$8:$C$791,1)-INDEX(HIST_D!$C$8:$C$791,Control!$B$11))*100,"")</f>
        <v/>
      </c>
      <c r="R30" s="41">
        <f>IFERROR(N30-Q30,"")</f>
        <v/>
      </c>
      <c r="S30" s="7" t="inlineStr">
        <is>
          <t>excluded from FX average: managed float with step devaluations; GTEGP10Y is Verify</t>
        </is>
      </c>
    </row>
    <row r="31">
      <c r="A31" s="18" t="inlineStr">
        <is>
          <t>Middle East average</t>
        </is>
      </c>
      <c r="B31" s="38" t="inlineStr">
        <is>
          <t>n=5</t>
        </is>
      </c>
      <c r="C31" s="13" t="inlineStr"/>
      <c r="D31" s="13" t="inlineStr"/>
      <c r="E31" s="34">
        <f>IFERROR(AVERAGE(E26,E27,E28,E29,E30),"")</f>
        <v/>
      </c>
      <c r="F31" s="34">
        <f>IFERROR(AVERAGE(F26,F27,F28,F29,F30),"")</f>
        <v/>
      </c>
      <c r="G31" s="34">
        <f>IFERROR(AVERAGE(G26,G27,G28,G29,G30),"")</f>
        <v/>
      </c>
      <c r="H31" s="49">
        <f>IFERROR(IF(ABS(E31)&lt;1,"n/m",F31/E31),"n/m")</f>
        <v/>
      </c>
      <c r="I31" s="43">
        <f>IFERROR(AVERAGE(I26,I27,I28,I29,I30),"")</f>
        <v/>
      </c>
      <c r="J31" s="34">
        <f>IFERROR(AVERAGE(J26,J27,J28,J29,J30),"")</f>
        <v/>
      </c>
      <c r="K31" s="34">
        <f>IFERROR(AVERAGE(K26,K27,K28,K29,K30),"")</f>
        <v/>
      </c>
      <c r="L31" s="34">
        <f>IFERROR(AVERAGE(L26,L27,L28,L29,L30),"")</f>
        <v/>
      </c>
      <c r="M31" s="34">
        <f>IFERROR(AVERAGE(M26,M27,M28,M29,M30),"")</f>
        <v/>
      </c>
      <c r="N31" s="34">
        <f>IFERROR(AVERAGE(N26,N27,N28,N29,N30),"")</f>
        <v/>
      </c>
      <c r="O31" s="49">
        <f>IFERROR(IF(ABS(L31)&lt;1,"n/m",M31/L31),"n/m")</f>
        <v/>
      </c>
      <c r="P31" s="43">
        <f>IFERROR(AVERAGE(P26,P27,P28,P29,P30),"")</f>
        <v/>
      </c>
      <c r="Q31" s="34">
        <f>IFERROR(AVERAGE(Q26,Q27,Q28,Q29,Q30),"")</f>
        <v/>
      </c>
      <c r="R31" s="34">
        <f>IFERROR(AVERAGE(R26,R27,R28,R29,R30),"")</f>
        <v/>
      </c>
    </row>
    <row r="32">
      <c r="A32" s="7">
        <f>IFERROR("Middle East: the 5y USD yield proxy moved "&amp;TEXT($E$31,"+0;-0")&amp;"bp on the month — "&amp;TEXT($F$31,"+0;-0")&amp;"bp Treasuries, "&amp;TEXT($G$31,"+0;-0")&amp;"bp spread"&amp;IF(ISNUMBER($H$31),", so "&amp;TEXT($H$31,"0%")&amp;" of the move is the US","")&amp;". YTD "&amp;TEXT($L$31,"+0;-0")&amp;"bp: "&amp;TEXT($M$31,"+0;-0")&amp;"bp Treasuries, "&amp;TEXT($N$31,"+0;-0")&amp;"bp spread. "&amp;IF($G$31&lt;=0,"Spreads did not widen into the Treasury move — the loss here is duration, not credit.",IF($G$31&lt;$F$31*0.5,"Spreads widened, but by less than half the Treasury move — mostly a duration story.","Spreads widened by a comparable amount to Treasuries — this is being repriced for credit, not just rates.")),"")</f>
        <v/>
      </c>
    </row>
    <row r="34" ht="16" customHeight="1">
      <c r="A34" s="36" t="inlineStr">
        <is>
          <t>EM ASIA</t>
        </is>
      </c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</row>
    <row r="35" ht="40" customHeight="1">
      <c r="A35" s="12" t="inlineStr">
        <is>
          <t>Country</t>
        </is>
      </c>
      <c r="B35" s="12" t="inlineStr">
        <is>
          <t>Region</t>
        </is>
      </c>
      <c r="C35" s="12" t="inlineStr">
        <is>
          <t>Level</t>
        </is>
      </c>
      <c r="D35" s="12" t="inlineStr">
        <is>
          <t>In avg</t>
        </is>
      </c>
      <c r="E35" s="12" t="inlineStr">
        <is>
          <t>1M: Total: d(UST 5Y + CDS) (bp)</t>
        </is>
      </c>
      <c r="F35" s="12" t="inlineStr">
        <is>
          <t>1M: US-driven: d UST 5Y (bp)</t>
        </is>
      </c>
      <c r="G35" s="12" t="inlineStr">
        <is>
          <t>1M: Intrinsic: d CDS 5Y (bp)</t>
        </is>
      </c>
      <c r="H35" s="12" t="inlineStr">
        <is>
          <t>1M: US share (UST / total)</t>
        </is>
      </c>
      <c r="I35" s="12" t="inlineStr">
        <is>
          <t>1M: Spread beta to UST 5Y (2y)</t>
        </is>
      </c>
      <c r="J35" s="12" t="inlineStr">
        <is>
          <t>1M: Predicted d spread (bp)</t>
        </is>
      </c>
      <c r="K35" s="12" t="inlineStr">
        <is>
          <t>1M: Spread surprise: actual less predicted (bp)</t>
        </is>
      </c>
      <c r="L35" s="12" t="inlineStr">
        <is>
          <t>YTD: Total: d(UST 5Y + CDS) (bp)</t>
        </is>
      </c>
      <c r="M35" s="12" t="inlineStr">
        <is>
          <t>YTD: US-driven: d UST 5Y (bp)</t>
        </is>
      </c>
      <c r="N35" s="12" t="inlineStr">
        <is>
          <t>YTD: Intrinsic: d CDS 5Y (bp)</t>
        </is>
      </c>
      <c r="O35" s="12" t="inlineStr">
        <is>
          <t>YTD: US share (UST / total)</t>
        </is>
      </c>
      <c r="P35" s="12" t="inlineStr">
        <is>
          <t>YTD: Spread beta to UST 5Y (2y)</t>
        </is>
      </c>
      <c r="Q35" s="12" t="inlineStr">
        <is>
          <t>YTD: Predicted d spread (bp)</t>
        </is>
      </c>
      <c r="R35" s="12" t="inlineStr">
        <is>
          <t>YTD: Spread surprise: actual less predicted (bp)</t>
        </is>
      </c>
    </row>
    <row r="36">
      <c r="A36" s="13" t="inlineStr">
        <is>
          <t>China</t>
        </is>
      </c>
      <c r="B36" s="38" t="inlineStr">
        <is>
          <t>EM Asia</t>
        </is>
      </c>
      <c r="C36" s="47">
        <f>INDEX(HIST_D!$BO$8:$BO$791,1)</f>
        <v/>
      </c>
      <c r="D36" s="38" t="inlineStr">
        <is>
          <t>yes</t>
        </is>
      </c>
      <c r="E36" s="34">
        <f>IFERROR((INDEX(HIST_D!$C$8:$C$791,1)-INDEX(HIST_D!$C$8:$C$791,Control!$B$10))*100+(INDEX(HIST_D!$BO$8:$BO$791,1)-INDEX(HIST_D!$BO$8:$BO$791,Control!$B$10)),"")</f>
        <v/>
      </c>
      <c r="F36" s="15">
        <f>IFERROR((INDEX(HIST_D!$C$8:$C$791,1)-INDEX(HIST_D!$C$8:$C$791,Control!$B$10))*100,"")</f>
        <v/>
      </c>
      <c r="G36" s="15">
        <f>IFERROR((INDEX(HIST_D!$BO$8:$BO$791,1)-INDEX(HIST_D!$BO$8:$BO$791,Control!$B$10)),"")</f>
        <v/>
      </c>
      <c r="H36" s="48">
        <f>IFERROR(IF(ABS(E36)&lt;1,"n/m",F36/E36),"n/m")</f>
        <v/>
      </c>
      <c r="I36" s="40">
        <f>IFERROR(SLOPE(HIST_D!$EB$8:INDEX(HIST_D!$EB$8:$EB$791,Control!$B$12),HIST_D!$BW$8:INDEX(HIST_D!$BW$8:$BW$791,Control!$B$12)),"")</f>
        <v/>
      </c>
      <c r="J36" s="15">
        <f>IFERROR(I36*(INDEX(HIST_D!$C$8:$C$791,1)-INDEX(HIST_D!$C$8:$C$791,Control!$B$10))*100,"")</f>
        <v/>
      </c>
      <c r="K36" s="41">
        <f>IFERROR(G36-J36,"")</f>
        <v/>
      </c>
      <c r="L36" s="34">
        <f>IFERROR((INDEX(HIST_D!$C$8:$C$791,1)-INDEX(HIST_D!$C$8:$C$791,Control!$B$11))*100+(INDEX(HIST_D!$BO$8:$BO$791,1)-INDEX(HIST_D!$BO$8:$BO$791,Control!$B$11)),"")</f>
        <v/>
      </c>
      <c r="M36" s="15">
        <f>IFERROR((INDEX(HIST_D!$C$8:$C$791,1)-INDEX(HIST_D!$C$8:$C$791,Control!$B$11))*100,"")</f>
        <v/>
      </c>
      <c r="N36" s="15">
        <f>IFERROR((INDEX(HIST_D!$BO$8:$BO$791,1)-INDEX(HIST_D!$BO$8:$BO$791,Control!$B$11)),"")</f>
        <v/>
      </c>
      <c r="O36" s="48">
        <f>IFERROR(IF(ABS(L36)&lt;1,"n/m",M36/L36),"n/m")</f>
        <v/>
      </c>
      <c r="P36" s="40">
        <f>IFERROR(SLOPE(HIST_D!$EB$8:INDEX(HIST_D!$EB$8:$EB$791,Control!$B$12),HIST_D!$BW$8:INDEX(HIST_D!$BW$8:$BW$791,Control!$B$12)),"")</f>
        <v/>
      </c>
      <c r="Q36" s="15">
        <f>IFERROR(P36*(INDEX(HIST_D!$C$8:$C$791,1)-INDEX(HIST_D!$C$8:$C$791,Control!$B$11))*100,"")</f>
        <v/>
      </c>
      <c r="R36" s="41">
        <f>IFERROR(N36-Q36,"")</f>
        <v/>
      </c>
    </row>
    <row r="37">
      <c r="A37" s="13" t="inlineStr">
        <is>
          <t>Indonesia</t>
        </is>
      </c>
      <c r="B37" s="38" t="inlineStr">
        <is>
          <t>EM Asia</t>
        </is>
      </c>
      <c r="C37" s="47">
        <f>INDEX(HIST_D!$BP$8:$BP$791,1)</f>
        <v/>
      </c>
      <c r="D37" s="38" t="inlineStr">
        <is>
          <t>yes</t>
        </is>
      </c>
      <c r="E37" s="34">
        <f>IFERROR((INDEX(HIST_D!$C$8:$C$791,1)-INDEX(HIST_D!$C$8:$C$791,Control!$B$10))*100+(INDEX(HIST_D!$BP$8:$BP$791,1)-INDEX(HIST_D!$BP$8:$BP$791,Control!$B$10)),"")</f>
        <v/>
      </c>
      <c r="F37" s="15">
        <f>IFERROR((INDEX(HIST_D!$C$8:$C$791,1)-INDEX(HIST_D!$C$8:$C$791,Control!$B$10))*100,"")</f>
        <v/>
      </c>
      <c r="G37" s="15">
        <f>IFERROR((INDEX(HIST_D!$BP$8:$BP$791,1)-INDEX(HIST_D!$BP$8:$BP$791,Control!$B$10)),"")</f>
        <v/>
      </c>
      <c r="H37" s="48">
        <f>IFERROR(IF(ABS(E37)&lt;1,"n/m",F37/E37),"n/m")</f>
        <v/>
      </c>
      <c r="I37" s="40">
        <f>IFERROR(SLOPE(HIST_D!$EC$8:INDEX(HIST_D!$EC$8:$EC$791,Control!$B$12),HIST_D!$BW$8:INDEX(HIST_D!$BW$8:$BW$791,Control!$B$12)),"")</f>
        <v/>
      </c>
      <c r="J37" s="15">
        <f>IFERROR(I37*(INDEX(HIST_D!$C$8:$C$791,1)-INDEX(HIST_D!$C$8:$C$791,Control!$B$10))*100,"")</f>
        <v/>
      </c>
      <c r="K37" s="41">
        <f>IFERROR(G37-J37,"")</f>
        <v/>
      </c>
      <c r="L37" s="34">
        <f>IFERROR((INDEX(HIST_D!$C$8:$C$791,1)-INDEX(HIST_D!$C$8:$C$791,Control!$B$11))*100+(INDEX(HIST_D!$BP$8:$BP$791,1)-INDEX(HIST_D!$BP$8:$BP$791,Control!$B$11)),"")</f>
        <v/>
      </c>
      <c r="M37" s="15">
        <f>IFERROR((INDEX(HIST_D!$C$8:$C$791,1)-INDEX(HIST_D!$C$8:$C$791,Control!$B$11))*100,"")</f>
        <v/>
      </c>
      <c r="N37" s="15">
        <f>IFERROR((INDEX(HIST_D!$BP$8:$BP$791,1)-INDEX(HIST_D!$BP$8:$BP$791,Control!$B$11)),"")</f>
        <v/>
      </c>
      <c r="O37" s="48">
        <f>IFERROR(IF(ABS(L37)&lt;1,"n/m",M37/L37),"n/m")</f>
        <v/>
      </c>
      <c r="P37" s="40">
        <f>IFERROR(SLOPE(HIST_D!$EC$8:INDEX(HIST_D!$EC$8:$EC$791,Control!$B$12),HIST_D!$BW$8:INDEX(HIST_D!$BW$8:$BW$791,Control!$B$12)),"")</f>
        <v/>
      </c>
      <c r="Q37" s="15">
        <f>IFERROR(P37*(INDEX(HIST_D!$C$8:$C$791,1)-INDEX(HIST_D!$C$8:$C$791,Control!$B$11))*100,"")</f>
        <v/>
      </c>
      <c r="R37" s="41">
        <f>IFERROR(N37-Q37,"")</f>
        <v/>
      </c>
    </row>
    <row r="38">
      <c r="A38" s="13" t="inlineStr">
        <is>
          <t>Korea</t>
        </is>
      </c>
      <c r="B38" s="38" t="inlineStr">
        <is>
          <t>EM Asia</t>
        </is>
      </c>
      <c r="C38" s="47">
        <f>INDEX(HIST_D!$BQ$8:$BQ$791,1)</f>
        <v/>
      </c>
      <c r="D38" s="38" t="inlineStr">
        <is>
          <t>yes</t>
        </is>
      </c>
      <c r="E38" s="34">
        <f>IFERROR((INDEX(HIST_D!$C$8:$C$791,1)-INDEX(HIST_D!$C$8:$C$791,Control!$B$10))*100+(INDEX(HIST_D!$BQ$8:$BQ$791,1)-INDEX(HIST_D!$BQ$8:$BQ$791,Control!$B$10)),"")</f>
        <v/>
      </c>
      <c r="F38" s="15">
        <f>IFERROR((INDEX(HIST_D!$C$8:$C$791,1)-INDEX(HIST_D!$C$8:$C$791,Control!$B$10))*100,"")</f>
        <v/>
      </c>
      <c r="G38" s="15">
        <f>IFERROR((INDEX(HIST_D!$BQ$8:$BQ$791,1)-INDEX(HIST_D!$BQ$8:$BQ$791,Control!$B$10)),"")</f>
        <v/>
      </c>
      <c r="H38" s="48">
        <f>IFERROR(IF(ABS(E38)&lt;1,"n/m",F38/E38),"n/m")</f>
        <v/>
      </c>
      <c r="I38" s="40">
        <f>IFERROR(SLOPE(HIST_D!$ED$8:INDEX(HIST_D!$ED$8:$ED$791,Control!$B$12),HIST_D!$BW$8:INDEX(HIST_D!$BW$8:$BW$791,Control!$B$12)),"")</f>
        <v/>
      </c>
      <c r="J38" s="15">
        <f>IFERROR(I38*(INDEX(HIST_D!$C$8:$C$791,1)-INDEX(HIST_D!$C$8:$C$791,Control!$B$10))*100,"")</f>
        <v/>
      </c>
      <c r="K38" s="41">
        <f>IFERROR(G38-J38,"")</f>
        <v/>
      </c>
      <c r="L38" s="34">
        <f>IFERROR((INDEX(HIST_D!$C$8:$C$791,1)-INDEX(HIST_D!$C$8:$C$791,Control!$B$11))*100+(INDEX(HIST_D!$BQ$8:$BQ$791,1)-INDEX(HIST_D!$BQ$8:$BQ$791,Control!$B$11)),"")</f>
        <v/>
      </c>
      <c r="M38" s="15">
        <f>IFERROR((INDEX(HIST_D!$C$8:$C$791,1)-INDEX(HIST_D!$C$8:$C$791,Control!$B$11))*100,"")</f>
        <v/>
      </c>
      <c r="N38" s="15">
        <f>IFERROR((INDEX(HIST_D!$BQ$8:$BQ$791,1)-INDEX(HIST_D!$BQ$8:$BQ$791,Control!$B$11)),"")</f>
        <v/>
      </c>
      <c r="O38" s="48">
        <f>IFERROR(IF(ABS(L38)&lt;1,"n/m",M38/L38),"n/m")</f>
        <v/>
      </c>
      <c r="P38" s="40">
        <f>IFERROR(SLOPE(HIST_D!$ED$8:INDEX(HIST_D!$ED$8:$ED$791,Control!$B$12),HIST_D!$BW$8:INDEX(HIST_D!$BW$8:$BW$791,Control!$B$12)),"")</f>
        <v/>
      </c>
      <c r="Q38" s="15">
        <f>IFERROR(P38*(INDEX(HIST_D!$C$8:$C$791,1)-INDEX(HIST_D!$C$8:$C$791,Control!$B$11))*100,"")</f>
        <v/>
      </c>
      <c r="R38" s="41">
        <f>IFERROR(N38-Q38,"")</f>
        <v/>
      </c>
    </row>
    <row r="39">
      <c r="A39" s="13" t="inlineStr">
        <is>
          <t>Thailand</t>
        </is>
      </c>
      <c r="B39" s="38" t="inlineStr">
        <is>
          <t>EM Asia</t>
        </is>
      </c>
      <c r="C39" s="47">
        <f>INDEX(HIST_D!$BR$8:$BR$791,1)</f>
        <v/>
      </c>
      <c r="D39" s="38" t="inlineStr">
        <is>
          <t>yes</t>
        </is>
      </c>
      <c r="E39" s="34">
        <f>IFERROR((INDEX(HIST_D!$C$8:$C$791,1)-INDEX(HIST_D!$C$8:$C$791,Control!$B$10))*100+(INDEX(HIST_D!$BR$8:$BR$791,1)-INDEX(HIST_D!$BR$8:$BR$791,Control!$B$10)),"")</f>
        <v/>
      </c>
      <c r="F39" s="15">
        <f>IFERROR((INDEX(HIST_D!$C$8:$C$791,1)-INDEX(HIST_D!$C$8:$C$791,Control!$B$10))*100,"")</f>
        <v/>
      </c>
      <c r="G39" s="15">
        <f>IFERROR((INDEX(HIST_D!$BR$8:$BR$791,1)-INDEX(HIST_D!$BR$8:$BR$791,Control!$B$10)),"")</f>
        <v/>
      </c>
      <c r="H39" s="48">
        <f>IFERROR(IF(ABS(E39)&lt;1,"n/m",F39/E39),"n/m")</f>
        <v/>
      </c>
      <c r="I39" s="40">
        <f>IFERROR(SLOPE(HIST_D!$EE$8:INDEX(HIST_D!$EE$8:$EE$791,Control!$B$12),HIST_D!$BW$8:INDEX(HIST_D!$BW$8:$BW$791,Control!$B$12)),"")</f>
        <v/>
      </c>
      <c r="J39" s="15">
        <f>IFERROR(I39*(INDEX(HIST_D!$C$8:$C$791,1)-INDEX(HIST_D!$C$8:$C$791,Control!$B$10))*100,"")</f>
        <v/>
      </c>
      <c r="K39" s="41">
        <f>IFERROR(G39-J39,"")</f>
        <v/>
      </c>
      <c r="L39" s="34">
        <f>IFERROR((INDEX(HIST_D!$C$8:$C$791,1)-INDEX(HIST_D!$C$8:$C$791,Control!$B$11))*100+(INDEX(HIST_D!$BR$8:$BR$791,1)-INDEX(HIST_D!$BR$8:$BR$791,Control!$B$11)),"")</f>
        <v/>
      </c>
      <c r="M39" s="15">
        <f>IFERROR((INDEX(HIST_D!$C$8:$C$791,1)-INDEX(HIST_D!$C$8:$C$791,Control!$B$11))*100,"")</f>
        <v/>
      </c>
      <c r="N39" s="15">
        <f>IFERROR((INDEX(HIST_D!$BR$8:$BR$791,1)-INDEX(HIST_D!$BR$8:$BR$791,Control!$B$11)),"")</f>
        <v/>
      </c>
      <c r="O39" s="48">
        <f>IFERROR(IF(ABS(L39)&lt;1,"n/m",M39/L39),"n/m")</f>
        <v/>
      </c>
      <c r="P39" s="40">
        <f>IFERROR(SLOPE(HIST_D!$EE$8:INDEX(HIST_D!$EE$8:$EE$791,Control!$B$12),HIST_D!$BW$8:INDEX(HIST_D!$BW$8:$BW$791,Control!$B$12)),"")</f>
        <v/>
      </c>
      <c r="Q39" s="15">
        <f>IFERROR(P39*(INDEX(HIST_D!$C$8:$C$791,1)-INDEX(HIST_D!$C$8:$C$791,Control!$B$11))*100,"")</f>
        <v/>
      </c>
      <c r="R39" s="41">
        <f>IFERROR(N39-Q39,"")</f>
        <v/>
      </c>
    </row>
    <row r="40">
      <c r="A40" s="13" t="inlineStr">
        <is>
          <t>Malaysia</t>
        </is>
      </c>
      <c r="B40" s="38" t="inlineStr">
        <is>
          <t>EM Asia</t>
        </is>
      </c>
      <c r="C40" s="47">
        <f>INDEX(HIST_D!$BS$8:$BS$791,1)</f>
        <v/>
      </c>
      <c r="D40" s="38" t="inlineStr">
        <is>
          <t>yes</t>
        </is>
      </c>
      <c r="E40" s="34">
        <f>IFERROR((INDEX(HIST_D!$C$8:$C$791,1)-INDEX(HIST_D!$C$8:$C$791,Control!$B$10))*100+(INDEX(HIST_D!$BS$8:$BS$791,1)-INDEX(HIST_D!$BS$8:$BS$791,Control!$B$10)),"")</f>
        <v/>
      </c>
      <c r="F40" s="15">
        <f>IFERROR((INDEX(HIST_D!$C$8:$C$791,1)-INDEX(HIST_D!$C$8:$C$791,Control!$B$10))*100,"")</f>
        <v/>
      </c>
      <c r="G40" s="15">
        <f>IFERROR((INDEX(HIST_D!$BS$8:$BS$791,1)-INDEX(HIST_D!$BS$8:$BS$791,Control!$B$10)),"")</f>
        <v/>
      </c>
      <c r="H40" s="48">
        <f>IFERROR(IF(ABS(E40)&lt;1,"n/m",F40/E40),"n/m")</f>
        <v/>
      </c>
      <c r="I40" s="40">
        <f>IFERROR(SLOPE(HIST_D!$EF$8:INDEX(HIST_D!$EF$8:$EF$791,Control!$B$12),HIST_D!$BW$8:INDEX(HIST_D!$BW$8:$BW$791,Control!$B$12)),"")</f>
        <v/>
      </c>
      <c r="J40" s="15">
        <f>IFERROR(I40*(INDEX(HIST_D!$C$8:$C$791,1)-INDEX(HIST_D!$C$8:$C$791,Control!$B$10))*100,"")</f>
        <v/>
      </c>
      <c r="K40" s="41">
        <f>IFERROR(G40-J40,"")</f>
        <v/>
      </c>
      <c r="L40" s="34">
        <f>IFERROR((INDEX(HIST_D!$C$8:$C$791,1)-INDEX(HIST_D!$C$8:$C$791,Control!$B$11))*100+(INDEX(HIST_D!$BS$8:$BS$791,1)-INDEX(HIST_D!$BS$8:$BS$791,Control!$B$11)),"")</f>
        <v/>
      </c>
      <c r="M40" s="15">
        <f>IFERROR((INDEX(HIST_D!$C$8:$C$791,1)-INDEX(HIST_D!$C$8:$C$791,Control!$B$11))*100,"")</f>
        <v/>
      </c>
      <c r="N40" s="15">
        <f>IFERROR((INDEX(HIST_D!$BS$8:$BS$791,1)-INDEX(HIST_D!$BS$8:$BS$791,Control!$B$11)),"")</f>
        <v/>
      </c>
      <c r="O40" s="48">
        <f>IFERROR(IF(ABS(L40)&lt;1,"n/m",M40/L40),"n/m")</f>
        <v/>
      </c>
      <c r="P40" s="40">
        <f>IFERROR(SLOPE(HIST_D!$EF$8:INDEX(HIST_D!$EF$8:$EF$791,Control!$B$12),HIST_D!$BW$8:INDEX(HIST_D!$BW$8:$BW$791,Control!$B$12)),"")</f>
        <v/>
      </c>
      <c r="Q40" s="15">
        <f>IFERROR(P40*(INDEX(HIST_D!$C$8:$C$791,1)-INDEX(HIST_D!$C$8:$C$791,Control!$B$11))*100,"")</f>
        <v/>
      </c>
      <c r="R40" s="41">
        <f>IFERROR(N40-Q40,"")</f>
        <v/>
      </c>
    </row>
    <row r="41">
      <c r="A41" s="13" t="inlineStr">
        <is>
          <t>Philippines</t>
        </is>
      </c>
      <c r="B41" s="38" t="inlineStr">
        <is>
          <t>EM Asia</t>
        </is>
      </c>
      <c r="C41" s="47">
        <f>INDEX(HIST_D!$BT$8:$BT$791,1)</f>
        <v/>
      </c>
      <c r="D41" s="38" t="inlineStr">
        <is>
          <t>yes</t>
        </is>
      </c>
      <c r="E41" s="34">
        <f>IFERROR((INDEX(HIST_D!$C$8:$C$791,1)-INDEX(HIST_D!$C$8:$C$791,Control!$B$10))*100+(INDEX(HIST_D!$BT$8:$BT$791,1)-INDEX(HIST_D!$BT$8:$BT$791,Control!$B$10)),"")</f>
        <v/>
      </c>
      <c r="F41" s="15">
        <f>IFERROR((INDEX(HIST_D!$C$8:$C$791,1)-INDEX(HIST_D!$C$8:$C$791,Control!$B$10))*100,"")</f>
        <v/>
      </c>
      <c r="G41" s="15">
        <f>IFERROR((INDEX(HIST_D!$BT$8:$BT$791,1)-INDEX(HIST_D!$BT$8:$BT$791,Control!$B$10)),"")</f>
        <v/>
      </c>
      <c r="H41" s="48">
        <f>IFERROR(IF(ABS(E41)&lt;1,"n/m",F41/E41),"n/m")</f>
        <v/>
      </c>
      <c r="I41" s="40">
        <f>IFERROR(SLOPE(HIST_D!$EG$8:INDEX(HIST_D!$EG$8:$EG$791,Control!$B$12),HIST_D!$BW$8:INDEX(HIST_D!$BW$8:$BW$791,Control!$B$12)),"")</f>
        <v/>
      </c>
      <c r="J41" s="15">
        <f>IFERROR(I41*(INDEX(HIST_D!$C$8:$C$791,1)-INDEX(HIST_D!$C$8:$C$791,Control!$B$10))*100,"")</f>
        <v/>
      </c>
      <c r="K41" s="41">
        <f>IFERROR(G41-J41,"")</f>
        <v/>
      </c>
      <c r="L41" s="34">
        <f>IFERROR((INDEX(HIST_D!$C$8:$C$791,1)-INDEX(HIST_D!$C$8:$C$791,Control!$B$11))*100+(INDEX(HIST_D!$BT$8:$BT$791,1)-INDEX(HIST_D!$BT$8:$BT$791,Control!$B$11)),"")</f>
        <v/>
      </c>
      <c r="M41" s="15">
        <f>IFERROR((INDEX(HIST_D!$C$8:$C$791,1)-INDEX(HIST_D!$C$8:$C$791,Control!$B$11))*100,"")</f>
        <v/>
      </c>
      <c r="N41" s="15">
        <f>IFERROR((INDEX(HIST_D!$BT$8:$BT$791,1)-INDEX(HIST_D!$BT$8:$BT$791,Control!$B$11)),"")</f>
        <v/>
      </c>
      <c r="O41" s="48">
        <f>IFERROR(IF(ABS(L41)&lt;1,"n/m",M41/L41),"n/m")</f>
        <v/>
      </c>
      <c r="P41" s="40">
        <f>IFERROR(SLOPE(HIST_D!$EG$8:INDEX(HIST_D!$EG$8:$EG$791,Control!$B$12),HIST_D!$BW$8:INDEX(HIST_D!$BW$8:$BW$791,Control!$B$12)),"")</f>
        <v/>
      </c>
      <c r="Q41" s="15">
        <f>IFERROR(P41*(INDEX(HIST_D!$C$8:$C$791,1)-INDEX(HIST_D!$C$8:$C$791,Control!$B$11))*100,"")</f>
        <v/>
      </c>
      <c r="R41" s="41">
        <f>IFERROR(N41-Q41,"")</f>
        <v/>
      </c>
    </row>
    <row r="42">
      <c r="A42" s="18" t="inlineStr">
        <is>
          <t>EM Asia average</t>
        </is>
      </c>
      <c r="B42" s="38" t="inlineStr">
        <is>
          <t>n=6</t>
        </is>
      </c>
      <c r="C42" s="13" t="inlineStr"/>
      <c r="D42" s="13" t="inlineStr"/>
      <c r="E42" s="34">
        <f>IFERROR(AVERAGE(E36,E37,E38,E39,E40,E41),"")</f>
        <v/>
      </c>
      <c r="F42" s="34">
        <f>IFERROR(AVERAGE(F36,F37,F38,F39,F40,F41),"")</f>
        <v/>
      </c>
      <c r="G42" s="34">
        <f>IFERROR(AVERAGE(G36,G37,G38,G39,G40,G41),"")</f>
        <v/>
      </c>
      <c r="H42" s="49">
        <f>IFERROR(IF(ABS(E42)&lt;1,"n/m",F42/E42),"n/m")</f>
        <v/>
      </c>
      <c r="I42" s="43">
        <f>IFERROR(AVERAGE(I36,I37,I38,I39,I40,I41),"")</f>
        <v/>
      </c>
      <c r="J42" s="34">
        <f>IFERROR(AVERAGE(J36,J37,J38,J39,J40,J41),"")</f>
        <v/>
      </c>
      <c r="K42" s="34">
        <f>IFERROR(AVERAGE(K36,K37,K38,K39,K40,K41),"")</f>
        <v/>
      </c>
      <c r="L42" s="34">
        <f>IFERROR(AVERAGE(L36,L37,L38,L39,L40,L41),"")</f>
        <v/>
      </c>
      <c r="M42" s="34">
        <f>IFERROR(AVERAGE(M36,M37,M38,M39,M40,M41),"")</f>
        <v/>
      </c>
      <c r="N42" s="34">
        <f>IFERROR(AVERAGE(N36,N37,N38,N39,N40,N41),"")</f>
        <v/>
      </c>
      <c r="O42" s="49">
        <f>IFERROR(IF(ABS(L42)&lt;1,"n/m",M42/L42),"n/m")</f>
        <v/>
      </c>
      <c r="P42" s="43">
        <f>IFERROR(AVERAGE(P36,P37,P38,P39,P40,P41),"")</f>
        <v/>
      </c>
      <c r="Q42" s="34">
        <f>IFERROR(AVERAGE(Q36,Q37,Q38,Q39,Q40,Q41),"")</f>
        <v/>
      </c>
      <c r="R42" s="34">
        <f>IFERROR(AVERAGE(R36,R37,R38,R39,R40,R41),"")</f>
        <v/>
      </c>
    </row>
    <row r="43">
      <c r="A43" s="7">
        <f>IFERROR("EM Asia: the 5y USD yield proxy moved "&amp;TEXT($E$42,"+0;-0")&amp;"bp on the month — "&amp;TEXT($F$42,"+0;-0")&amp;"bp Treasuries, "&amp;TEXT($G$42,"+0;-0")&amp;"bp spread"&amp;IF(ISNUMBER($H$42),", so "&amp;TEXT($H$42,"0%")&amp;" of the move is the US","")&amp;". YTD "&amp;TEXT($L$42,"+0;-0")&amp;"bp: "&amp;TEXT($M$42,"+0;-0")&amp;"bp Treasuries, "&amp;TEXT($N$42,"+0;-0")&amp;"bp spread. "&amp;IF($G$42&lt;=0,"Spreads did not widen into the Treasury move — the loss here is duration, not credit.",IF($G$42&lt;$F$42*0.5,"Spreads widened, but by less than half the Treasury move — mostly a duration story.","Spreads widened by a comparable amount to Treasuries — this is being repriced for credit, not just rates.")),"")</f>
        <v/>
      </c>
    </row>
    <row r="45" ht="16" customHeight="1">
      <c r="A45" s="36" t="inlineStr">
        <is>
          <t>EM AVERAGE AND MEMO</t>
        </is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</row>
    <row r="46" ht="40" customHeight="1">
      <c r="A46" s="12" t="inlineStr">
        <is>
          <t>Country</t>
        </is>
      </c>
      <c r="B46" s="12" t="inlineStr">
        <is>
          <t>Region</t>
        </is>
      </c>
      <c r="C46" s="12" t="inlineStr">
        <is>
          <t>Level</t>
        </is>
      </c>
      <c r="D46" s="12" t="inlineStr">
        <is>
          <t>In avg</t>
        </is>
      </c>
      <c r="E46" s="12" t="inlineStr">
        <is>
          <t>1M: Total: d(UST 5Y + CDS) (bp)</t>
        </is>
      </c>
      <c r="F46" s="12" t="inlineStr">
        <is>
          <t>1M: US-driven: d UST 5Y (bp)</t>
        </is>
      </c>
      <c r="G46" s="12" t="inlineStr">
        <is>
          <t>1M: Intrinsic: d CDS 5Y (bp)</t>
        </is>
      </c>
      <c r="H46" s="12" t="inlineStr">
        <is>
          <t>1M: US share (UST / total)</t>
        </is>
      </c>
      <c r="I46" s="12" t="inlineStr">
        <is>
          <t>1M: Spread beta to UST 5Y (2y)</t>
        </is>
      </c>
      <c r="J46" s="12" t="inlineStr">
        <is>
          <t>1M: Predicted d spread (bp)</t>
        </is>
      </c>
      <c r="K46" s="12" t="inlineStr">
        <is>
          <t>1M: Spread surprise: actual less predicted (bp)</t>
        </is>
      </c>
      <c r="L46" s="12" t="inlineStr">
        <is>
          <t>YTD: Total: d(UST 5Y + CDS) (bp)</t>
        </is>
      </c>
      <c r="M46" s="12" t="inlineStr">
        <is>
          <t>YTD: US-driven: d UST 5Y (bp)</t>
        </is>
      </c>
      <c r="N46" s="12" t="inlineStr">
        <is>
          <t>YTD: Intrinsic: d CDS 5Y (bp)</t>
        </is>
      </c>
      <c r="O46" s="12" t="inlineStr">
        <is>
          <t>YTD: US share (UST / total)</t>
        </is>
      </c>
      <c r="P46" s="12" t="inlineStr">
        <is>
          <t>YTD: Spread beta to UST 5Y (2y)</t>
        </is>
      </c>
      <c r="Q46" s="12" t="inlineStr">
        <is>
          <t>YTD: Predicted d spread (bp)</t>
        </is>
      </c>
      <c r="R46" s="12" t="inlineStr">
        <is>
          <t>YTD: Spread surprise: actual less predicted (bp)</t>
        </is>
      </c>
    </row>
    <row r="47">
      <c r="A47" s="18" t="inlineStr">
        <is>
          <t>EM average (all flagged)</t>
        </is>
      </c>
      <c r="B47" s="38" t="inlineStr">
        <is>
          <t>n=21</t>
        </is>
      </c>
      <c r="C47" s="13" t="inlineStr"/>
      <c r="D47" s="13" t="inlineStr"/>
      <c r="E47" s="34">
        <f>IFERROR(AVERAGE(E6,E7,E8,E9,E10,E16,E17,E18,E19,E20,E26,E27,E28,E29,E30,E36,E37,E38,E39,E40,E41),"")</f>
        <v/>
      </c>
      <c r="F47" s="34">
        <f>IFERROR(AVERAGE(F6,F7,F8,F9,F10,F16,F17,F18,F19,F20,F26,F27,F28,F29,F30,F36,F37,F38,F39,F40,F41),"")</f>
        <v/>
      </c>
      <c r="G47" s="34">
        <f>IFERROR(AVERAGE(G6,G7,G8,G9,G10,G16,G17,G18,G19,G20,G26,G27,G28,G29,G30,G36,G37,G38,G39,G40,G41),"")</f>
        <v/>
      </c>
      <c r="H47" s="49">
        <f>IFERROR(IF(ABS(E47)&lt;1,"n/m",F47/E47),"n/m")</f>
        <v/>
      </c>
      <c r="I47" s="43">
        <f>IFERROR(AVERAGE(I6,I7,I8,I9,I10,I16,I17,I18,I19,I20,I26,I27,I28,I29,I30,I36,I37,I38,I39,I40,I41),"")</f>
        <v/>
      </c>
      <c r="J47" s="34">
        <f>IFERROR(AVERAGE(J6,J7,J8,J9,J10,J16,J17,J18,J19,J20,J26,J27,J28,J29,J30,J36,J37,J38,J39,J40,J41),"")</f>
        <v/>
      </c>
      <c r="K47" s="34">
        <f>IFERROR(AVERAGE(K6,K7,K8,K9,K10,K16,K17,K18,K19,K20,K26,K27,K28,K29,K30,K36,K37,K38,K39,K40,K41),"")</f>
        <v/>
      </c>
      <c r="L47" s="34">
        <f>IFERROR(AVERAGE(L6,L7,L8,L9,L10,L16,L17,L18,L19,L20,L26,L27,L28,L29,L30,L36,L37,L38,L39,L40,L41),"")</f>
        <v/>
      </c>
      <c r="M47" s="34">
        <f>IFERROR(AVERAGE(M6,M7,M8,M9,M10,M16,M17,M18,M19,M20,M26,M27,M28,M29,M30,M36,M37,M38,M39,M40,M41),"")</f>
        <v/>
      </c>
      <c r="N47" s="34">
        <f>IFERROR(AVERAGE(N6,N7,N8,N9,N10,N16,N17,N18,N19,N20,N26,N27,N28,N29,N30,N36,N37,N38,N39,N40,N41),"")</f>
        <v/>
      </c>
      <c r="O47" s="49">
        <f>IFERROR(IF(ABS(L47)&lt;1,"n/m",M47/L47),"n/m")</f>
        <v/>
      </c>
      <c r="P47" s="43">
        <f>IFERROR(AVERAGE(P6,P7,P8,P9,P10,P16,P17,P18,P19,P20,P26,P27,P28,P29,P30,P36,P37,P38,P39,P40,P41),"")</f>
        <v/>
      </c>
      <c r="Q47" s="34">
        <f>IFERROR(AVERAGE(Q6,Q7,Q8,Q9,Q10,Q16,Q17,Q18,Q19,Q20,Q26,Q27,Q28,Q29,Q30,Q36,Q37,Q38,Q39,Q40,Q41),"")</f>
        <v/>
      </c>
      <c r="R47" s="34">
        <f>IFERROR(AVERAGE(R6,R7,R8,R9,R10,R16,R17,R18,R19,R20,R26,R27,R28,R29,R30,R36,R37,R38,R39,R40,R41),"")</f>
        <v/>
      </c>
    </row>
    <row r="48">
      <c r="A48" s="13" t="inlineStr">
        <is>
          <t>South Africa</t>
        </is>
      </c>
      <c r="B48" s="38" t="inlineStr">
        <is>
          <t>(memo)</t>
        </is>
      </c>
      <c r="C48" s="47">
        <f>INDEX(HIST_D!$BU$8:$BU$791,1)</f>
        <v/>
      </c>
      <c r="D48" s="44" t="inlineStr">
        <is>
          <t>no</t>
        </is>
      </c>
      <c r="E48" s="34">
        <f>IFERROR((INDEX(HIST_D!$C$8:$C$791,1)-INDEX(HIST_D!$C$8:$C$791,Control!$B$10))*100+(INDEX(HIST_D!$BU$8:$BU$791,1)-INDEX(HIST_D!$BU$8:$BU$791,Control!$B$10)),"")</f>
        <v/>
      </c>
      <c r="F48" s="15">
        <f>IFERROR((INDEX(HIST_D!$C$8:$C$791,1)-INDEX(HIST_D!$C$8:$C$791,Control!$B$10))*100,"")</f>
        <v/>
      </c>
      <c r="G48" s="15">
        <f>IFERROR((INDEX(HIST_D!$BU$8:$BU$791,1)-INDEX(HIST_D!$BU$8:$BU$791,Control!$B$10)),"")</f>
        <v/>
      </c>
      <c r="H48" s="48">
        <f>IFERROR(IF(ABS(E48)&lt;1,"n/m",F48/E48),"n/m")</f>
        <v/>
      </c>
      <c r="I48" s="40">
        <f>IFERROR(SLOPE(HIST_D!$EH$8:INDEX(HIST_D!$EH$8:$EH$791,Control!$B$12),HIST_D!$BW$8:INDEX(HIST_D!$BW$8:$BW$791,Control!$B$12)),"")</f>
        <v/>
      </c>
      <c r="J48" s="15">
        <f>IFERROR(I48*(INDEX(HIST_D!$C$8:$C$791,1)-INDEX(HIST_D!$C$8:$C$791,Control!$B$10))*100,"")</f>
        <v/>
      </c>
      <c r="K48" s="41">
        <f>IFERROR(G48-J48,"")</f>
        <v/>
      </c>
      <c r="L48" s="34">
        <f>IFERROR((INDEX(HIST_D!$C$8:$C$791,1)-INDEX(HIST_D!$C$8:$C$791,Control!$B$11))*100+(INDEX(HIST_D!$BU$8:$BU$791,1)-INDEX(HIST_D!$BU$8:$BU$791,Control!$B$11)),"")</f>
        <v/>
      </c>
      <c r="M48" s="15">
        <f>IFERROR((INDEX(HIST_D!$C$8:$C$791,1)-INDEX(HIST_D!$C$8:$C$791,Control!$B$11))*100,"")</f>
        <v/>
      </c>
      <c r="N48" s="15">
        <f>IFERROR((INDEX(HIST_D!$BU$8:$BU$791,1)-INDEX(HIST_D!$BU$8:$BU$791,Control!$B$11)),"")</f>
        <v/>
      </c>
      <c r="O48" s="48">
        <f>IFERROR(IF(ABS(L48)&lt;1,"n/m",M48/L48),"n/m")</f>
        <v/>
      </c>
      <c r="P48" s="40">
        <f>IFERROR(SLOPE(HIST_D!$EH$8:INDEX(HIST_D!$EH$8:$EH$791,Control!$B$12),HIST_D!$BW$8:INDEX(HIST_D!$BW$8:$BW$791,Control!$B$12)),"")</f>
        <v/>
      </c>
      <c r="Q48" s="15">
        <f>IFERROR(P48*(INDEX(HIST_D!$C$8:$C$791,1)-INDEX(HIST_D!$C$8:$C$791,Control!$B$11))*100,"")</f>
        <v/>
      </c>
      <c r="R48" s="41">
        <f>IFERROR(N48-Q48,"")</f>
        <v/>
      </c>
      <c r="S48" s="7" t="inlineStr">
        <is>
          <t>not in any of the four regions you named; shown as a memo line, in no average</t>
        </is>
      </c>
    </row>
    <row r="49">
      <c r="A49" s="5">
        <f>IFERROR("EM: the 5y USD yield proxy moved "&amp;TEXT($E$47,"+0;-0")&amp;"bp on the month — "&amp;TEXT($F$47,"+0;-0")&amp;"bp Treasuries, "&amp;TEXT($G$47,"+0;-0")&amp;"bp spread"&amp;IF(ISNUMBER($H$47),", so "&amp;TEXT($H$47,"0%")&amp;" of the move is the US","")&amp;". YTD "&amp;TEXT($L$47,"+0;-0")&amp;"bp: "&amp;TEXT($M$47,"+0;-0")&amp;"bp Treasuries, "&amp;TEXT($N$47,"+0;-0")&amp;"bp spread. "&amp;IF($G$47&lt;=0,"Spreads did not widen into the Treasury move — the loss here is duration, not credit.",IF($G$47&lt;$F$47*0.5,"Spreads widened, but by less than half the Treasury move — mostly a duration story.","Spreads widened by a comparable amount to Treasuries — this is being repriced for credit, not just rates.")),"")</f>
        <v/>
      </c>
    </row>
  </sheetData>
  <conditionalFormatting sqref="G5:G51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K5:K51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5:H51">
    <cfRule type="colorScale" priority="3">
      <colorScale>
        <cfvo type="num" val="0"/>
        <cfvo type="num" val="1"/>
        <color rgb="00FFFFFF"/>
        <color rgb="009BC2E6"/>
      </colorScale>
    </cfRule>
  </conditionalFormatting>
  <conditionalFormatting sqref="N5:N51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R5:R51">
    <cfRule type="colorScale" priority="5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O5:O51">
    <cfRule type="colorScale" priority="6">
      <colorScale>
        <cfvo type="num" val="0"/>
        <cfvo type="num" val="1"/>
        <color rgb="00FFFFFF"/>
        <color rgb="009BC2E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7" customWidth="1" min="4" max="4"/>
    <col width="9" customWidth="1" min="5" max="5"/>
    <col width="60" customWidth="1" min="6" max="6"/>
  </cols>
  <sheetData>
    <row r="1">
      <c r="A1" s="1" t="inlineStr">
        <is>
          <t>TICKERS  —  single source of truth</t>
        </is>
      </c>
    </row>
    <row r="2">
      <c r="A2" s="2" t="inlineStr">
        <is>
          <t>Every pull reads column B here. CDS tickers follow '&lt;SOVR&gt; CDS USD SR 5Y D14 Corp' and are all Verify; confirm each in SECF.</t>
        </is>
      </c>
    </row>
    <row r="5" ht="40" customHeight="1">
      <c r="A5" s="12" t="inlineStr">
        <is>
          <t>Series</t>
        </is>
      </c>
      <c r="B5" s="12" t="inlineStr">
        <is>
          <t>Bloomberg ticker</t>
        </is>
      </c>
      <c r="C5" s="12" t="inlineStr">
        <is>
          <t>Field</t>
        </is>
      </c>
      <c r="D5" s="12" t="inlineStr">
        <is>
          <t>Unit</t>
        </is>
      </c>
      <c r="E5" s="12" t="inlineStr">
        <is>
          <t>Confidence</t>
        </is>
      </c>
      <c r="F5" s="12" t="inlineStr">
        <is>
          <t>Note</t>
        </is>
      </c>
    </row>
    <row r="6">
      <c r="A6" s="13" t="inlineStr">
        <is>
          <t>UST 2Y</t>
        </is>
      </c>
      <c r="B6" s="50" t="inlineStr">
        <is>
          <t>USGG2YR Index</t>
        </is>
      </c>
      <c r="C6" s="51" t="inlineStr">
        <is>
          <t>PX_LAST</t>
        </is>
      </c>
      <c r="D6" s="38" t="inlineStr">
        <is>
          <t>%</t>
        </is>
      </c>
      <c r="E6" s="52" t="inlineStr">
        <is>
          <t>High</t>
        </is>
      </c>
      <c r="F6" s="25" t="inlineStr"/>
    </row>
    <row r="7">
      <c r="A7" s="13" t="inlineStr">
        <is>
          <t>UST 5Y</t>
        </is>
      </c>
      <c r="B7" s="50" t="inlineStr">
        <is>
          <t>USGG5YR Index</t>
        </is>
      </c>
      <c r="C7" s="51" t="inlineStr">
        <is>
          <t>PX_LAST</t>
        </is>
      </c>
      <c r="D7" s="38" t="inlineStr">
        <is>
          <t>%</t>
        </is>
      </c>
      <c r="E7" s="52" t="inlineStr">
        <is>
          <t>High</t>
        </is>
      </c>
      <c r="F7" s="25" t="inlineStr">
        <is>
          <t>credit benchmark (5y CDS)</t>
        </is>
      </c>
    </row>
    <row r="8">
      <c r="A8" s="13" t="inlineStr">
        <is>
          <t>UST 10Y</t>
        </is>
      </c>
      <c r="B8" s="50" t="inlineStr">
        <is>
          <t>USGG10YR Index</t>
        </is>
      </c>
      <c r="C8" s="51" t="inlineStr">
        <is>
          <t>PX_LAST</t>
        </is>
      </c>
      <c r="D8" s="38" t="inlineStr">
        <is>
          <t>%</t>
        </is>
      </c>
      <c r="E8" s="52" t="inlineStr">
        <is>
          <t>High</t>
        </is>
      </c>
      <c r="F8" s="25" t="inlineStr">
        <is>
          <t>rates benchmark</t>
        </is>
      </c>
    </row>
    <row r="9">
      <c r="A9" s="13" t="inlineStr">
        <is>
          <t>UST 30Y</t>
        </is>
      </c>
      <c r="B9" s="50" t="inlineStr">
        <is>
          <t>USGG30YR Index</t>
        </is>
      </c>
      <c r="C9" s="51" t="inlineStr">
        <is>
          <t>PX_LAST</t>
        </is>
      </c>
      <c r="D9" s="38" t="inlineStr">
        <is>
          <t>%</t>
        </is>
      </c>
      <c r="E9" s="52" t="inlineStr">
        <is>
          <t>High</t>
        </is>
      </c>
      <c r="F9" s="25" t="inlineStr"/>
    </row>
    <row r="10">
      <c r="A10" s="13" t="inlineStr">
        <is>
          <t>UST 10Y real</t>
        </is>
      </c>
      <c r="B10" s="50" t="inlineStr">
        <is>
          <t>USGGT10Y Index</t>
        </is>
      </c>
      <c r="C10" s="51" t="inlineStr">
        <is>
          <t>PX_LAST</t>
        </is>
      </c>
      <c r="D10" s="38" t="inlineStr">
        <is>
          <t>%</t>
        </is>
      </c>
      <c r="E10" s="52" t="inlineStr">
        <is>
          <t>High</t>
        </is>
      </c>
      <c r="F10" s="25" t="inlineStr"/>
    </row>
    <row r="11">
      <c r="A11" s="13" t="inlineStr">
        <is>
          <t>Breakeven 10Y</t>
        </is>
      </c>
      <c r="B11" s="50" t="inlineStr">
        <is>
          <t>USGGBE10 Index</t>
        </is>
      </c>
      <c r="C11" s="51" t="inlineStr">
        <is>
          <t>PX_LAST</t>
        </is>
      </c>
      <c r="D11" s="38" t="inlineStr">
        <is>
          <t>%</t>
        </is>
      </c>
      <c r="E11" s="52" t="inlineStr">
        <is>
          <t>High</t>
        </is>
      </c>
      <c r="F11" s="25" t="inlineStr"/>
    </row>
    <row r="12">
      <c r="A12" s="13" t="inlineStr">
        <is>
          <t>ACM term premium 10Y</t>
        </is>
      </c>
      <c r="B12" s="50" t="inlineStr">
        <is>
          <t>ACMTP10 Index</t>
        </is>
      </c>
      <c r="C12" s="51" t="inlineStr">
        <is>
          <t>PX_LAST</t>
        </is>
      </c>
      <c r="D12" s="38" t="inlineStr">
        <is>
          <t>%</t>
        </is>
      </c>
      <c r="E12" s="44" t="inlineStr">
        <is>
          <t>Verify</t>
        </is>
      </c>
      <c r="F12" s="25" t="inlineStr">
        <is>
          <t>NY Fed; publication lag</t>
        </is>
      </c>
    </row>
    <row r="13">
      <c r="A13" s="13" t="inlineStr">
        <is>
          <t>DXY</t>
        </is>
      </c>
      <c r="B13" s="50" t="inlineStr">
        <is>
          <t>DXY Curncy</t>
        </is>
      </c>
      <c r="C13" s="51" t="inlineStr">
        <is>
          <t>PX_LAST</t>
        </is>
      </c>
      <c r="D13" s="38" t="inlineStr">
        <is>
          <t>pt</t>
        </is>
      </c>
      <c r="E13" s="52" t="inlineStr">
        <is>
          <t>High</t>
        </is>
      </c>
      <c r="F13" s="25" t="inlineStr">
        <is>
          <t>FX benchmark</t>
        </is>
      </c>
    </row>
    <row r="14">
      <c r="A14" s="13" t="inlineStr">
        <is>
          <t>EM USD Aggregate OAS</t>
        </is>
      </c>
      <c r="B14" s="50" t="inlineStr">
        <is>
          <t>EMUSOAS Index</t>
        </is>
      </c>
      <c r="C14" s="51" t="inlineStr">
        <is>
          <t>PX_LAST</t>
        </is>
      </c>
      <c r="D14" s="38" t="inlineStr">
        <is>
          <t>bp</t>
        </is>
      </c>
      <c r="E14" s="44" t="inlineStr">
        <is>
          <t>Verify</t>
        </is>
      </c>
      <c r="F14" s="25" t="inlineStr">
        <is>
          <t>Bbg; aggregate spread cross-check</t>
        </is>
      </c>
    </row>
    <row r="15">
      <c r="A15" s="13" t="inlineStr">
        <is>
          <t>EM USD Aggregate TR idx</t>
        </is>
      </c>
      <c r="B15" s="50" t="inlineStr">
        <is>
          <t>EMUSTRUU Index</t>
        </is>
      </c>
      <c r="C15" s="51" t="inlineStr">
        <is>
          <t>PX_LAST</t>
        </is>
      </c>
      <c r="D15" s="38" t="inlineStr">
        <is>
          <t>idx</t>
        </is>
      </c>
      <c r="E15" s="44" t="inlineStr">
        <is>
          <t>Verify</t>
        </is>
      </c>
      <c r="F15" s="25" t="inlineStr">
        <is>
          <t>realised index return</t>
        </is>
      </c>
    </row>
    <row r="16">
      <c r="A16" s="13" t="inlineStr">
        <is>
          <t>Brazil FX</t>
        </is>
      </c>
      <c r="B16" s="50" t="inlineStr">
        <is>
          <t>USDBRL Curncy</t>
        </is>
      </c>
      <c r="C16" s="51" t="inlineStr">
        <is>
          <t>PX_LAST</t>
        </is>
      </c>
      <c r="D16" s="38" t="inlineStr">
        <is>
          <t>fx</t>
        </is>
      </c>
      <c r="E16" s="52" t="inlineStr">
        <is>
          <t>High</t>
        </is>
      </c>
      <c r="F16" s="25" t="inlineStr">
        <is>
          <t>LatAm</t>
        </is>
      </c>
    </row>
    <row r="17">
      <c r="A17" s="13" t="inlineStr">
        <is>
          <t>Mexico FX</t>
        </is>
      </c>
      <c r="B17" s="50" t="inlineStr">
        <is>
          <t>USDMXN Curncy</t>
        </is>
      </c>
      <c r="C17" s="51" t="inlineStr">
        <is>
          <t>PX_LAST</t>
        </is>
      </c>
      <c r="D17" s="38" t="inlineStr">
        <is>
          <t>fx</t>
        </is>
      </c>
      <c r="E17" s="52" t="inlineStr">
        <is>
          <t>High</t>
        </is>
      </c>
      <c r="F17" s="25" t="inlineStr">
        <is>
          <t>LatAm</t>
        </is>
      </c>
    </row>
    <row r="18">
      <c r="A18" s="13" t="inlineStr">
        <is>
          <t>Chile FX</t>
        </is>
      </c>
      <c r="B18" s="50" t="inlineStr">
        <is>
          <t>USDCLP Curncy</t>
        </is>
      </c>
      <c r="C18" s="51" t="inlineStr">
        <is>
          <t>PX_LAST</t>
        </is>
      </c>
      <c r="D18" s="38" t="inlineStr">
        <is>
          <t>fx</t>
        </is>
      </c>
      <c r="E18" s="52" t="inlineStr">
        <is>
          <t>High</t>
        </is>
      </c>
      <c r="F18" s="25" t="inlineStr">
        <is>
          <t>LatAm</t>
        </is>
      </c>
    </row>
    <row r="19">
      <c r="A19" s="13" t="inlineStr">
        <is>
          <t>Colombia FX</t>
        </is>
      </c>
      <c r="B19" s="50" t="inlineStr">
        <is>
          <t>USDCOP Curncy</t>
        </is>
      </c>
      <c r="C19" s="51" t="inlineStr">
        <is>
          <t>PX_LAST</t>
        </is>
      </c>
      <c r="D19" s="38" t="inlineStr">
        <is>
          <t>fx</t>
        </is>
      </c>
      <c r="E19" s="52" t="inlineStr">
        <is>
          <t>High</t>
        </is>
      </c>
      <c r="F19" s="25" t="inlineStr">
        <is>
          <t>LatAm</t>
        </is>
      </c>
    </row>
    <row r="20">
      <c r="A20" s="13" t="inlineStr">
        <is>
          <t>Peru FX</t>
        </is>
      </c>
      <c r="B20" s="50" t="inlineStr">
        <is>
          <t>USDPEN Curncy</t>
        </is>
      </c>
      <c r="C20" s="51" t="inlineStr">
        <is>
          <t>PX_LAST</t>
        </is>
      </c>
      <c r="D20" s="38" t="inlineStr">
        <is>
          <t>fx</t>
        </is>
      </c>
      <c r="E20" s="52" t="inlineStr">
        <is>
          <t>High</t>
        </is>
      </c>
      <c r="F20" s="25" t="inlineStr">
        <is>
          <t>LatAm</t>
        </is>
      </c>
    </row>
    <row r="21">
      <c r="A21" s="13" t="inlineStr">
        <is>
          <t>Poland FX</t>
        </is>
      </c>
      <c r="B21" s="50" t="inlineStr">
        <is>
          <t>USDPLN Curncy</t>
        </is>
      </c>
      <c r="C21" s="51" t="inlineStr">
        <is>
          <t>PX_LAST</t>
        </is>
      </c>
      <c r="D21" s="38" t="inlineStr">
        <is>
          <t>fx</t>
        </is>
      </c>
      <c r="E21" s="52" t="inlineStr">
        <is>
          <t>High</t>
        </is>
      </c>
      <c r="F21" s="25" t="inlineStr">
        <is>
          <t>EM Europe</t>
        </is>
      </c>
    </row>
    <row r="22">
      <c r="A22" s="13" t="inlineStr">
        <is>
          <t>Hungary FX</t>
        </is>
      </c>
      <c r="B22" s="50" t="inlineStr">
        <is>
          <t>USDHUF Curncy</t>
        </is>
      </c>
      <c r="C22" s="51" t="inlineStr">
        <is>
          <t>PX_LAST</t>
        </is>
      </c>
      <c r="D22" s="38" t="inlineStr">
        <is>
          <t>fx</t>
        </is>
      </c>
      <c r="E22" s="52" t="inlineStr">
        <is>
          <t>High</t>
        </is>
      </c>
      <c r="F22" s="25" t="inlineStr">
        <is>
          <t>EM Europe</t>
        </is>
      </c>
    </row>
    <row r="23">
      <c r="A23" s="13" t="inlineStr">
        <is>
          <t>Czechia FX</t>
        </is>
      </c>
      <c r="B23" s="50" t="inlineStr">
        <is>
          <t>USDCZK Curncy</t>
        </is>
      </c>
      <c r="C23" s="51" t="inlineStr">
        <is>
          <t>PX_LAST</t>
        </is>
      </c>
      <c r="D23" s="38" t="inlineStr">
        <is>
          <t>fx</t>
        </is>
      </c>
      <c r="E23" s="52" t="inlineStr">
        <is>
          <t>High</t>
        </is>
      </c>
      <c r="F23" s="25" t="inlineStr">
        <is>
          <t>EM Europe</t>
        </is>
      </c>
    </row>
    <row r="24">
      <c r="A24" s="13" t="inlineStr">
        <is>
          <t>Romania FX</t>
        </is>
      </c>
      <c r="B24" s="50" t="inlineStr">
        <is>
          <t>USDRON Curncy</t>
        </is>
      </c>
      <c r="C24" s="51" t="inlineStr">
        <is>
          <t>PX_LAST</t>
        </is>
      </c>
      <c r="D24" s="38" t="inlineStr">
        <is>
          <t>fx</t>
        </is>
      </c>
      <c r="E24" s="52" t="inlineStr">
        <is>
          <t>High</t>
        </is>
      </c>
      <c r="F24" s="25" t="inlineStr">
        <is>
          <t>EM Europe</t>
        </is>
      </c>
    </row>
    <row r="25">
      <c r="A25" s="13" t="inlineStr">
        <is>
          <t>Turkiye FX</t>
        </is>
      </c>
      <c r="B25" s="50" t="inlineStr">
        <is>
          <t>USDTRY Curncy</t>
        </is>
      </c>
      <c r="C25" s="51" t="inlineStr">
        <is>
          <t>PX_LAST</t>
        </is>
      </c>
      <c r="D25" s="38" t="inlineStr">
        <is>
          <t>fx</t>
        </is>
      </c>
      <c r="E25" s="52" t="inlineStr">
        <is>
          <t>High</t>
        </is>
      </c>
      <c r="F25" s="25" t="inlineStr">
        <is>
          <t>EM Europe</t>
        </is>
      </c>
    </row>
    <row r="26">
      <c r="A26" s="13" t="inlineStr">
        <is>
          <t>Israel FX</t>
        </is>
      </c>
      <c r="B26" s="50" t="inlineStr">
        <is>
          <t>USDILS Curncy</t>
        </is>
      </c>
      <c r="C26" s="51" t="inlineStr">
        <is>
          <t>PX_LAST</t>
        </is>
      </c>
      <c r="D26" s="38" t="inlineStr">
        <is>
          <t>fx</t>
        </is>
      </c>
      <c r="E26" s="52" t="inlineStr">
        <is>
          <t>High</t>
        </is>
      </c>
      <c r="F26" s="25" t="inlineStr">
        <is>
          <t>Middle East</t>
        </is>
      </c>
    </row>
    <row r="27">
      <c r="A27" s="13" t="inlineStr">
        <is>
          <t>Egypt FX</t>
        </is>
      </c>
      <c r="B27" s="50" t="inlineStr">
        <is>
          <t>USDEGP Curncy</t>
        </is>
      </c>
      <c r="C27" s="51" t="inlineStr">
        <is>
          <t>PX_LAST</t>
        </is>
      </c>
      <c r="D27" s="38" t="inlineStr">
        <is>
          <t>fx</t>
        </is>
      </c>
      <c r="E27" s="52" t="inlineStr">
        <is>
          <t>High</t>
        </is>
      </c>
      <c r="F27" s="25" t="inlineStr">
        <is>
          <t>Middle East</t>
        </is>
      </c>
    </row>
    <row r="28">
      <c r="A28" s="13" t="inlineStr">
        <is>
          <t>China FX</t>
        </is>
      </c>
      <c r="B28" s="50" t="inlineStr">
        <is>
          <t>USDCNH Curncy</t>
        </is>
      </c>
      <c r="C28" s="51" t="inlineStr">
        <is>
          <t>PX_LAST</t>
        </is>
      </c>
      <c r="D28" s="38" t="inlineStr">
        <is>
          <t>fx</t>
        </is>
      </c>
      <c r="E28" s="52" t="inlineStr">
        <is>
          <t>High</t>
        </is>
      </c>
      <c r="F28" s="25" t="inlineStr">
        <is>
          <t>EM Asia</t>
        </is>
      </c>
    </row>
    <row r="29">
      <c r="A29" s="13" t="inlineStr">
        <is>
          <t>India FX</t>
        </is>
      </c>
      <c r="B29" s="50" t="inlineStr">
        <is>
          <t>USDINR Curncy</t>
        </is>
      </c>
      <c r="C29" s="51" t="inlineStr">
        <is>
          <t>PX_LAST</t>
        </is>
      </c>
      <c r="D29" s="38" t="inlineStr">
        <is>
          <t>fx</t>
        </is>
      </c>
      <c r="E29" s="52" t="inlineStr">
        <is>
          <t>High</t>
        </is>
      </c>
      <c r="F29" s="25" t="inlineStr">
        <is>
          <t>EM Asia</t>
        </is>
      </c>
    </row>
    <row r="30">
      <c r="A30" s="13" t="inlineStr">
        <is>
          <t>Indonesia FX</t>
        </is>
      </c>
      <c r="B30" s="50" t="inlineStr">
        <is>
          <t>USDIDR Curncy</t>
        </is>
      </c>
      <c r="C30" s="51" t="inlineStr">
        <is>
          <t>PX_LAST</t>
        </is>
      </c>
      <c r="D30" s="38" t="inlineStr">
        <is>
          <t>fx</t>
        </is>
      </c>
      <c r="E30" s="52" t="inlineStr">
        <is>
          <t>High</t>
        </is>
      </c>
      <c r="F30" s="25" t="inlineStr">
        <is>
          <t>EM Asia</t>
        </is>
      </c>
    </row>
    <row r="31">
      <c r="A31" s="13" t="inlineStr">
        <is>
          <t>Korea FX</t>
        </is>
      </c>
      <c r="B31" s="50" t="inlineStr">
        <is>
          <t>USDKRW Curncy</t>
        </is>
      </c>
      <c r="C31" s="51" t="inlineStr">
        <is>
          <t>PX_LAST</t>
        </is>
      </c>
      <c r="D31" s="38" t="inlineStr">
        <is>
          <t>fx</t>
        </is>
      </c>
      <c r="E31" s="52" t="inlineStr">
        <is>
          <t>High</t>
        </is>
      </c>
      <c r="F31" s="25" t="inlineStr">
        <is>
          <t>EM Asia</t>
        </is>
      </c>
    </row>
    <row r="32">
      <c r="A32" s="13" t="inlineStr">
        <is>
          <t>Thailand FX</t>
        </is>
      </c>
      <c r="B32" s="50" t="inlineStr">
        <is>
          <t>USDTHB Curncy</t>
        </is>
      </c>
      <c r="C32" s="51" t="inlineStr">
        <is>
          <t>PX_LAST</t>
        </is>
      </c>
      <c r="D32" s="38" t="inlineStr">
        <is>
          <t>fx</t>
        </is>
      </c>
      <c r="E32" s="52" t="inlineStr">
        <is>
          <t>High</t>
        </is>
      </c>
      <c r="F32" s="25" t="inlineStr">
        <is>
          <t>EM Asia</t>
        </is>
      </c>
    </row>
    <row r="33">
      <c r="A33" s="13" t="inlineStr">
        <is>
          <t>Malaysia FX</t>
        </is>
      </c>
      <c r="B33" s="50" t="inlineStr">
        <is>
          <t>USDMYR Curncy</t>
        </is>
      </c>
      <c r="C33" s="51" t="inlineStr">
        <is>
          <t>PX_LAST</t>
        </is>
      </c>
      <c r="D33" s="38" t="inlineStr">
        <is>
          <t>fx</t>
        </is>
      </c>
      <c r="E33" s="52" t="inlineStr">
        <is>
          <t>High</t>
        </is>
      </c>
      <c r="F33" s="25" t="inlineStr">
        <is>
          <t>EM Asia</t>
        </is>
      </c>
    </row>
    <row r="34">
      <c r="A34" s="13" t="inlineStr">
        <is>
          <t>Philippines FX</t>
        </is>
      </c>
      <c r="B34" s="50" t="inlineStr">
        <is>
          <t>USDPHP Curncy</t>
        </is>
      </c>
      <c r="C34" s="51" t="inlineStr">
        <is>
          <t>PX_LAST</t>
        </is>
      </c>
      <c r="D34" s="38" t="inlineStr">
        <is>
          <t>fx</t>
        </is>
      </c>
      <c r="E34" s="52" t="inlineStr">
        <is>
          <t>High</t>
        </is>
      </c>
      <c r="F34" s="25" t="inlineStr">
        <is>
          <t>EM Asia</t>
        </is>
      </c>
    </row>
    <row r="35">
      <c r="A35" s="13" t="inlineStr">
        <is>
          <t>South Africa FX</t>
        </is>
      </c>
      <c r="B35" s="50" t="inlineStr">
        <is>
          <t>USDZAR Curncy</t>
        </is>
      </c>
      <c r="C35" s="51" t="inlineStr">
        <is>
          <t>PX_LAST</t>
        </is>
      </c>
      <c r="D35" s="38" t="inlineStr">
        <is>
          <t>fx</t>
        </is>
      </c>
      <c r="E35" s="52" t="inlineStr">
        <is>
          <t>High</t>
        </is>
      </c>
      <c r="F35" s="25" t="inlineStr">
        <is>
          <t>(memo)</t>
        </is>
      </c>
    </row>
    <row r="36">
      <c r="A36" s="13" t="inlineStr">
        <is>
          <t>Brazil 10Y</t>
        </is>
      </c>
      <c r="B36" s="50" t="inlineStr">
        <is>
          <t>GTBRL10Y Govt</t>
        </is>
      </c>
      <c r="C36" s="51" t="inlineStr">
        <is>
          <t>PX_LAST</t>
        </is>
      </c>
      <c r="D36" s="38" t="inlineStr">
        <is>
          <t>%</t>
        </is>
      </c>
      <c r="E36" s="52" t="inlineStr">
        <is>
          <t>High</t>
        </is>
      </c>
      <c r="F36" s="25" t="inlineStr">
        <is>
          <t>LatAm</t>
        </is>
      </c>
    </row>
    <row r="37">
      <c r="A37" s="13" t="inlineStr">
        <is>
          <t>Mexico 10Y</t>
        </is>
      </c>
      <c r="B37" s="50" t="inlineStr">
        <is>
          <t>GTMXN10Y Govt</t>
        </is>
      </c>
      <c r="C37" s="51" t="inlineStr">
        <is>
          <t>PX_LAST</t>
        </is>
      </c>
      <c r="D37" s="38" t="inlineStr">
        <is>
          <t>%</t>
        </is>
      </c>
      <c r="E37" s="52" t="inlineStr">
        <is>
          <t>High</t>
        </is>
      </c>
      <c r="F37" s="25" t="inlineStr">
        <is>
          <t>LatAm</t>
        </is>
      </c>
    </row>
    <row r="38">
      <c r="A38" s="13" t="inlineStr">
        <is>
          <t>Chile 10Y</t>
        </is>
      </c>
      <c r="B38" s="50" t="inlineStr">
        <is>
          <t>GTCLP10Y Govt</t>
        </is>
      </c>
      <c r="C38" s="51" t="inlineStr">
        <is>
          <t>PX_LAST</t>
        </is>
      </c>
      <c r="D38" s="38" t="inlineStr">
        <is>
          <t>%</t>
        </is>
      </c>
      <c r="E38" s="52" t="inlineStr">
        <is>
          <t>High</t>
        </is>
      </c>
      <c r="F38" s="25" t="inlineStr">
        <is>
          <t>LatAm</t>
        </is>
      </c>
    </row>
    <row r="39">
      <c r="A39" s="13" t="inlineStr">
        <is>
          <t>Colombia 10Y</t>
        </is>
      </c>
      <c r="B39" s="50" t="inlineStr">
        <is>
          <t>GTCOP10Y Govt</t>
        </is>
      </c>
      <c r="C39" s="51" t="inlineStr">
        <is>
          <t>PX_LAST</t>
        </is>
      </c>
      <c r="D39" s="38" t="inlineStr">
        <is>
          <t>%</t>
        </is>
      </c>
      <c r="E39" s="52" t="inlineStr">
        <is>
          <t>High</t>
        </is>
      </c>
      <c r="F39" s="25" t="inlineStr">
        <is>
          <t>LatAm</t>
        </is>
      </c>
    </row>
    <row r="40">
      <c r="A40" s="13" t="inlineStr">
        <is>
          <t>Peru 10Y</t>
        </is>
      </c>
      <c r="B40" s="50" t="inlineStr">
        <is>
          <t>GTPEN10Y Govt</t>
        </is>
      </c>
      <c r="C40" s="51" t="inlineStr">
        <is>
          <t>PX_LAST</t>
        </is>
      </c>
      <c r="D40" s="38" t="inlineStr">
        <is>
          <t>%</t>
        </is>
      </c>
      <c r="E40" s="52" t="inlineStr">
        <is>
          <t>High</t>
        </is>
      </c>
      <c r="F40" s="25" t="inlineStr">
        <is>
          <t>LatAm</t>
        </is>
      </c>
    </row>
    <row r="41">
      <c r="A41" s="13" t="inlineStr">
        <is>
          <t>Poland 10Y</t>
        </is>
      </c>
      <c r="B41" s="50" t="inlineStr">
        <is>
          <t>GTPLN10Y Govt</t>
        </is>
      </c>
      <c r="C41" s="51" t="inlineStr">
        <is>
          <t>PX_LAST</t>
        </is>
      </c>
      <c r="D41" s="38" t="inlineStr">
        <is>
          <t>%</t>
        </is>
      </c>
      <c r="E41" s="52" t="inlineStr">
        <is>
          <t>High</t>
        </is>
      </c>
      <c r="F41" s="25" t="inlineStr">
        <is>
          <t>EM Europe</t>
        </is>
      </c>
    </row>
    <row r="42">
      <c r="A42" s="13" t="inlineStr">
        <is>
          <t>Hungary 10Y</t>
        </is>
      </c>
      <c r="B42" s="50" t="inlineStr">
        <is>
          <t>GTHUF10Y Govt</t>
        </is>
      </c>
      <c r="C42" s="51" t="inlineStr">
        <is>
          <t>PX_LAST</t>
        </is>
      </c>
      <c r="D42" s="38" t="inlineStr">
        <is>
          <t>%</t>
        </is>
      </c>
      <c r="E42" s="52" t="inlineStr">
        <is>
          <t>High</t>
        </is>
      </c>
      <c r="F42" s="25" t="inlineStr">
        <is>
          <t>EM Europe</t>
        </is>
      </c>
    </row>
    <row r="43">
      <c r="A43" s="13" t="inlineStr">
        <is>
          <t>Czechia 10Y</t>
        </is>
      </c>
      <c r="B43" s="50" t="inlineStr">
        <is>
          <t>GTCZK10Y Govt</t>
        </is>
      </c>
      <c r="C43" s="51" t="inlineStr">
        <is>
          <t>PX_LAST</t>
        </is>
      </c>
      <c r="D43" s="38" t="inlineStr">
        <is>
          <t>%</t>
        </is>
      </c>
      <c r="E43" s="52" t="inlineStr">
        <is>
          <t>High</t>
        </is>
      </c>
      <c r="F43" s="25" t="inlineStr">
        <is>
          <t>EM Europe</t>
        </is>
      </c>
    </row>
    <row r="44">
      <c r="A44" s="13" t="inlineStr">
        <is>
          <t>Romania 10Y</t>
        </is>
      </c>
      <c r="B44" s="50" t="inlineStr">
        <is>
          <t>GTRON10Y Govt</t>
        </is>
      </c>
      <c r="C44" s="51" t="inlineStr">
        <is>
          <t>PX_LAST</t>
        </is>
      </c>
      <c r="D44" s="38" t="inlineStr">
        <is>
          <t>%</t>
        </is>
      </c>
      <c r="E44" s="52" t="inlineStr">
        <is>
          <t>High</t>
        </is>
      </c>
      <c r="F44" s="25" t="inlineStr">
        <is>
          <t>EM Europe</t>
        </is>
      </c>
    </row>
    <row r="45">
      <c r="A45" s="13" t="inlineStr">
        <is>
          <t>Turkiye 10Y</t>
        </is>
      </c>
      <c r="B45" s="50" t="inlineStr">
        <is>
          <t>GTTRY10Y Govt</t>
        </is>
      </c>
      <c r="C45" s="51" t="inlineStr">
        <is>
          <t>PX_LAST</t>
        </is>
      </c>
      <c r="D45" s="38" t="inlineStr">
        <is>
          <t>%</t>
        </is>
      </c>
      <c r="E45" s="52" t="inlineStr">
        <is>
          <t>High</t>
        </is>
      </c>
      <c r="F45" s="25" t="inlineStr">
        <is>
          <t>EM Europe</t>
        </is>
      </c>
    </row>
    <row r="46">
      <c r="A46" s="13" t="inlineStr">
        <is>
          <t>Israel 10Y</t>
        </is>
      </c>
      <c r="B46" s="50" t="inlineStr">
        <is>
          <t>GTILS10Y Govt</t>
        </is>
      </c>
      <c r="C46" s="51" t="inlineStr">
        <is>
          <t>PX_LAST</t>
        </is>
      </c>
      <c r="D46" s="38" t="inlineStr">
        <is>
          <t>%</t>
        </is>
      </c>
      <c r="E46" s="52" t="inlineStr">
        <is>
          <t>High</t>
        </is>
      </c>
      <c r="F46" s="25" t="inlineStr">
        <is>
          <t>Middle East</t>
        </is>
      </c>
    </row>
    <row r="47">
      <c r="A47" s="13" t="inlineStr">
        <is>
          <t>Egypt 10Y</t>
        </is>
      </c>
      <c r="B47" s="50" t="inlineStr">
        <is>
          <t>GTEGP10Y Govt</t>
        </is>
      </c>
      <c r="C47" s="51" t="inlineStr">
        <is>
          <t>PX_LAST</t>
        </is>
      </c>
      <c r="D47" s="38" t="inlineStr">
        <is>
          <t>%</t>
        </is>
      </c>
      <c r="E47" s="44" t="inlineStr">
        <is>
          <t>Verify</t>
        </is>
      </c>
      <c r="F47" s="25" t="inlineStr">
        <is>
          <t>Middle East</t>
        </is>
      </c>
    </row>
    <row r="48">
      <c r="A48" s="13" t="inlineStr">
        <is>
          <t>China 10Y</t>
        </is>
      </c>
      <c r="B48" s="50" t="inlineStr">
        <is>
          <t>GTCNY10Y Govt</t>
        </is>
      </c>
      <c r="C48" s="51" t="inlineStr">
        <is>
          <t>PX_LAST</t>
        </is>
      </c>
      <c r="D48" s="38" t="inlineStr">
        <is>
          <t>%</t>
        </is>
      </c>
      <c r="E48" s="52" t="inlineStr">
        <is>
          <t>High</t>
        </is>
      </c>
      <c r="F48" s="25" t="inlineStr">
        <is>
          <t>EM Asia</t>
        </is>
      </c>
    </row>
    <row r="49">
      <c r="A49" s="13" t="inlineStr">
        <is>
          <t>India 10Y</t>
        </is>
      </c>
      <c r="B49" s="50" t="inlineStr">
        <is>
          <t>GTINR10Y Govt</t>
        </is>
      </c>
      <c r="C49" s="51" t="inlineStr">
        <is>
          <t>PX_LAST</t>
        </is>
      </c>
      <c r="D49" s="38" t="inlineStr">
        <is>
          <t>%</t>
        </is>
      </c>
      <c r="E49" s="52" t="inlineStr">
        <is>
          <t>High</t>
        </is>
      </c>
      <c r="F49" s="25" t="inlineStr">
        <is>
          <t>EM Asia</t>
        </is>
      </c>
    </row>
    <row r="50">
      <c r="A50" s="13" t="inlineStr">
        <is>
          <t>Indonesia 10Y</t>
        </is>
      </c>
      <c r="B50" s="50" t="inlineStr">
        <is>
          <t>GTIDR10Y Govt</t>
        </is>
      </c>
      <c r="C50" s="51" t="inlineStr">
        <is>
          <t>PX_LAST</t>
        </is>
      </c>
      <c r="D50" s="38" t="inlineStr">
        <is>
          <t>%</t>
        </is>
      </c>
      <c r="E50" s="52" t="inlineStr">
        <is>
          <t>High</t>
        </is>
      </c>
      <c r="F50" s="25" t="inlineStr">
        <is>
          <t>EM Asia</t>
        </is>
      </c>
    </row>
    <row r="51">
      <c r="A51" s="13" t="inlineStr">
        <is>
          <t>Korea 10Y</t>
        </is>
      </c>
      <c r="B51" s="50" t="inlineStr">
        <is>
          <t>GTKRW10Y Govt</t>
        </is>
      </c>
      <c r="C51" s="51" t="inlineStr">
        <is>
          <t>PX_LAST</t>
        </is>
      </c>
      <c r="D51" s="38" t="inlineStr">
        <is>
          <t>%</t>
        </is>
      </c>
      <c r="E51" s="52" t="inlineStr">
        <is>
          <t>High</t>
        </is>
      </c>
      <c r="F51" s="25" t="inlineStr">
        <is>
          <t>EM Asia</t>
        </is>
      </c>
    </row>
    <row r="52">
      <c r="A52" s="13" t="inlineStr">
        <is>
          <t>Thailand 10Y</t>
        </is>
      </c>
      <c r="B52" s="50" t="inlineStr">
        <is>
          <t>GTTHB10Y Govt</t>
        </is>
      </c>
      <c r="C52" s="51" t="inlineStr">
        <is>
          <t>PX_LAST</t>
        </is>
      </c>
      <c r="D52" s="38" t="inlineStr">
        <is>
          <t>%</t>
        </is>
      </c>
      <c r="E52" s="52" t="inlineStr">
        <is>
          <t>High</t>
        </is>
      </c>
      <c r="F52" s="25" t="inlineStr">
        <is>
          <t>EM Asia</t>
        </is>
      </c>
    </row>
    <row r="53">
      <c r="A53" s="13" t="inlineStr">
        <is>
          <t>Malaysia 10Y</t>
        </is>
      </c>
      <c r="B53" s="50" t="inlineStr">
        <is>
          <t>GTMYR10Y Govt</t>
        </is>
      </c>
      <c r="C53" s="51" t="inlineStr">
        <is>
          <t>PX_LAST</t>
        </is>
      </c>
      <c r="D53" s="38" t="inlineStr">
        <is>
          <t>%</t>
        </is>
      </c>
      <c r="E53" s="52" t="inlineStr">
        <is>
          <t>High</t>
        </is>
      </c>
      <c r="F53" s="25" t="inlineStr">
        <is>
          <t>EM Asia</t>
        </is>
      </c>
    </row>
    <row r="54">
      <c r="A54" s="13" t="inlineStr">
        <is>
          <t>Philippines 10Y</t>
        </is>
      </c>
      <c r="B54" s="50" t="inlineStr">
        <is>
          <t>GTPHP10Y Govt</t>
        </is>
      </c>
      <c r="C54" s="51" t="inlineStr">
        <is>
          <t>PX_LAST</t>
        </is>
      </c>
      <c r="D54" s="38" t="inlineStr">
        <is>
          <t>%</t>
        </is>
      </c>
      <c r="E54" s="52" t="inlineStr">
        <is>
          <t>High</t>
        </is>
      </c>
      <c r="F54" s="25" t="inlineStr">
        <is>
          <t>EM Asia</t>
        </is>
      </c>
    </row>
    <row r="55">
      <c r="A55" s="13" t="inlineStr">
        <is>
          <t>South Africa 10Y</t>
        </is>
      </c>
      <c r="B55" s="50" t="inlineStr">
        <is>
          <t>GTZAR10Y Govt</t>
        </is>
      </c>
      <c r="C55" s="51" t="inlineStr">
        <is>
          <t>PX_LAST</t>
        </is>
      </c>
      <c r="D55" s="38" t="inlineStr">
        <is>
          <t>%</t>
        </is>
      </c>
      <c r="E55" s="52" t="inlineStr">
        <is>
          <t>High</t>
        </is>
      </c>
      <c r="F55" s="25" t="inlineStr">
        <is>
          <t>(memo)</t>
        </is>
      </c>
    </row>
    <row r="56">
      <c r="A56" s="13" t="inlineStr">
        <is>
          <t>Brazil CDS 5Y</t>
        </is>
      </c>
      <c r="B56" s="50" t="inlineStr">
        <is>
          <t>BRAZIL CDS USD SR 5Y D14 Corp</t>
        </is>
      </c>
      <c r="C56" s="51" t="inlineStr">
        <is>
          <t>PX_LAST</t>
        </is>
      </c>
      <c r="D56" s="38" t="inlineStr">
        <is>
          <t>bp</t>
        </is>
      </c>
      <c r="E56" s="44" t="inlineStr">
        <is>
          <t>Verify</t>
        </is>
      </c>
      <c r="F56" s="25" t="inlineStr">
        <is>
          <t>LatAm</t>
        </is>
      </c>
    </row>
    <row r="57">
      <c r="A57" s="13" t="inlineStr">
        <is>
          <t>Mexico CDS 5Y</t>
        </is>
      </c>
      <c r="B57" s="50" t="inlineStr">
        <is>
          <t>MEX CDS USD SR 5Y D14 Corp</t>
        </is>
      </c>
      <c r="C57" s="51" t="inlineStr">
        <is>
          <t>PX_LAST</t>
        </is>
      </c>
      <c r="D57" s="38" t="inlineStr">
        <is>
          <t>bp</t>
        </is>
      </c>
      <c r="E57" s="44" t="inlineStr">
        <is>
          <t>Verify</t>
        </is>
      </c>
      <c r="F57" s="25" t="inlineStr">
        <is>
          <t>LatAm</t>
        </is>
      </c>
    </row>
    <row r="58">
      <c r="A58" s="13" t="inlineStr">
        <is>
          <t>Chile CDS 5Y</t>
        </is>
      </c>
      <c r="B58" s="50" t="inlineStr">
        <is>
          <t>CHILE CDS USD SR 5Y D14 Corp</t>
        </is>
      </c>
      <c r="C58" s="51" t="inlineStr">
        <is>
          <t>PX_LAST</t>
        </is>
      </c>
      <c r="D58" s="38" t="inlineStr">
        <is>
          <t>bp</t>
        </is>
      </c>
      <c r="E58" s="44" t="inlineStr">
        <is>
          <t>Verify</t>
        </is>
      </c>
      <c r="F58" s="25" t="inlineStr">
        <is>
          <t>LatAm</t>
        </is>
      </c>
    </row>
    <row r="59">
      <c r="A59" s="13" t="inlineStr">
        <is>
          <t>Colombia CDS 5Y</t>
        </is>
      </c>
      <c r="B59" s="50" t="inlineStr">
        <is>
          <t>COLOM CDS USD SR 5Y D14 Corp</t>
        </is>
      </c>
      <c r="C59" s="51" t="inlineStr">
        <is>
          <t>PX_LAST</t>
        </is>
      </c>
      <c r="D59" s="38" t="inlineStr">
        <is>
          <t>bp</t>
        </is>
      </c>
      <c r="E59" s="44" t="inlineStr">
        <is>
          <t>Verify</t>
        </is>
      </c>
      <c r="F59" s="25" t="inlineStr">
        <is>
          <t>LatAm</t>
        </is>
      </c>
    </row>
    <row r="60">
      <c r="A60" s="13" t="inlineStr">
        <is>
          <t>Peru CDS 5Y</t>
        </is>
      </c>
      <c r="B60" s="50" t="inlineStr">
        <is>
          <t>PERU CDS USD SR 5Y D14 Corp</t>
        </is>
      </c>
      <c r="C60" s="51" t="inlineStr">
        <is>
          <t>PX_LAST</t>
        </is>
      </c>
      <c r="D60" s="38" t="inlineStr">
        <is>
          <t>bp</t>
        </is>
      </c>
      <c r="E60" s="44" t="inlineStr">
        <is>
          <t>Verify</t>
        </is>
      </c>
      <c r="F60" s="25" t="inlineStr">
        <is>
          <t>LatAm</t>
        </is>
      </c>
    </row>
    <row r="61">
      <c r="A61" s="13" t="inlineStr">
        <is>
          <t>Poland CDS 5Y</t>
        </is>
      </c>
      <c r="B61" s="50" t="inlineStr">
        <is>
          <t>POLAND CDS USD SR 5Y D14 Corp</t>
        </is>
      </c>
      <c r="C61" s="51" t="inlineStr">
        <is>
          <t>PX_LAST</t>
        </is>
      </c>
      <c r="D61" s="38" t="inlineStr">
        <is>
          <t>bp</t>
        </is>
      </c>
      <c r="E61" s="44" t="inlineStr">
        <is>
          <t>Verify</t>
        </is>
      </c>
      <c r="F61" s="25" t="inlineStr">
        <is>
          <t>EM Europe</t>
        </is>
      </c>
    </row>
    <row r="62">
      <c r="A62" s="13" t="inlineStr">
        <is>
          <t>Hungary CDS 5Y</t>
        </is>
      </c>
      <c r="B62" s="50" t="inlineStr">
        <is>
          <t>REPHUN CDS USD SR 5Y D14 Corp</t>
        </is>
      </c>
      <c r="C62" s="51" t="inlineStr">
        <is>
          <t>PX_LAST</t>
        </is>
      </c>
      <c r="D62" s="38" t="inlineStr">
        <is>
          <t>bp</t>
        </is>
      </c>
      <c r="E62" s="44" t="inlineStr">
        <is>
          <t>Verify</t>
        </is>
      </c>
      <c r="F62" s="25" t="inlineStr">
        <is>
          <t>EM Europe</t>
        </is>
      </c>
    </row>
    <row r="63">
      <c r="A63" s="13" t="inlineStr">
        <is>
          <t>Czechia CDS 5Y</t>
        </is>
      </c>
      <c r="B63" s="50" t="inlineStr">
        <is>
          <t>CZECH CDS USD SR 5Y D14 Corp</t>
        </is>
      </c>
      <c r="C63" s="51" t="inlineStr">
        <is>
          <t>PX_LAST</t>
        </is>
      </c>
      <c r="D63" s="38" t="inlineStr">
        <is>
          <t>bp</t>
        </is>
      </c>
      <c r="E63" s="44" t="inlineStr">
        <is>
          <t>Verify</t>
        </is>
      </c>
      <c r="F63" s="25" t="inlineStr">
        <is>
          <t>EM Europe</t>
        </is>
      </c>
    </row>
    <row r="64">
      <c r="A64" s="13" t="inlineStr">
        <is>
          <t>Romania CDS 5Y</t>
        </is>
      </c>
      <c r="B64" s="50" t="inlineStr">
        <is>
          <t>ROMANI CDS USD SR 5Y D14 Corp</t>
        </is>
      </c>
      <c r="C64" s="51" t="inlineStr">
        <is>
          <t>PX_LAST</t>
        </is>
      </c>
      <c r="D64" s="38" t="inlineStr">
        <is>
          <t>bp</t>
        </is>
      </c>
      <c r="E64" s="44" t="inlineStr">
        <is>
          <t>Verify</t>
        </is>
      </c>
      <c r="F64" s="25" t="inlineStr">
        <is>
          <t>EM Europe</t>
        </is>
      </c>
    </row>
    <row r="65">
      <c r="A65" s="13" t="inlineStr">
        <is>
          <t>Turkiye CDS 5Y</t>
        </is>
      </c>
      <c r="B65" s="50" t="inlineStr">
        <is>
          <t>TURKEY CDS USD SR 5Y D14 Corp</t>
        </is>
      </c>
      <c r="C65" s="51" t="inlineStr">
        <is>
          <t>PX_LAST</t>
        </is>
      </c>
      <c r="D65" s="38" t="inlineStr">
        <is>
          <t>bp</t>
        </is>
      </c>
      <c r="E65" s="44" t="inlineStr">
        <is>
          <t>Verify</t>
        </is>
      </c>
      <c r="F65" s="25" t="inlineStr">
        <is>
          <t>EM Europe</t>
        </is>
      </c>
    </row>
    <row r="66">
      <c r="A66" s="13" t="inlineStr">
        <is>
          <t>Saudi Arabia CDS 5Y</t>
        </is>
      </c>
      <c r="B66" s="50" t="inlineStr">
        <is>
          <t>SAUDI CDS USD SR 5Y D14 Corp</t>
        </is>
      </c>
      <c r="C66" s="51" t="inlineStr">
        <is>
          <t>PX_LAST</t>
        </is>
      </c>
      <c r="D66" s="38" t="inlineStr">
        <is>
          <t>bp</t>
        </is>
      </c>
      <c r="E66" s="44" t="inlineStr">
        <is>
          <t>Verify</t>
        </is>
      </c>
      <c r="F66" s="25" t="inlineStr">
        <is>
          <t>Middle East</t>
        </is>
      </c>
    </row>
    <row r="67">
      <c r="A67" s="13" t="inlineStr">
        <is>
          <t>UAE (Abu Dhabi) CDS 5Y</t>
        </is>
      </c>
      <c r="B67" s="50" t="inlineStr">
        <is>
          <t>ADGB CDS USD SR 5Y D14 Corp</t>
        </is>
      </c>
      <c r="C67" s="51" t="inlineStr">
        <is>
          <t>PX_LAST</t>
        </is>
      </c>
      <c r="D67" s="38" t="inlineStr">
        <is>
          <t>bp</t>
        </is>
      </c>
      <c r="E67" s="44" t="inlineStr">
        <is>
          <t>Verify</t>
        </is>
      </c>
      <c r="F67" s="25" t="inlineStr">
        <is>
          <t>Middle East</t>
        </is>
      </c>
    </row>
    <row r="68">
      <c r="A68" s="13" t="inlineStr">
        <is>
          <t>Qatar CDS 5Y</t>
        </is>
      </c>
      <c r="B68" s="50" t="inlineStr">
        <is>
          <t>QATAR CDS USD SR 5Y D14 Corp</t>
        </is>
      </c>
      <c r="C68" s="51" t="inlineStr">
        <is>
          <t>PX_LAST</t>
        </is>
      </c>
      <c r="D68" s="38" t="inlineStr">
        <is>
          <t>bp</t>
        </is>
      </c>
      <c r="E68" s="44" t="inlineStr">
        <is>
          <t>Verify</t>
        </is>
      </c>
      <c r="F68" s="25" t="inlineStr">
        <is>
          <t>Middle East</t>
        </is>
      </c>
    </row>
    <row r="69">
      <c r="A69" s="13" t="inlineStr">
        <is>
          <t>Israel CDS 5Y</t>
        </is>
      </c>
      <c r="B69" s="50" t="inlineStr">
        <is>
          <t>ISRAEL CDS USD SR 5Y D14 Corp</t>
        </is>
      </c>
      <c r="C69" s="51" t="inlineStr">
        <is>
          <t>PX_LAST</t>
        </is>
      </c>
      <c r="D69" s="38" t="inlineStr">
        <is>
          <t>bp</t>
        </is>
      </c>
      <c r="E69" s="44" t="inlineStr">
        <is>
          <t>Verify</t>
        </is>
      </c>
      <c r="F69" s="25" t="inlineStr">
        <is>
          <t>Middle East</t>
        </is>
      </c>
    </row>
    <row r="70">
      <c r="A70" s="13" t="inlineStr">
        <is>
          <t>Egypt CDS 5Y</t>
        </is>
      </c>
      <c r="B70" s="50" t="inlineStr">
        <is>
          <t>EGYPT CDS USD SR 5Y D14 Corp</t>
        </is>
      </c>
      <c r="C70" s="51" t="inlineStr">
        <is>
          <t>PX_LAST</t>
        </is>
      </c>
      <c r="D70" s="38" t="inlineStr">
        <is>
          <t>bp</t>
        </is>
      </c>
      <c r="E70" s="44" t="inlineStr">
        <is>
          <t>Verify</t>
        </is>
      </c>
      <c r="F70" s="25" t="inlineStr">
        <is>
          <t>Middle East</t>
        </is>
      </c>
    </row>
    <row r="71">
      <c r="A71" s="13" t="inlineStr">
        <is>
          <t>China CDS 5Y</t>
        </is>
      </c>
      <c r="B71" s="50" t="inlineStr">
        <is>
          <t>CHINA CDS USD SR 5Y D14 Corp</t>
        </is>
      </c>
      <c r="C71" s="51" t="inlineStr">
        <is>
          <t>PX_LAST</t>
        </is>
      </c>
      <c r="D71" s="38" t="inlineStr">
        <is>
          <t>bp</t>
        </is>
      </c>
      <c r="E71" s="44" t="inlineStr">
        <is>
          <t>Verify</t>
        </is>
      </c>
      <c r="F71" s="25" t="inlineStr">
        <is>
          <t>EM Asia</t>
        </is>
      </c>
    </row>
    <row r="72">
      <c r="A72" s="13" t="inlineStr">
        <is>
          <t>Indonesia CDS 5Y</t>
        </is>
      </c>
      <c r="B72" s="50" t="inlineStr">
        <is>
          <t>INDON CDS USD SR 5Y D14 Corp</t>
        </is>
      </c>
      <c r="C72" s="51" t="inlineStr">
        <is>
          <t>PX_LAST</t>
        </is>
      </c>
      <c r="D72" s="38" t="inlineStr">
        <is>
          <t>bp</t>
        </is>
      </c>
      <c r="E72" s="44" t="inlineStr">
        <is>
          <t>Verify</t>
        </is>
      </c>
      <c r="F72" s="25" t="inlineStr">
        <is>
          <t>EM Asia</t>
        </is>
      </c>
    </row>
    <row r="73">
      <c r="A73" s="13" t="inlineStr">
        <is>
          <t>Korea CDS 5Y</t>
        </is>
      </c>
      <c r="B73" s="50" t="inlineStr">
        <is>
          <t>KOREA CDS USD SR 5Y D14 Corp</t>
        </is>
      </c>
      <c r="C73" s="51" t="inlineStr">
        <is>
          <t>PX_LAST</t>
        </is>
      </c>
      <c r="D73" s="38" t="inlineStr">
        <is>
          <t>bp</t>
        </is>
      </c>
      <c r="E73" s="44" t="inlineStr">
        <is>
          <t>Verify</t>
        </is>
      </c>
      <c r="F73" s="25" t="inlineStr">
        <is>
          <t>EM Asia</t>
        </is>
      </c>
    </row>
    <row r="74">
      <c r="A74" s="13" t="inlineStr">
        <is>
          <t>Thailand CDS 5Y</t>
        </is>
      </c>
      <c r="B74" s="50" t="inlineStr">
        <is>
          <t>THAI CDS USD SR 5Y D14 Corp</t>
        </is>
      </c>
      <c r="C74" s="51" t="inlineStr">
        <is>
          <t>PX_LAST</t>
        </is>
      </c>
      <c r="D74" s="38" t="inlineStr">
        <is>
          <t>bp</t>
        </is>
      </c>
      <c r="E74" s="44" t="inlineStr">
        <is>
          <t>Verify</t>
        </is>
      </c>
      <c r="F74" s="25" t="inlineStr">
        <is>
          <t>EM Asia</t>
        </is>
      </c>
    </row>
    <row r="75">
      <c r="A75" s="13" t="inlineStr">
        <is>
          <t>Malaysia CDS 5Y</t>
        </is>
      </c>
      <c r="B75" s="50" t="inlineStr">
        <is>
          <t>MALAYS CDS USD SR 5Y D14 Corp</t>
        </is>
      </c>
      <c r="C75" s="51" t="inlineStr">
        <is>
          <t>PX_LAST</t>
        </is>
      </c>
      <c r="D75" s="38" t="inlineStr">
        <is>
          <t>bp</t>
        </is>
      </c>
      <c r="E75" s="44" t="inlineStr">
        <is>
          <t>Verify</t>
        </is>
      </c>
      <c r="F75" s="25" t="inlineStr">
        <is>
          <t>EM Asia</t>
        </is>
      </c>
    </row>
    <row r="76">
      <c r="A76" s="13" t="inlineStr">
        <is>
          <t>Philippines CDS 5Y</t>
        </is>
      </c>
      <c r="B76" s="50" t="inlineStr">
        <is>
          <t>PHILIP CDS USD SR 5Y D14 Corp</t>
        </is>
      </c>
      <c r="C76" s="51" t="inlineStr">
        <is>
          <t>PX_LAST</t>
        </is>
      </c>
      <c r="D76" s="38" t="inlineStr">
        <is>
          <t>bp</t>
        </is>
      </c>
      <c r="E76" s="44" t="inlineStr">
        <is>
          <t>Verify</t>
        </is>
      </c>
      <c r="F76" s="25" t="inlineStr">
        <is>
          <t>EM Asia</t>
        </is>
      </c>
    </row>
    <row r="77">
      <c r="A77" s="13" t="inlineStr">
        <is>
          <t>South Africa CDS 5Y</t>
        </is>
      </c>
      <c r="B77" s="50" t="inlineStr">
        <is>
          <t>SOAF CDS USD SR 5Y D14 Corp</t>
        </is>
      </c>
      <c r="C77" s="51" t="inlineStr">
        <is>
          <t>PX_LAST</t>
        </is>
      </c>
      <c r="D77" s="38" t="inlineStr">
        <is>
          <t>bp</t>
        </is>
      </c>
      <c r="E77" s="44" t="inlineStr">
        <is>
          <t>Verify</t>
        </is>
      </c>
      <c r="F77" s="25" t="inlineStr">
        <is>
          <t>(memo)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H79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</cols>
  <sheetData>
    <row r="1">
      <c r="A1" s="1" t="inlineStr">
        <is>
          <t>DAILY HISTORY  —  3y weekday block, newest first</t>
        </is>
      </c>
    </row>
    <row r="2">
      <c r="A2" s="2" t="inlineStr">
        <is>
          <t>One BDH per series, row 8 = most recent. Column A/B come from one BDH with Dts=S; every other pulled column uses Dts=H.</t>
        </is>
      </c>
    </row>
    <row r="4">
      <c r="A4" s="7" t="inlineStr">
        <is>
          <t>Pulled from Bloomberg</t>
        </is>
      </c>
    </row>
    <row r="5">
      <c r="A5" s="53" t="inlineStr">
        <is>
          <t>Date</t>
        </is>
      </c>
      <c r="B5" s="53" t="inlineStr">
        <is>
          <t>UST 2Y</t>
        </is>
      </c>
      <c r="C5" s="53" t="inlineStr">
        <is>
          <t>UST 5Y</t>
        </is>
      </c>
      <c r="D5" s="53" t="inlineStr">
        <is>
          <t>UST 10Y</t>
        </is>
      </c>
      <c r="E5" s="53" t="inlineStr">
        <is>
          <t>UST 30Y</t>
        </is>
      </c>
      <c r="F5" s="53" t="inlineStr">
        <is>
          <t>UST 10Y real</t>
        </is>
      </c>
      <c r="G5" s="53" t="inlineStr">
        <is>
          <t>Breakeven 10Y</t>
        </is>
      </c>
      <c r="H5" s="53" t="inlineStr">
        <is>
          <t>ACM term premium 10Y</t>
        </is>
      </c>
      <c r="I5" s="53" t="inlineStr">
        <is>
          <t>DXY</t>
        </is>
      </c>
      <c r="J5" s="53" t="inlineStr">
        <is>
          <t>EM USD Aggregate OAS</t>
        </is>
      </c>
      <c r="K5" s="53" t="inlineStr">
        <is>
          <t>EM USD Aggregate TR idx</t>
        </is>
      </c>
      <c r="L5" s="53" t="inlineStr">
        <is>
          <t>Brazil FX</t>
        </is>
      </c>
      <c r="M5" s="53" t="inlineStr">
        <is>
          <t>Mexico FX</t>
        </is>
      </c>
      <c r="N5" s="53" t="inlineStr">
        <is>
          <t>Chile FX</t>
        </is>
      </c>
      <c r="O5" s="53" t="inlineStr">
        <is>
          <t>Colombia FX</t>
        </is>
      </c>
      <c r="P5" s="53" t="inlineStr">
        <is>
          <t>Peru FX</t>
        </is>
      </c>
      <c r="Q5" s="53" t="inlineStr">
        <is>
          <t>Poland FX</t>
        </is>
      </c>
      <c r="R5" s="53" t="inlineStr">
        <is>
          <t>Hungary FX</t>
        </is>
      </c>
      <c r="S5" s="53" t="inlineStr">
        <is>
          <t>Czechia FX</t>
        </is>
      </c>
      <c r="T5" s="53" t="inlineStr">
        <is>
          <t>Romania FX</t>
        </is>
      </c>
      <c r="U5" s="53" t="inlineStr">
        <is>
          <t>Turkiye FX</t>
        </is>
      </c>
      <c r="V5" s="53" t="inlineStr">
        <is>
          <t>Israel FX</t>
        </is>
      </c>
      <c r="W5" s="53" t="inlineStr">
        <is>
          <t>Egypt FX</t>
        </is>
      </c>
      <c r="X5" s="53" t="inlineStr">
        <is>
          <t>China FX</t>
        </is>
      </c>
      <c r="Y5" s="53" t="inlineStr">
        <is>
          <t>India FX</t>
        </is>
      </c>
      <c r="Z5" s="53" t="inlineStr">
        <is>
          <t>Indonesia FX</t>
        </is>
      </c>
      <c r="AA5" s="53" t="inlineStr">
        <is>
          <t>Korea FX</t>
        </is>
      </c>
      <c r="AB5" s="53" t="inlineStr">
        <is>
          <t>Thailand FX</t>
        </is>
      </c>
      <c r="AC5" s="53" t="inlineStr">
        <is>
          <t>Malaysia FX</t>
        </is>
      </c>
      <c r="AD5" s="53" t="inlineStr">
        <is>
          <t>Philippines FX</t>
        </is>
      </c>
      <c r="AE5" s="53" t="inlineStr">
        <is>
          <t>South Africa FX</t>
        </is>
      </c>
      <c r="AF5" s="53" t="inlineStr">
        <is>
          <t>Brazil 10Y</t>
        </is>
      </c>
      <c r="AG5" s="53" t="inlineStr">
        <is>
          <t>Mexico 10Y</t>
        </is>
      </c>
      <c r="AH5" s="53" t="inlineStr">
        <is>
          <t>Chile 10Y</t>
        </is>
      </c>
      <c r="AI5" s="53" t="inlineStr">
        <is>
          <t>Colombia 10Y</t>
        </is>
      </c>
      <c r="AJ5" s="53" t="inlineStr">
        <is>
          <t>Peru 10Y</t>
        </is>
      </c>
      <c r="AK5" s="53" t="inlineStr">
        <is>
          <t>Poland 10Y</t>
        </is>
      </c>
      <c r="AL5" s="53" t="inlineStr">
        <is>
          <t>Hungary 10Y</t>
        </is>
      </c>
      <c r="AM5" s="53" t="inlineStr">
        <is>
          <t>Czechia 10Y</t>
        </is>
      </c>
      <c r="AN5" s="53" t="inlineStr">
        <is>
          <t>Romania 10Y</t>
        </is>
      </c>
      <c r="AO5" s="53" t="inlineStr">
        <is>
          <t>Turkiye 10Y</t>
        </is>
      </c>
      <c r="AP5" s="53" t="inlineStr">
        <is>
          <t>Israel 10Y</t>
        </is>
      </c>
      <c r="AQ5" s="53" t="inlineStr">
        <is>
          <t>Egypt 10Y</t>
        </is>
      </c>
      <c r="AR5" s="53" t="inlineStr">
        <is>
          <t>China 10Y</t>
        </is>
      </c>
      <c r="AS5" s="53" t="inlineStr">
        <is>
          <t>India 10Y</t>
        </is>
      </c>
      <c r="AT5" s="53" t="inlineStr">
        <is>
          <t>Indonesia 10Y</t>
        </is>
      </c>
      <c r="AU5" s="53" t="inlineStr">
        <is>
          <t>Korea 10Y</t>
        </is>
      </c>
      <c r="AV5" s="53" t="inlineStr">
        <is>
          <t>Thailand 10Y</t>
        </is>
      </c>
      <c r="AW5" s="53" t="inlineStr">
        <is>
          <t>Malaysia 10Y</t>
        </is>
      </c>
      <c r="AX5" s="53" t="inlineStr">
        <is>
          <t>Philippines 10Y</t>
        </is>
      </c>
      <c r="AY5" s="53" t="inlineStr">
        <is>
          <t>South Africa 10Y</t>
        </is>
      </c>
      <c r="AZ5" s="53" t="inlineStr">
        <is>
          <t>Brazil CDS 5Y</t>
        </is>
      </c>
      <c r="BA5" s="53" t="inlineStr">
        <is>
          <t>Mexico CDS 5Y</t>
        </is>
      </c>
      <c r="BB5" s="53" t="inlineStr">
        <is>
          <t>Chile CDS 5Y</t>
        </is>
      </c>
      <c r="BC5" s="53" t="inlineStr">
        <is>
          <t>Colombia CDS 5Y</t>
        </is>
      </c>
      <c r="BD5" s="53" t="inlineStr">
        <is>
          <t>Peru CDS 5Y</t>
        </is>
      </c>
      <c r="BE5" s="53" t="inlineStr">
        <is>
          <t>Poland CDS 5Y</t>
        </is>
      </c>
      <c r="BF5" s="53" t="inlineStr">
        <is>
          <t>Hungary CDS 5Y</t>
        </is>
      </c>
      <c r="BG5" s="53" t="inlineStr">
        <is>
          <t>Czechia CDS 5Y</t>
        </is>
      </c>
      <c r="BH5" s="53" t="inlineStr">
        <is>
          <t>Romania CDS 5Y</t>
        </is>
      </c>
      <c r="BI5" s="53" t="inlineStr">
        <is>
          <t>Turkiye CDS 5Y</t>
        </is>
      </c>
      <c r="BJ5" s="53" t="inlineStr">
        <is>
          <t>Saudi Arabia CDS 5Y</t>
        </is>
      </c>
      <c r="BK5" s="53" t="inlineStr">
        <is>
          <t>UAE (Abu Dhabi) CDS 5Y</t>
        </is>
      </c>
      <c r="BL5" s="53" t="inlineStr">
        <is>
          <t>Qatar CDS 5Y</t>
        </is>
      </c>
      <c r="BM5" s="53" t="inlineStr">
        <is>
          <t>Israel CDS 5Y</t>
        </is>
      </c>
      <c r="BN5" s="53" t="inlineStr">
        <is>
          <t>Egypt CDS 5Y</t>
        </is>
      </c>
      <c r="BO5" s="53" t="inlineStr">
        <is>
          <t>China CDS 5Y</t>
        </is>
      </c>
      <c r="BP5" s="53" t="inlineStr">
        <is>
          <t>Indonesia CDS 5Y</t>
        </is>
      </c>
      <c r="BQ5" s="53" t="inlineStr">
        <is>
          <t>Korea CDS 5Y</t>
        </is>
      </c>
      <c r="BR5" s="53" t="inlineStr">
        <is>
          <t>Thailand CDS 5Y</t>
        </is>
      </c>
      <c r="BS5" s="53" t="inlineStr">
        <is>
          <t>Malaysia CDS 5Y</t>
        </is>
      </c>
      <c r="BT5" s="53" t="inlineStr">
        <is>
          <t>Philippines CDS 5Y</t>
        </is>
      </c>
      <c r="BU5" s="53" t="inlineStr">
        <is>
          <t>South Africa CDS 5Y</t>
        </is>
      </c>
      <c r="BV5" s="53" t="inlineStr">
        <is>
          <t>d UST 10Y (1d)</t>
        </is>
      </c>
      <c r="BW5" s="53" t="inlineStr">
        <is>
          <t>d UST 5Y (1d)</t>
        </is>
      </c>
      <c r="BX5" s="53" t="inlineStr">
        <is>
          <t>DXY return (1d)</t>
        </is>
      </c>
      <c r="BY5" s="53" t="inlineStr">
        <is>
          <t>d Brazil 10Y (1d)</t>
        </is>
      </c>
      <c r="BZ5" s="53" t="inlineStr">
        <is>
          <t>d Mexico 10Y (1d)</t>
        </is>
      </c>
      <c r="CA5" s="53" t="inlineStr">
        <is>
          <t>d Chile 10Y (1d)</t>
        </is>
      </c>
      <c r="CB5" s="53" t="inlineStr">
        <is>
          <t>d Colombia 10Y (1d)</t>
        </is>
      </c>
      <c r="CC5" s="53" t="inlineStr">
        <is>
          <t>d Peru 10Y (1d)</t>
        </is>
      </c>
      <c r="CD5" s="53" t="inlineStr">
        <is>
          <t>d Poland 10Y (1d)</t>
        </is>
      </c>
      <c r="CE5" s="53" t="inlineStr">
        <is>
          <t>d Hungary 10Y (1d)</t>
        </is>
      </c>
      <c r="CF5" s="53" t="inlineStr">
        <is>
          <t>d Czechia 10Y (1d)</t>
        </is>
      </c>
      <c r="CG5" s="53" t="inlineStr">
        <is>
          <t>d Romania 10Y (1d)</t>
        </is>
      </c>
      <c r="CH5" s="53" t="inlineStr">
        <is>
          <t>d Turkiye 10Y (1d)</t>
        </is>
      </c>
      <c r="CI5" s="53" t="inlineStr">
        <is>
          <t>d Israel 10Y (1d)</t>
        </is>
      </c>
      <c r="CJ5" s="53" t="inlineStr">
        <is>
          <t>d Egypt 10Y (1d)</t>
        </is>
      </c>
      <c r="CK5" s="53" t="inlineStr">
        <is>
          <t>d China 10Y (1d)</t>
        </is>
      </c>
      <c r="CL5" s="53" t="inlineStr">
        <is>
          <t>d India 10Y (1d)</t>
        </is>
      </c>
      <c r="CM5" s="53" t="inlineStr">
        <is>
          <t>d Indonesia 10Y (1d)</t>
        </is>
      </c>
      <c r="CN5" s="53" t="inlineStr">
        <is>
          <t>d Korea 10Y (1d)</t>
        </is>
      </c>
      <c r="CO5" s="53" t="inlineStr">
        <is>
          <t>d Thailand 10Y (1d)</t>
        </is>
      </c>
      <c r="CP5" s="53" t="inlineStr">
        <is>
          <t>d Malaysia 10Y (1d)</t>
        </is>
      </c>
      <c r="CQ5" s="53" t="inlineStr">
        <is>
          <t>d Philippines 10Y (1d)</t>
        </is>
      </c>
      <c r="CR5" s="53" t="inlineStr">
        <is>
          <t>d South Africa 10Y (1d)</t>
        </is>
      </c>
      <c r="CS5" s="53" t="inlineStr">
        <is>
          <t>Brazil ccy return (1d)</t>
        </is>
      </c>
      <c r="CT5" s="53" t="inlineStr">
        <is>
          <t>Mexico ccy return (1d)</t>
        </is>
      </c>
      <c r="CU5" s="53" t="inlineStr">
        <is>
          <t>Chile ccy return (1d)</t>
        </is>
      </c>
      <c r="CV5" s="53" t="inlineStr">
        <is>
          <t>Colombia ccy return (1d)</t>
        </is>
      </c>
      <c r="CW5" s="53" t="inlineStr">
        <is>
          <t>Peru ccy return (1d)</t>
        </is>
      </c>
      <c r="CX5" s="53" t="inlineStr">
        <is>
          <t>Poland ccy return (1d)</t>
        </is>
      </c>
      <c r="CY5" s="53" t="inlineStr">
        <is>
          <t>Hungary ccy return (1d)</t>
        </is>
      </c>
      <c r="CZ5" s="53" t="inlineStr">
        <is>
          <t>Czechia ccy return (1d)</t>
        </is>
      </c>
      <c r="DA5" s="53" t="inlineStr">
        <is>
          <t>Romania ccy return (1d)</t>
        </is>
      </c>
      <c r="DB5" s="53" t="inlineStr">
        <is>
          <t>Turkiye ccy return (1d)</t>
        </is>
      </c>
      <c r="DC5" s="53" t="inlineStr">
        <is>
          <t>Israel ccy return (1d)</t>
        </is>
      </c>
      <c r="DD5" s="53" t="inlineStr">
        <is>
          <t>Egypt ccy return (1d)</t>
        </is>
      </c>
      <c r="DE5" s="53" t="inlineStr">
        <is>
          <t>China ccy return (1d)</t>
        </is>
      </c>
      <c r="DF5" s="53" t="inlineStr">
        <is>
          <t>India ccy return (1d)</t>
        </is>
      </c>
      <c r="DG5" s="53" t="inlineStr">
        <is>
          <t>Indonesia ccy return (1d)</t>
        </is>
      </c>
      <c r="DH5" s="53" t="inlineStr">
        <is>
          <t>Korea ccy return (1d)</t>
        </is>
      </c>
      <c r="DI5" s="53" t="inlineStr">
        <is>
          <t>Thailand ccy return (1d)</t>
        </is>
      </c>
      <c r="DJ5" s="53" t="inlineStr">
        <is>
          <t>Malaysia ccy return (1d)</t>
        </is>
      </c>
      <c r="DK5" s="53" t="inlineStr">
        <is>
          <t>Philippines ccy return (1d)</t>
        </is>
      </c>
      <c r="DL5" s="53" t="inlineStr">
        <is>
          <t>South Africa ccy return (1d)</t>
        </is>
      </c>
      <c r="DM5" s="53" t="inlineStr">
        <is>
          <t>d Brazil CDS (1d)</t>
        </is>
      </c>
      <c r="DN5" s="53" t="inlineStr">
        <is>
          <t>d Mexico CDS (1d)</t>
        </is>
      </c>
      <c r="DO5" s="53" t="inlineStr">
        <is>
          <t>d Chile CDS (1d)</t>
        </is>
      </c>
      <c r="DP5" s="53" t="inlineStr">
        <is>
          <t>d Colombia CDS (1d)</t>
        </is>
      </c>
      <c r="DQ5" s="53" t="inlineStr">
        <is>
          <t>d Peru CDS (1d)</t>
        </is>
      </c>
      <c r="DR5" s="53" t="inlineStr">
        <is>
          <t>d Poland CDS (1d)</t>
        </is>
      </c>
      <c r="DS5" s="53" t="inlineStr">
        <is>
          <t>d Hungary CDS (1d)</t>
        </is>
      </c>
      <c r="DT5" s="53" t="inlineStr">
        <is>
          <t>d Czechia CDS (1d)</t>
        </is>
      </c>
      <c r="DU5" s="53" t="inlineStr">
        <is>
          <t>d Romania CDS (1d)</t>
        </is>
      </c>
      <c r="DV5" s="53" t="inlineStr">
        <is>
          <t>d Turkiye CDS (1d)</t>
        </is>
      </c>
      <c r="DW5" s="53" t="inlineStr">
        <is>
          <t>d Saudi Arabia CDS (1d)</t>
        </is>
      </c>
      <c r="DX5" s="53" t="inlineStr">
        <is>
          <t>d UAE (Abu Dhabi) CDS (1d)</t>
        </is>
      </c>
      <c r="DY5" s="53" t="inlineStr">
        <is>
          <t>d Qatar CDS (1d)</t>
        </is>
      </c>
      <c r="DZ5" s="53" t="inlineStr">
        <is>
          <t>d Israel CDS (1d)</t>
        </is>
      </c>
      <c r="EA5" s="53" t="inlineStr">
        <is>
          <t>d Egypt CDS (1d)</t>
        </is>
      </c>
      <c r="EB5" s="53" t="inlineStr">
        <is>
          <t>d China CDS (1d)</t>
        </is>
      </c>
      <c r="EC5" s="53" t="inlineStr">
        <is>
          <t>d Indonesia CDS (1d)</t>
        </is>
      </c>
      <c r="ED5" s="53" t="inlineStr">
        <is>
          <t>d Korea CDS (1d)</t>
        </is>
      </c>
      <c r="EE5" s="53" t="inlineStr">
        <is>
          <t>d Thailand CDS (1d)</t>
        </is>
      </c>
      <c r="EF5" s="53" t="inlineStr">
        <is>
          <t>d Malaysia CDS (1d)</t>
        </is>
      </c>
      <c r="EG5" s="53" t="inlineStr">
        <is>
          <t>d Philippines CDS (1d)</t>
        </is>
      </c>
      <c r="EH5" s="53" t="inlineStr">
        <is>
          <t>d South Africa CDS (1d)</t>
        </is>
      </c>
    </row>
    <row r="6">
      <c r="B6" s="53">
        <f>Tickers!$B$6</f>
        <v/>
      </c>
      <c r="C6" s="53">
        <f>Tickers!$B$7</f>
        <v/>
      </c>
      <c r="D6" s="53">
        <f>Tickers!$B$8</f>
        <v/>
      </c>
      <c r="E6" s="53">
        <f>Tickers!$B$9</f>
        <v/>
      </c>
      <c r="F6" s="53">
        <f>Tickers!$B$10</f>
        <v/>
      </c>
      <c r="G6" s="53">
        <f>Tickers!$B$11</f>
        <v/>
      </c>
      <c r="H6" s="53">
        <f>Tickers!$B$12</f>
        <v/>
      </c>
      <c r="I6" s="53">
        <f>Tickers!$B$13</f>
        <v/>
      </c>
      <c r="J6" s="53">
        <f>Tickers!$B$14</f>
        <v/>
      </c>
      <c r="K6" s="53">
        <f>Tickers!$B$15</f>
        <v/>
      </c>
      <c r="L6" s="53">
        <f>Tickers!$B$16</f>
        <v/>
      </c>
      <c r="M6" s="53">
        <f>Tickers!$B$17</f>
        <v/>
      </c>
      <c r="N6" s="53">
        <f>Tickers!$B$18</f>
        <v/>
      </c>
      <c r="O6" s="53">
        <f>Tickers!$B$19</f>
        <v/>
      </c>
      <c r="P6" s="53">
        <f>Tickers!$B$20</f>
        <v/>
      </c>
      <c r="Q6" s="53">
        <f>Tickers!$B$21</f>
        <v/>
      </c>
      <c r="R6" s="53">
        <f>Tickers!$B$22</f>
        <v/>
      </c>
      <c r="S6" s="53">
        <f>Tickers!$B$23</f>
        <v/>
      </c>
      <c r="T6" s="53">
        <f>Tickers!$B$24</f>
        <v/>
      </c>
      <c r="U6" s="53">
        <f>Tickers!$B$25</f>
        <v/>
      </c>
      <c r="V6" s="53">
        <f>Tickers!$B$26</f>
        <v/>
      </c>
      <c r="W6" s="53">
        <f>Tickers!$B$27</f>
        <v/>
      </c>
      <c r="X6" s="53">
        <f>Tickers!$B$28</f>
        <v/>
      </c>
      <c r="Y6" s="53">
        <f>Tickers!$B$29</f>
        <v/>
      </c>
      <c r="Z6" s="53">
        <f>Tickers!$B$30</f>
        <v/>
      </c>
      <c r="AA6" s="53">
        <f>Tickers!$B$31</f>
        <v/>
      </c>
      <c r="AB6" s="53">
        <f>Tickers!$B$32</f>
        <v/>
      </c>
      <c r="AC6" s="53">
        <f>Tickers!$B$33</f>
        <v/>
      </c>
      <c r="AD6" s="53">
        <f>Tickers!$B$34</f>
        <v/>
      </c>
      <c r="AE6" s="53">
        <f>Tickers!$B$35</f>
        <v/>
      </c>
      <c r="AF6" s="53">
        <f>Tickers!$B$36</f>
        <v/>
      </c>
      <c r="AG6" s="53">
        <f>Tickers!$B$37</f>
        <v/>
      </c>
      <c r="AH6" s="53">
        <f>Tickers!$B$38</f>
        <v/>
      </c>
      <c r="AI6" s="53">
        <f>Tickers!$B$39</f>
        <v/>
      </c>
      <c r="AJ6" s="53">
        <f>Tickers!$B$40</f>
        <v/>
      </c>
      <c r="AK6" s="53">
        <f>Tickers!$B$41</f>
        <v/>
      </c>
      <c r="AL6" s="53">
        <f>Tickers!$B$42</f>
        <v/>
      </c>
      <c r="AM6" s="53">
        <f>Tickers!$B$43</f>
        <v/>
      </c>
      <c r="AN6" s="53">
        <f>Tickers!$B$44</f>
        <v/>
      </c>
      <c r="AO6" s="53">
        <f>Tickers!$B$45</f>
        <v/>
      </c>
      <c r="AP6" s="53">
        <f>Tickers!$B$46</f>
        <v/>
      </c>
      <c r="AQ6" s="53">
        <f>Tickers!$B$47</f>
        <v/>
      </c>
      <c r="AR6" s="53">
        <f>Tickers!$B$48</f>
        <v/>
      </c>
      <c r="AS6" s="53">
        <f>Tickers!$B$49</f>
        <v/>
      </c>
      <c r="AT6" s="53">
        <f>Tickers!$B$50</f>
        <v/>
      </c>
      <c r="AU6" s="53">
        <f>Tickers!$B$51</f>
        <v/>
      </c>
      <c r="AV6" s="53">
        <f>Tickers!$B$52</f>
        <v/>
      </c>
      <c r="AW6" s="53">
        <f>Tickers!$B$53</f>
        <v/>
      </c>
      <c r="AX6" s="53">
        <f>Tickers!$B$54</f>
        <v/>
      </c>
      <c r="AY6" s="53">
        <f>Tickers!$B$55</f>
        <v/>
      </c>
      <c r="AZ6" s="53">
        <f>Tickers!$B$56</f>
        <v/>
      </c>
      <c r="BA6" s="53">
        <f>Tickers!$B$57</f>
        <v/>
      </c>
      <c r="BB6" s="53">
        <f>Tickers!$B$58</f>
        <v/>
      </c>
      <c r="BC6" s="53">
        <f>Tickers!$B$59</f>
        <v/>
      </c>
      <c r="BD6" s="53">
        <f>Tickers!$B$60</f>
        <v/>
      </c>
      <c r="BE6" s="53">
        <f>Tickers!$B$61</f>
        <v/>
      </c>
      <c r="BF6" s="53">
        <f>Tickers!$B$62</f>
        <v/>
      </c>
      <c r="BG6" s="53">
        <f>Tickers!$B$63</f>
        <v/>
      </c>
      <c r="BH6" s="53">
        <f>Tickers!$B$64</f>
        <v/>
      </c>
      <c r="BI6" s="53">
        <f>Tickers!$B$65</f>
        <v/>
      </c>
      <c r="BJ6" s="53">
        <f>Tickers!$B$66</f>
        <v/>
      </c>
      <c r="BK6" s="53">
        <f>Tickers!$B$67</f>
        <v/>
      </c>
      <c r="BL6" s="53">
        <f>Tickers!$B$68</f>
        <v/>
      </c>
      <c r="BM6" s="53">
        <f>Tickers!$B$69</f>
        <v/>
      </c>
      <c r="BN6" s="53">
        <f>Tickers!$B$70</f>
        <v/>
      </c>
      <c r="BO6" s="53">
        <f>Tickers!$B$71</f>
        <v/>
      </c>
      <c r="BP6" s="53">
        <f>Tickers!$B$72</f>
        <v/>
      </c>
      <c r="BQ6" s="53">
        <f>Tickers!$B$73</f>
        <v/>
      </c>
      <c r="BR6" s="53">
        <f>Tickers!$B$74</f>
        <v/>
      </c>
      <c r="BS6" s="53">
        <f>Tickers!$B$75</f>
        <v/>
      </c>
      <c r="BT6" s="53">
        <f>Tickers!$B$76</f>
        <v/>
      </c>
      <c r="BU6" s="53">
        <f>Tickers!$B$77</f>
        <v/>
      </c>
      <c r="BV6" s="53" t="inlineStr">
        <is>
          <t>derived</t>
        </is>
      </c>
      <c r="BW6" s="53" t="inlineStr">
        <is>
          <t>derived</t>
        </is>
      </c>
      <c r="BX6" s="53" t="inlineStr">
        <is>
          <t>derived</t>
        </is>
      </c>
      <c r="BY6" s="53" t="inlineStr">
        <is>
          <t>derived</t>
        </is>
      </c>
      <c r="BZ6" s="53" t="inlineStr">
        <is>
          <t>derived</t>
        </is>
      </c>
      <c r="CA6" s="53" t="inlineStr">
        <is>
          <t>derived</t>
        </is>
      </c>
      <c r="CB6" s="53" t="inlineStr">
        <is>
          <t>derived</t>
        </is>
      </c>
      <c r="CC6" s="53" t="inlineStr">
        <is>
          <t>derived</t>
        </is>
      </c>
      <c r="CD6" s="53" t="inlineStr">
        <is>
          <t>derived</t>
        </is>
      </c>
      <c r="CE6" s="53" t="inlineStr">
        <is>
          <t>derived</t>
        </is>
      </c>
      <c r="CF6" s="53" t="inlineStr">
        <is>
          <t>derived</t>
        </is>
      </c>
      <c r="CG6" s="53" t="inlineStr">
        <is>
          <t>derived</t>
        </is>
      </c>
      <c r="CH6" s="53" t="inlineStr">
        <is>
          <t>derived</t>
        </is>
      </c>
      <c r="CI6" s="53" t="inlineStr">
        <is>
          <t>derived</t>
        </is>
      </c>
      <c r="CJ6" s="53" t="inlineStr">
        <is>
          <t>derived</t>
        </is>
      </c>
      <c r="CK6" s="53" t="inlineStr">
        <is>
          <t>derived</t>
        </is>
      </c>
      <c r="CL6" s="53" t="inlineStr">
        <is>
          <t>derived</t>
        </is>
      </c>
      <c r="CM6" s="53" t="inlineStr">
        <is>
          <t>derived</t>
        </is>
      </c>
      <c r="CN6" s="53" t="inlineStr">
        <is>
          <t>derived</t>
        </is>
      </c>
      <c r="CO6" s="53" t="inlineStr">
        <is>
          <t>derived</t>
        </is>
      </c>
      <c r="CP6" s="53" t="inlineStr">
        <is>
          <t>derived</t>
        </is>
      </c>
      <c r="CQ6" s="53" t="inlineStr">
        <is>
          <t>derived</t>
        </is>
      </c>
      <c r="CR6" s="53" t="inlineStr">
        <is>
          <t>derived</t>
        </is>
      </c>
      <c r="CS6" s="53" t="inlineStr">
        <is>
          <t>derived</t>
        </is>
      </c>
      <c r="CT6" s="53" t="inlineStr">
        <is>
          <t>derived</t>
        </is>
      </c>
      <c r="CU6" s="53" t="inlineStr">
        <is>
          <t>derived</t>
        </is>
      </c>
      <c r="CV6" s="53" t="inlineStr">
        <is>
          <t>derived</t>
        </is>
      </c>
      <c r="CW6" s="53" t="inlineStr">
        <is>
          <t>derived</t>
        </is>
      </c>
      <c r="CX6" s="53" t="inlineStr">
        <is>
          <t>derived</t>
        </is>
      </c>
      <c r="CY6" s="53" t="inlineStr">
        <is>
          <t>derived</t>
        </is>
      </c>
      <c r="CZ6" s="53" t="inlineStr">
        <is>
          <t>derived</t>
        </is>
      </c>
      <c r="DA6" s="53" t="inlineStr">
        <is>
          <t>derived</t>
        </is>
      </c>
      <c r="DB6" s="53" t="inlineStr">
        <is>
          <t>derived</t>
        </is>
      </c>
      <c r="DC6" s="53" t="inlineStr">
        <is>
          <t>derived</t>
        </is>
      </c>
      <c r="DD6" s="53" t="inlineStr">
        <is>
          <t>derived</t>
        </is>
      </c>
      <c r="DE6" s="53" t="inlineStr">
        <is>
          <t>derived</t>
        </is>
      </c>
      <c r="DF6" s="53" t="inlineStr">
        <is>
          <t>derived</t>
        </is>
      </c>
      <c r="DG6" s="53" t="inlineStr">
        <is>
          <t>derived</t>
        </is>
      </c>
      <c r="DH6" s="53" t="inlineStr">
        <is>
          <t>derived</t>
        </is>
      </c>
      <c r="DI6" s="53" t="inlineStr">
        <is>
          <t>derived</t>
        </is>
      </c>
      <c r="DJ6" s="53" t="inlineStr">
        <is>
          <t>derived</t>
        </is>
      </c>
      <c r="DK6" s="53" t="inlineStr">
        <is>
          <t>derived</t>
        </is>
      </c>
      <c r="DL6" s="53" t="inlineStr">
        <is>
          <t>derived</t>
        </is>
      </c>
      <c r="DM6" s="53" t="inlineStr">
        <is>
          <t>derived</t>
        </is>
      </c>
      <c r="DN6" s="53" t="inlineStr">
        <is>
          <t>derived</t>
        </is>
      </c>
      <c r="DO6" s="53" t="inlineStr">
        <is>
          <t>derived</t>
        </is>
      </c>
      <c r="DP6" s="53" t="inlineStr">
        <is>
          <t>derived</t>
        </is>
      </c>
      <c r="DQ6" s="53" t="inlineStr">
        <is>
          <t>derived</t>
        </is>
      </c>
      <c r="DR6" s="53" t="inlineStr">
        <is>
          <t>derived</t>
        </is>
      </c>
      <c r="DS6" s="53" t="inlineStr">
        <is>
          <t>derived</t>
        </is>
      </c>
      <c r="DT6" s="53" t="inlineStr">
        <is>
          <t>derived</t>
        </is>
      </c>
      <c r="DU6" s="53" t="inlineStr">
        <is>
          <t>derived</t>
        </is>
      </c>
      <c r="DV6" s="53" t="inlineStr">
        <is>
          <t>derived</t>
        </is>
      </c>
      <c r="DW6" s="53" t="inlineStr">
        <is>
          <t>derived</t>
        </is>
      </c>
      <c r="DX6" s="53" t="inlineStr">
        <is>
          <t>derived</t>
        </is>
      </c>
      <c r="DY6" s="53" t="inlineStr">
        <is>
          <t>derived</t>
        </is>
      </c>
      <c r="DZ6" s="53" t="inlineStr">
        <is>
          <t>derived</t>
        </is>
      </c>
      <c r="EA6" s="53" t="inlineStr">
        <is>
          <t>derived</t>
        </is>
      </c>
      <c r="EB6" s="53" t="inlineStr">
        <is>
          <t>derived</t>
        </is>
      </c>
      <c r="EC6" s="53" t="inlineStr">
        <is>
          <t>derived</t>
        </is>
      </c>
      <c r="ED6" s="53" t="inlineStr">
        <is>
          <t>derived</t>
        </is>
      </c>
      <c r="EE6" s="53" t="inlineStr">
        <is>
          <t>derived</t>
        </is>
      </c>
      <c r="EF6" s="53" t="inlineStr">
        <is>
          <t>derived</t>
        </is>
      </c>
      <c r="EG6" s="53" t="inlineStr">
        <is>
          <t>derived</t>
        </is>
      </c>
      <c r="EH6" s="53" t="inlineStr">
        <is>
          <t>derived</t>
        </is>
      </c>
    </row>
    <row r="7">
      <c r="A7" s="53" t="inlineStr">
        <is>
          <t>date</t>
        </is>
      </c>
      <c r="B7" s="53" t="inlineStr">
        <is>
          <t>%</t>
        </is>
      </c>
      <c r="C7" s="53" t="inlineStr">
        <is>
          <t>%</t>
        </is>
      </c>
      <c r="D7" s="53" t="inlineStr">
        <is>
          <t>%</t>
        </is>
      </c>
      <c r="E7" s="53" t="inlineStr">
        <is>
          <t>%</t>
        </is>
      </c>
      <c r="F7" s="53" t="inlineStr">
        <is>
          <t>%</t>
        </is>
      </c>
      <c r="G7" s="53" t="inlineStr">
        <is>
          <t>%</t>
        </is>
      </c>
      <c r="H7" s="53" t="inlineStr">
        <is>
          <t>%</t>
        </is>
      </c>
      <c r="I7" s="53" t="inlineStr">
        <is>
          <t>pt</t>
        </is>
      </c>
      <c r="J7" s="53" t="inlineStr">
        <is>
          <t>bp</t>
        </is>
      </c>
      <c r="K7" s="53" t="inlineStr">
        <is>
          <t>idx</t>
        </is>
      </c>
      <c r="L7" s="53" t="inlineStr">
        <is>
          <t>fx</t>
        </is>
      </c>
      <c r="M7" s="53" t="inlineStr">
        <is>
          <t>fx</t>
        </is>
      </c>
      <c r="N7" s="53" t="inlineStr">
        <is>
          <t>fx</t>
        </is>
      </c>
      <c r="O7" s="53" t="inlineStr">
        <is>
          <t>fx</t>
        </is>
      </c>
      <c r="P7" s="53" t="inlineStr">
        <is>
          <t>fx</t>
        </is>
      </c>
      <c r="Q7" s="53" t="inlineStr">
        <is>
          <t>fx</t>
        </is>
      </c>
      <c r="R7" s="53" t="inlineStr">
        <is>
          <t>fx</t>
        </is>
      </c>
      <c r="S7" s="53" t="inlineStr">
        <is>
          <t>fx</t>
        </is>
      </c>
      <c r="T7" s="53" t="inlineStr">
        <is>
          <t>fx</t>
        </is>
      </c>
      <c r="U7" s="53" t="inlineStr">
        <is>
          <t>fx</t>
        </is>
      </c>
      <c r="V7" s="53" t="inlineStr">
        <is>
          <t>fx</t>
        </is>
      </c>
      <c r="W7" s="53" t="inlineStr">
        <is>
          <t>fx</t>
        </is>
      </c>
      <c r="X7" s="53" t="inlineStr">
        <is>
          <t>fx</t>
        </is>
      </c>
      <c r="Y7" s="53" t="inlineStr">
        <is>
          <t>fx</t>
        </is>
      </c>
      <c r="Z7" s="53" t="inlineStr">
        <is>
          <t>fx</t>
        </is>
      </c>
      <c r="AA7" s="53" t="inlineStr">
        <is>
          <t>fx</t>
        </is>
      </c>
      <c r="AB7" s="53" t="inlineStr">
        <is>
          <t>fx</t>
        </is>
      </c>
      <c r="AC7" s="53" t="inlineStr">
        <is>
          <t>fx</t>
        </is>
      </c>
      <c r="AD7" s="53" t="inlineStr">
        <is>
          <t>fx</t>
        </is>
      </c>
      <c r="AE7" s="53" t="inlineStr">
        <is>
          <t>fx</t>
        </is>
      </c>
      <c r="AF7" s="53" t="inlineStr">
        <is>
          <t>%</t>
        </is>
      </c>
      <c r="AG7" s="53" t="inlineStr">
        <is>
          <t>%</t>
        </is>
      </c>
      <c r="AH7" s="53" t="inlineStr">
        <is>
          <t>%</t>
        </is>
      </c>
      <c r="AI7" s="53" t="inlineStr">
        <is>
          <t>%</t>
        </is>
      </c>
      <c r="AJ7" s="53" t="inlineStr">
        <is>
          <t>%</t>
        </is>
      </c>
      <c r="AK7" s="53" t="inlineStr">
        <is>
          <t>%</t>
        </is>
      </c>
      <c r="AL7" s="53" t="inlineStr">
        <is>
          <t>%</t>
        </is>
      </c>
      <c r="AM7" s="53" t="inlineStr">
        <is>
          <t>%</t>
        </is>
      </c>
      <c r="AN7" s="53" t="inlineStr">
        <is>
          <t>%</t>
        </is>
      </c>
      <c r="AO7" s="53" t="inlineStr">
        <is>
          <t>%</t>
        </is>
      </c>
      <c r="AP7" s="53" t="inlineStr">
        <is>
          <t>%</t>
        </is>
      </c>
      <c r="AQ7" s="53" t="inlineStr">
        <is>
          <t>%</t>
        </is>
      </c>
      <c r="AR7" s="53" t="inlineStr">
        <is>
          <t>%</t>
        </is>
      </c>
      <c r="AS7" s="53" t="inlineStr">
        <is>
          <t>%</t>
        </is>
      </c>
      <c r="AT7" s="53" t="inlineStr">
        <is>
          <t>%</t>
        </is>
      </c>
      <c r="AU7" s="53" t="inlineStr">
        <is>
          <t>%</t>
        </is>
      </c>
      <c r="AV7" s="53" t="inlineStr">
        <is>
          <t>%</t>
        </is>
      </c>
      <c r="AW7" s="53" t="inlineStr">
        <is>
          <t>%</t>
        </is>
      </c>
      <c r="AX7" s="53" t="inlineStr">
        <is>
          <t>%</t>
        </is>
      </c>
      <c r="AY7" s="53" t="inlineStr">
        <is>
          <t>%</t>
        </is>
      </c>
      <c r="AZ7" s="53" t="inlineStr">
        <is>
          <t>bp</t>
        </is>
      </c>
      <c r="BA7" s="53" t="inlineStr">
        <is>
          <t>bp</t>
        </is>
      </c>
      <c r="BB7" s="53" t="inlineStr">
        <is>
          <t>bp</t>
        </is>
      </c>
      <c r="BC7" s="53" t="inlineStr">
        <is>
          <t>bp</t>
        </is>
      </c>
      <c r="BD7" s="53" t="inlineStr">
        <is>
          <t>bp</t>
        </is>
      </c>
      <c r="BE7" s="53" t="inlineStr">
        <is>
          <t>bp</t>
        </is>
      </c>
      <c r="BF7" s="53" t="inlineStr">
        <is>
          <t>bp</t>
        </is>
      </c>
      <c r="BG7" s="53" t="inlineStr">
        <is>
          <t>bp</t>
        </is>
      </c>
      <c r="BH7" s="53" t="inlineStr">
        <is>
          <t>bp</t>
        </is>
      </c>
      <c r="BI7" s="53" t="inlineStr">
        <is>
          <t>bp</t>
        </is>
      </c>
      <c r="BJ7" s="53" t="inlineStr">
        <is>
          <t>bp</t>
        </is>
      </c>
      <c r="BK7" s="53" t="inlineStr">
        <is>
          <t>bp</t>
        </is>
      </c>
      <c r="BL7" s="53" t="inlineStr">
        <is>
          <t>bp</t>
        </is>
      </c>
      <c r="BM7" s="53" t="inlineStr">
        <is>
          <t>bp</t>
        </is>
      </c>
      <c r="BN7" s="53" t="inlineStr">
        <is>
          <t>bp</t>
        </is>
      </c>
      <c r="BO7" s="53" t="inlineStr">
        <is>
          <t>bp</t>
        </is>
      </c>
      <c r="BP7" s="53" t="inlineStr">
        <is>
          <t>bp</t>
        </is>
      </c>
      <c r="BQ7" s="53" t="inlineStr">
        <is>
          <t>bp</t>
        </is>
      </c>
      <c r="BR7" s="53" t="inlineStr">
        <is>
          <t>bp</t>
        </is>
      </c>
      <c r="BS7" s="53" t="inlineStr">
        <is>
          <t>bp</t>
        </is>
      </c>
      <c r="BT7" s="53" t="inlineStr">
        <is>
          <t>bp</t>
        </is>
      </c>
      <c r="BU7" s="53" t="inlineStr">
        <is>
          <t>bp</t>
        </is>
      </c>
      <c r="BV7" s="53" t="inlineStr">
        <is>
          <t>bp</t>
        </is>
      </c>
      <c r="BW7" s="53" t="inlineStr">
        <is>
          <t>bp</t>
        </is>
      </c>
      <c r="BX7" s="53" t="inlineStr">
        <is>
          <t>ret</t>
        </is>
      </c>
      <c r="BY7" s="53" t="inlineStr">
        <is>
          <t>bp</t>
        </is>
      </c>
      <c r="BZ7" s="53" t="inlineStr">
        <is>
          <t>bp</t>
        </is>
      </c>
      <c r="CA7" s="53" t="inlineStr">
        <is>
          <t>bp</t>
        </is>
      </c>
      <c r="CB7" s="53" t="inlineStr">
        <is>
          <t>bp</t>
        </is>
      </c>
      <c r="CC7" s="53" t="inlineStr">
        <is>
          <t>bp</t>
        </is>
      </c>
      <c r="CD7" s="53" t="inlineStr">
        <is>
          <t>bp</t>
        </is>
      </c>
      <c r="CE7" s="53" t="inlineStr">
        <is>
          <t>bp</t>
        </is>
      </c>
      <c r="CF7" s="53" t="inlineStr">
        <is>
          <t>bp</t>
        </is>
      </c>
      <c r="CG7" s="53" t="inlineStr">
        <is>
          <t>bp</t>
        </is>
      </c>
      <c r="CH7" s="53" t="inlineStr">
        <is>
          <t>bp</t>
        </is>
      </c>
      <c r="CI7" s="53" t="inlineStr">
        <is>
          <t>bp</t>
        </is>
      </c>
      <c r="CJ7" s="53" t="inlineStr">
        <is>
          <t>bp</t>
        </is>
      </c>
      <c r="CK7" s="53" t="inlineStr">
        <is>
          <t>bp</t>
        </is>
      </c>
      <c r="CL7" s="53" t="inlineStr">
        <is>
          <t>bp</t>
        </is>
      </c>
      <c r="CM7" s="53" t="inlineStr">
        <is>
          <t>bp</t>
        </is>
      </c>
      <c r="CN7" s="53" t="inlineStr">
        <is>
          <t>bp</t>
        </is>
      </c>
      <c r="CO7" s="53" t="inlineStr">
        <is>
          <t>bp</t>
        </is>
      </c>
      <c r="CP7" s="53" t="inlineStr">
        <is>
          <t>bp</t>
        </is>
      </c>
      <c r="CQ7" s="53" t="inlineStr">
        <is>
          <t>bp</t>
        </is>
      </c>
      <c r="CR7" s="53" t="inlineStr">
        <is>
          <t>bp</t>
        </is>
      </c>
      <c r="CS7" s="53" t="inlineStr">
        <is>
          <t>ret</t>
        </is>
      </c>
      <c r="CT7" s="53" t="inlineStr">
        <is>
          <t>ret</t>
        </is>
      </c>
      <c r="CU7" s="53" t="inlineStr">
        <is>
          <t>ret</t>
        </is>
      </c>
      <c r="CV7" s="53" t="inlineStr">
        <is>
          <t>ret</t>
        </is>
      </c>
      <c r="CW7" s="53" t="inlineStr">
        <is>
          <t>ret</t>
        </is>
      </c>
      <c r="CX7" s="53" t="inlineStr">
        <is>
          <t>ret</t>
        </is>
      </c>
      <c r="CY7" s="53" t="inlineStr">
        <is>
          <t>ret</t>
        </is>
      </c>
      <c r="CZ7" s="53" t="inlineStr">
        <is>
          <t>ret</t>
        </is>
      </c>
      <c r="DA7" s="53" t="inlineStr">
        <is>
          <t>ret</t>
        </is>
      </c>
      <c r="DB7" s="53" t="inlineStr">
        <is>
          <t>ret</t>
        </is>
      </c>
      <c r="DC7" s="53" t="inlineStr">
        <is>
          <t>ret</t>
        </is>
      </c>
      <c r="DD7" s="53" t="inlineStr">
        <is>
          <t>ret</t>
        </is>
      </c>
      <c r="DE7" s="53" t="inlineStr">
        <is>
          <t>ret</t>
        </is>
      </c>
      <c r="DF7" s="53" t="inlineStr">
        <is>
          <t>ret</t>
        </is>
      </c>
      <c r="DG7" s="53" t="inlineStr">
        <is>
          <t>ret</t>
        </is>
      </c>
      <c r="DH7" s="53" t="inlineStr">
        <is>
          <t>ret</t>
        </is>
      </c>
      <c r="DI7" s="53" t="inlineStr">
        <is>
          <t>ret</t>
        </is>
      </c>
      <c r="DJ7" s="53" t="inlineStr">
        <is>
          <t>ret</t>
        </is>
      </c>
      <c r="DK7" s="53" t="inlineStr">
        <is>
          <t>ret</t>
        </is>
      </c>
      <c r="DL7" s="53" t="inlineStr">
        <is>
          <t>ret</t>
        </is>
      </c>
      <c r="DM7" s="53" t="inlineStr">
        <is>
          <t>bp</t>
        </is>
      </c>
      <c r="DN7" s="53" t="inlineStr">
        <is>
          <t>bp</t>
        </is>
      </c>
      <c r="DO7" s="53" t="inlineStr">
        <is>
          <t>bp</t>
        </is>
      </c>
      <c r="DP7" s="53" t="inlineStr">
        <is>
          <t>bp</t>
        </is>
      </c>
      <c r="DQ7" s="53" t="inlineStr">
        <is>
          <t>bp</t>
        </is>
      </c>
      <c r="DR7" s="53" t="inlineStr">
        <is>
          <t>bp</t>
        </is>
      </c>
      <c r="DS7" s="53" t="inlineStr">
        <is>
          <t>bp</t>
        </is>
      </c>
      <c r="DT7" s="53" t="inlineStr">
        <is>
          <t>bp</t>
        </is>
      </c>
      <c r="DU7" s="53" t="inlineStr">
        <is>
          <t>bp</t>
        </is>
      </c>
      <c r="DV7" s="53" t="inlineStr">
        <is>
          <t>bp</t>
        </is>
      </c>
      <c r="DW7" s="53" t="inlineStr">
        <is>
          <t>bp</t>
        </is>
      </c>
      <c r="DX7" s="53" t="inlineStr">
        <is>
          <t>bp</t>
        </is>
      </c>
      <c r="DY7" s="53" t="inlineStr">
        <is>
          <t>bp</t>
        </is>
      </c>
      <c r="DZ7" s="53" t="inlineStr">
        <is>
          <t>bp</t>
        </is>
      </c>
      <c r="EA7" s="53" t="inlineStr">
        <is>
          <t>bp</t>
        </is>
      </c>
      <c r="EB7" s="53" t="inlineStr">
        <is>
          <t>bp</t>
        </is>
      </c>
      <c r="EC7" s="53" t="inlineStr">
        <is>
          <t>bp</t>
        </is>
      </c>
      <c r="ED7" s="53" t="inlineStr">
        <is>
          <t>bp</t>
        </is>
      </c>
      <c r="EE7" s="53" t="inlineStr">
        <is>
          <t>bp</t>
        </is>
      </c>
      <c r="EF7" s="53" t="inlineStr">
        <is>
          <t>bp</t>
        </is>
      </c>
      <c r="EG7" s="53" t="inlineStr">
        <is>
          <t>bp</t>
        </is>
      </c>
      <c r="EH7" s="53" t="inlineStr">
        <is>
          <t>bp</t>
        </is>
      </c>
    </row>
    <row r="8">
      <c r="A8" s="54">
        <f>BDH(Tickers!$B$6,Tickers!$C$6,Control!$B$6,Control!$B$7,"Dir=V","Sort=D","Days=W","Fill=P","Dts=S")</f>
        <v/>
      </c>
      <c r="C8" s="55">
        <f>BDH(Tickers!$B$7,Tickers!$C$7,Control!$B$6,Control!$B$7,"Dir=V","Sort=D","Days=W","Fill=P","Dts=H")</f>
        <v/>
      </c>
      <c r="D8" s="55">
        <f>BDH(Tickers!$B$8,Tickers!$C$8,Control!$B$6,Control!$B$7,"Dir=V","Sort=D","Days=W","Fill=P","Dts=H")</f>
        <v/>
      </c>
      <c r="E8" s="55">
        <f>BDH(Tickers!$B$9,Tickers!$C$9,Control!$B$6,Control!$B$7,"Dir=V","Sort=D","Days=W","Fill=P","Dts=H")</f>
        <v/>
      </c>
      <c r="F8" s="55">
        <f>BDH(Tickers!$B$10,Tickers!$C$10,Control!$B$6,Control!$B$7,"Dir=V","Sort=D","Days=W","Fill=P","Dts=H")</f>
        <v/>
      </c>
      <c r="G8" s="55">
        <f>BDH(Tickers!$B$11,Tickers!$C$11,Control!$B$6,Control!$B$7,"Dir=V","Sort=D","Days=W","Fill=P","Dts=H")</f>
        <v/>
      </c>
      <c r="H8" s="55">
        <f>BDH(Tickers!$B$12,Tickers!$C$12,Control!$B$6,Control!$B$7,"Dir=V","Sort=D","Days=W","Fill=P","Dts=H")</f>
        <v/>
      </c>
      <c r="I8" s="55">
        <f>BDH(Tickers!$B$13,Tickers!$C$13,Control!$B$6,Control!$B$7,"Dir=V","Sort=D","Days=W","Fill=P","Dts=H")</f>
        <v/>
      </c>
      <c r="J8" s="55">
        <f>BDH(Tickers!$B$14,Tickers!$C$14,Control!$B$6,Control!$B$7,"Dir=V","Sort=D","Days=W","Fill=P","Dts=H")</f>
        <v/>
      </c>
      <c r="K8" s="55">
        <f>BDH(Tickers!$B$15,Tickers!$C$15,Control!$B$6,Control!$B$7,"Dir=V","Sort=D","Days=W","Fill=P","Dts=H")</f>
        <v/>
      </c>
      <c r="L8" s="55">
        <f>BDH(Tickers!$B$16,Tickers!$C$16,Control!$B$6,Control!$B$7,"Dir=V","Sort=D","Days=W","Fill=P","Dts=H")</f>
        <v/>
      </c>
      <c r="M8" s="55">
        <f>BDH(Tickers!$B$17,Tickers!$C$17,Control!$B$6,Control!$B$7,"Dir=V","Sort=D","Days=W","Fill=P","Dts=H")</f>
        <v/>
      </c>
      <c r="N8" s="55">
        <f>BDH(Tickers!$B$18,Tickers!$C$18,Control!$B$6,Control!$B$7,"Dir=V","Sort=D","Days=W","Fill=P","Dts=H")</f>
        <v/>
      </c>
      <c r="O8" s="55">
        <f>BDH(Tickers!$B$19,Tickers!$C$19,Control!$B$6,Control!$B$7,"Dir=V","Sort=D","Days=W","Fill=P","Dts=H")</f>
        <v/>
      </c>
      <c r="P8" s="55">
        <f>BDH(Tickers!$B$20,Tickers!$C$20,Control!$B$6,Control!$B$7,"Dir=V","Sort=D","Days=W","Fill=P","Dts=H")</f>
        <v/>
      </c>
      <c r="Q8" s="55">
        <f>BDH(Tickers!$B$21,Tickers!$C$21,Control!$B$6,Control!$B$7,"Dir=V","Sort=D","Days=W","Fill=P","Dts=H")</f>
        <v/>
      </c>
      <c r="R8" s="55">
        <f>BDH(Tickers!$B$22,Tickers!$C$22,Control!$B$6,Control!$B$7,"Dir=V","Sort=D","Days=W","Fill=P","Dts=H")</f>
        <v/>
      </c>
      <c r="S8" s="55">
        <f>BDH(Tickers!$B$23,Tickers!$C$23,Control!$B$6,Control!$B$7,"Dir=V","Sort=D","Days=W","Fill=P","Dts=H")</f>
        <v/>
      </c>
      <c r="T8" s="55">
        <f>BDH(Tickers!$B$24,Tickers!$C$24,Control!$B$6,Control!$B$7,"Dir=V","Sort=D","Days=W","Fill=P","Dts=H")</f>
        <v/>
      </c>
      <c r="U8" s="55">
        <f>BDH(Tickers!$B$25,Tickers!$C$25,Control!$B$6,Control!$B$7,"Dir=V","Sort=D","Days=W","Fill=P","Dts=H")</f>
        <v/>
      </c>
      <c r="V8" s="55">
        <f>BDH(Tickers!$B$26,Tickers!$C$26,Control!$B$6,Control!$B$7,"Dir=V","Sort=D","Days=W","Fill=P","Dts=H")</f>
        <v/>
      </c>
      <c r="W8" s="55">
        <f>BDH(Tickers!$B$27,Tickers!$C$27,Control!$B$6,Control!$B$7,"Dir=V","Sort=D","Days=W","Fill=P","Dts=H")</f>
        <v/>
      </c>
      <c r="X8" s="55">
        <f>BDH(Tickers!$B$28,Tickers!$C$28,Control!$B$6,Control!$B$7,"Dir=V","Sort=D","Days=W","Fill=P","Dts=H")</f>
        <v/>
      </c>
      <c r="Y8" s="55">
        <f>BDH(Tickers!$B$29,Tickers!$C$29,Control!$B$6,Control!$B$7,"Dir=V","Sort=D","Days=W","Fill=P","Dts=H")</f>
        <v/>
      </c>
      <c r="Z8" s="55">
        <f>BDH(Tickers!$B$30,Tickers!$C$30,Control!$B$6,Control!$B$7,"Dir=V","Sort=D","Days=W","Fill=P","Dts=H")</f>
        <v/>
      </c>
      <c r="AA8" s="55">
        <f>BDH(Tickers!$B$31,Tickers!$C$31,Control!$B$6,Control!$B$7,"Dir=V","Sort=D","Days=W","Fill=P","Dts=H")</f>
        <v/>
      </c>
      <c r="AB8" s="55">
        <f>BDH(Tickers!$B$32,Tickers!$C$32,Control!$B$6,Control!$B$7,"Dir=V","Sort=D","Days=W","Fill=P","Dts=H")</f>
        <v/>
      </c>
      <c r="AC8" s="55">
        <f>BDH(Tickers!$B$33,Tickers!$C$33,Control!$B$6,Control!$B$7,"Dir=V","Sort=D","Days=W","Fill=P","Dts=H")</f>
        <v/>
      </c>
      <c r="AD8" s="55">
        <f>BDH(Tickers!$B$34,Tickers!$C$34,Control!$B$6,Control!$B$7,"Dir=V","Sort=D","Days=W","Fill=P","Dts=H")</f>
        <v/>
      </c>
      <c r="AE8" s="55">
        <f>BDH(Tickers!$B$35,Tickers!$C$35,Control!$B$6,Control!$B$7,"Dir=V","Sort=D","Days=W","Fill=P","Dts=H")</f>
        <v/>
      </c>
      <c r="AF8" s="55">
        <f>BDH(Tickers!$B$36,Tickers!$C$36,Control!$B$6,Control!$B$7,"Dir=V","Sort=D","Days=W","Fill=P","Dts=H")</f>
        <v/>
      </c>
      <c r="AG8" s="55">
        <f>BDH(Tickers!$B$37,Tickers!$C$37,Control!$B$6,Control!$B$7,"Dir=V","Sort=D","Days=W","Fill=P","Dts=H")</f>
        <v/>
      </c>
      <c r="AH8" s="55">
        <f>BDH(Tickers!$B$38,Tickers!$C$38,Control!$B$6,Control!$B$7,"Dir=V","Sort=D","Days=W","Fill=P","Dts=H")</f>
        <v/>
      </c>
      <c r="AI8" s="55">
        <f>BDH(Tickers!$B$39,Tickers!$C$39,Control!$B$6,Control!$B$7,"Dir=V","Sort=D","Days=W","Fill=P","Dts=H")</f>
        <v/>
      </c>
      <c r="AJ8" s="55">
        <f>BDH(Tickers!$B$40,Tickers!$C$40,Control!$B$6,Control!$B$7,"Dir=V","Sort=D","Days=W","Fill=P","Dts=H")</f>
        <v/>
      </c>
      <c r="AK8" s="55">
        <f>BDH(Tickers!$B$41,Tickers!$C$41,Control!$B$6,Control!$B$7,"Dir=V","Sort=D","Days=W","Fill=P","Dts=H")</f>
        <v/>
      </c>
      <c r="AL8" s="55">
        <f>BDH(Tickers!$B$42,Tickers!$C$42,Control!$B$6,Control!$B$7,"Dir=V","Sort=D","Days=W","Fill=P","Dts=H")</f>
        <v/>
      </c>
      <c r="AM8" s="55">
        <f>BDH(Tickers!$B$43,Tickers!$C$43,Control!$B$6,Control!$B$7,"Dir=V","Sort=D","Days=W","Fill=P","Dts=H")</f>
        <v/>
      </c>
      <c r="AN8" s="55">
        <f>BDH(Tickers!$B$44,Tickers!$C$44,Control!$B$6,Control!$B$7,"Dir=V","Sort=D","Days=W","Fill=P","Dts=H")</f>
        <v/>
      </c>
      <c r="AO8" s="55">
        <f>BDH(Tickers!$B$45,Tickers!$C$45,Control!$B$6,Control!$B$7,"Dir=V","Sort=D","Days=W","Fill=P","Dts=H")</f>
        <v/>
      </c>
      <c r="AP8" s="55">
        <f>BDH(Tickers!$B$46,Tickers!$C$46,Control!$B$6,Control!$B$7,"Dir=V","Sort=D","Days=W","Fill=P","Dts=H")</f>
        <v/>
      </c>
      <c r="AQ8" s="55">
        <f>BDH(Tickers!$B$47,Tickers!$C$47,Control!$B$6,Control!$B$7,"Dir=V","Sort=D","Days=W","Fill=P","Dts=H")</f>
        <v/>
      </c>
      <c r="AR8" s="55">
        <f>BDH(Tickers!$B$48,Tickers!$C$48,Control!$B$6,Control!$B$7,"Dir=V","Sort=D","Days=W","Fill=P","Dts=H")</f>
        <v/>
      </c>
      <c r="AS8" s="55">
        <f>BDH(Tickers!$B$49,Tickers!$C$49,Control!$B$6,Control!$B$7,"Dir=V","Sort=D","Days=W","Fill=P","Dts=H")</f>
        <v/>
      </c>
      <c r="AT8" s="55">
        <f>BDH(Tickers!$B$50,Tickers!$C$50,Control!$B$6,Control!$B$7,"Dir=V","Sort=D","Days=W","Fill=P","Dts=H")</f>
        <v/>
      </c>
      <c r="AU8" s="55">
        <f>BDH(Tickers!$B$51,Tickers!$C$51,Control!$B$6,Control!$B$7,"Dir=V","Sort=D","Days=W","Fill=P","Dts=H")</f>
        <v/>
      </c>
      <c r="AV8" s="55">
        <f>BDH(Tickers!$B$52,Tickers!$C$52,Control!$B$6,Control!$B$7,"Dir=V","Sort=D","Days=W","Fill=P","Dts=H")</f>
        <v/>
      </c>
      <c r="AW8" s="55">
        <f>BDH(Tickers!$B$53,Tickers!$C$53,Control!$B$6,Control!$B$7,"Dir=V","Sort=D","Days=W","Fill=P","Dts=H")</f>
        <v/>
      </c>
      <c r="AX8" s="55">
        <f>BDH(Tickers!$B$54,Tickers!$C$54,Control!$B$6,Control!$B$7,"Dir=V","Sort=D","Days=W","Fill=P","Dts=H")</f>
        <v/>
      </c>
      <c r="AY8" s="55">
        <f>BDH(Tickers!$B$55,Tickers!$C$55,Control!$B$6,Control!$B$7,"Dir=V","Sort=D","Days=W","Fill=P","Dts=H")</f>
        <v/>
      </c>
      <c r="AZ8" s="55">
        <f>BDH(Tickers!$B$56,Tickers!$C$56,Control!$B$6,Control!$B$7,"Dir=V","Sort=D","Days=W","Fill=P","Dts=H")</f>
        <v/>
      </c>
      <c r="BA8" s="55">
        <f>BDH(Tickers!$B$57,Tickers!$C$57,Control!$B$6,Control!$B$7,"Dir=V","Sort=D","Days=W","Fill=P","Dts=H")</f>
        <v/>
      </c>
      <c r="BB8" s="55">
        <f>BDH(Tickers!$B$58,Tickers!$C$58,Control!$B$6,Control!$B$7,"Dir=V","Sort=D","Days=W","Fill=P","Dts=H")</f>
        <v/>
      </c>
      <c r="BC8" s="55">
        <f>BDH(Tickers!$B$59,Tickers!$C$59,Control!$B$6,Control!$B$7,"Dir=V","Sort=D","Days=W","Fill=P","Dts=H")</f>
        <v/>
      </c>
      <c r="BD8" s="55">
        <f>BDH(Tickers!$B$60,Tickers!$C$60,Control!$B$6,Control!$B$7,"Dir=V","Sort=D","Days=W","Fill=P","Dts=H")</f>
        <v/>
      </c>
      <c r="BE8" s="55">
        <f>BDH(Tickers!$B$61,Tickers!$C$61,Control!$B$6,Control!$B$7,"Dir=V","Sort=D","Days=W","Fill=P","Dts=H")</f>
        <v/>
      </c>
      <c r="BF8" s="55">
        <f>BDH(Tickers!$B$62,Tickers!$C$62,Control!$B$6,Control!$B$7,"Dir=V","Sort=D","Days=W","Fill=P","Dts=H")</f>
        <v/>
      </c>
      <c r="BG8" s="55">
        <f>BDH(Tickers!$B$63,Tickers!$C$63,Control!$B$6,Control!$B$7,"Dir=V","Sort=D","Days=W","Fill=P","Dts=H")</f>
        <v/>
      </c>
      <c r="BH8" s="55">
        <f>BDH(Tickers!$B$64,Tickers!$C$64,Control!$B$6,Control!$B$7,"Dir=V","Sort=D","Days=W","Fill=P","Dts=H")</f>
        <v/>
      </c>
      <c r="BI8" s="55">
        <f>BDH(Tickers!$B$65,Tickers!$C$65,Control!$B$6,Control!$B$7,"Dir=V","Sort=D","Days=W","Fill=P","Dts=H")</f>
        <v/>
      </c>
      <c r="BJ8" s="55">
        <f>BDH(Tickers!$B$66,Tickers!$C$66,Control!$B$6,Control!$B$7,"Dir=V","Sort=D","Days=W","Fill=P","Dts=H")</f>
        <v/>
      </c>
      <c r="BK8" s="55">
        <f>BDH(Tickers!$B$67,Tickers!$C$67,Control!$B$6,Control!$B$7,"Dir=V","Sort=D","Days=W","Fill=P","Dts=H")</f>
        <v/>
      </c>
      <c r="BL8" s="55">
        <f>BDH(Tickers!$B$68,Tickers!$C$68,Control!$B$6,Control!$B$7,"Dir=V","Sort=D","Days=W","Fill=P","Dts=H")</f>
        <v/>
      </c>
      <c r="BM8" s="55">
        <f>BDH(Tickers!$B$69,Tickers!$C$69,Control!$B$6,Control!$B$7,"Dir=V","Sort=D","Days=W","Fill=P","Dts=H")</f>
        <v/>
      </c>
      <c r="BN8" s="55">
        <f>BDH(Tickers!$B$70,Tickers!$C$70,Control!$B$6,Control!$B$7,"Dir=V","Sort=D","Days=W","Fill=P","Dts=H")</f>
        <v/>
      </c>
      <c r="BO8" s="55">
        <f>BDH(Tickers!$B$71,Tickers!$C$71,Control!$B$6,Control!$B$7,"Dir=V","Sort=D","Days=W","Fill=P","Dts=H")</f>
        <v/>
      </c>
      <c r="BP8" s="55">
        <f>BDH(Tickers!$B$72,Tickers!$C$72,Control!$B$6,Control!$B$7,"Dir=V","Sort=D","Days=W","Fill=P","Dts=H")</f>
        <v/>
      </c>
      <c r="BQ8" s="55">
        <f>BDH(Tickers!$B$73,Tickers!$C$73,Control!$B$6,Control!$B$7,"Dir=V","Sort=D","Days=W","Fill=P","Dts=H")</f>
        <v/>
      </c>
      <c r="BR8" s="55">
        <f>BDH(Tickers!$B$74,Tickers!$C$74,Control!$B$6,Control!$B$7,"Dir=V","Sort=D","Days=W","Fill=P","Dts=H")</f>
        <v/>
      </c>
      <c r="BS8" s="55">
        <f>BDH(Tickers!$B$75,Tickers!$C$75,Control!$B$6,Control!$B$7,"Dir=V","Sort=D","Days=W","Fill=P","Dts=H")</f>
        <v/>
      </c>
      <c r="BT8" s="55">
        <f>BDH(Tickers!$B$76,Tickers!$C$76,Control!$B$6,Control!$B$7,"Dir=V","Sort=D","Days=W","Fill=P","Dts=H")</f>
        <v/>
      </c>
      <c r="BU8" s="55">
        <f>BDH(Tickers!$B$77,Tickers!$C$77,Control!$B$6,Control!$B$7,"Dir=V","Sort=D","Days=W","Fill=P","Dts=H")</f>
        <v/>
      </c>
      <c r="BV8" s="56">
        <f>($D8-$D9)*100</f>
        <v/>
      </c>
      <c r="BW8" s="56">
        <f>($C8-$C9)*100</f>
        <v/>
      </c>
      <c r="BX8" s="57">
        <f>IFERROR($I8/$I9-1,"")</f>
        <v/>
      </c>
      <c r="BY8" s="56">
        <f>($AF8-$AF9)*100</f>
        <v/>
      </c>
      <c r="BZ8" s="56">
        <f>($AG8-$AG9)*100</f>
        <v/>
      </c>
      <c r="CA8" s="56">
        <f>($AH8-$AH9)*100</f>
        <v/>
      </c>
      <c r="CB8" s="56">
        <f>($AI8-$AI9)*100</f>
        <v/>
      </c>
      <c r="CC8" s="56">
        <f>($AJ8-$AJ9)*100</f>
        <v/>
      </c>
      <c r="CD8" s="56">
        <f>($AK8-$AK9)*100</f>
        <v/>
      </c>
      <c r="CE8" s="56">
        <f>($AL8-$AL9)*100</f>
        <v/>
      </c>
      <c r="CF8" s="56">
        <f>($AM8-$AM9)*100</f>
        <v/>
      </c>
      <c r="CG8" s="56">
        <f>($AN8-$AN9)*100</f>
        <v/>
      </c>
      <c r="CH8" s="56">
        <f>($AO8-$AO9)*100</f>
        <v/>
      </c>
      <c r="CI8" s="56">
        <f>($AP8-$AP9)*100</f>
        <v/>
      </c>
      <c r="CJ8" s="56">
        <f>($AQ8-$AQ9)*100</f>
        <v/>
      </c>
      <c r="CK8" s="56">
        <f>($AR8-$AR9)*100</f>
        <v/>
      </c>
      <c r="CL8" s="56">
        <f>($AS8-$AS9)*100</f>
        <v/>
      </c>
      <c r="CM8" s="56">
        <f>($AT8-$AT9)*100</f>
        <v/>
      </c>
      <c r="CN8" s="56">
        <f>($AU8-$AU9)*100</f>
        <v/>
      </c>
      <c r="CO8" s="56">
        <f>($AV8-$AV9)*100</f>
        <v/>
      </c>
      <c r="CP8" s="56">
        <f>($AW8-$AW9)*100</f>
        <v/>
      </c>
      <c r="CQ8" s="56">
        <f>($AX8-$AX9)*100</f>
        <v/>
      </c>
      <c r="CR8" s="56">
        <f>($AY8-$AY9)*100</f>
        <v/>
      </c>
      <c r="CS8" s="57">
        <f>IFERROR($L9/$L8-1,"")</f>
        <v/>
      </c>
      <c r="CT8" s="57">
        <f>IFERROR($M9/$M8-1,"")</f>
        <v/>
      </c>
      <c r="CU8" s="57">
        <f>IFERROR($N9/$N8-1,"")</f>
        <v/>
      </c>
      <c r="CV8" s="57">
        <f>IFERROR($O9/$O8-1,"")</f>
        <v/>
      </c>
      <c r="CW8" s="57">
        <f>IFERROR($P9/$P8-1,"")</f>
        <v/>
      </c>
      <c r="CX8" s="57">
        <f>IFERROR($Q9/$Q8-1,"")</f>
        <v/>
      </c>
      <c r="CY8" s="57">
        <f>IFERROR($R9/$R8-1,"")</f>
        <v/>
      </c>
      <c r="CZ8" s="57">
        <f>IFERROR($S9/$S8-1,"")</f>
        <v/>
      </c>
      <c r="DA8" s="57">
        <f>IFERROR($T9/$T8-1,"")</f>
        <v/>
      </c>
      <c r="DB8" s="57">
        <f>IFERROR($U9/$U8-1,"")</f>
        <v/>
      </c>
      <c r="DC8" s="57">
        <f>IFERROR($V9/$V8-1,"")</f>
        <v/>
      </c>
      <c r="DD8" s="57">
        <f>IFERROR($W9/$W8-1,"")</f>
        <v/>
      </c>
      <c r="DE8" s="57">
        <f>IFERROR($X9/$X8-1,"")</f>
        <v/>
      </c>
      <c r="DF8" s="57">
        <f>IFERROR($Y9/$Y8-1,"")</f>
        <v/>
      </c>
      <c r="DG8" s="57">
        <f>IFERROR($Z9/$Z8-1,"")</f>
        <v/>
      </c>
      <c r="DH8" s="57">
        <f>IFERROR($AA9/$AA8-1,"")</f>
        <v/>
      </c>
      <c r="DI8" s="57">
        <f>IFERROR($AB9/$AB8-1,"")</f>
        <v/>
      </c>
      <c r="DJ8" s="57">
        <f>IFERROR($AC9/$AC8-1,"")</f>
        <v/>
      </c>
      <c r="DK8" s="57">
        <f>IFERROR($AD9/$AD8-1,"")</f>
        <v/>
      </c>
      <c r="DL8" s="57">
        <f>IFERROR($AE9/$AE8-1,"")</f>
        <v/>
      </c>
      <c r="DM8" s="56">
        <f>$AZ8-$AZ9</f>
        <v/>
      </c>
      <c r="DN8" s="56">
        <f>$BA8-$BA9</f>
        <v/>
      </c>
      <c r="DO8" s="56">
        <f>$BB8-$BB9</f>
        <v/>
      </c>
      <c r="DP8" s="56">
        <f>$BC8-$BC9</f>
        <v/>
      </c>
      <c r="DQ8" s="56">
        <f>$BD8-$BD9</f>
        <v/>
      </c>
      <c r="DR8" s="56">
        <f>$BE8-$BE9</f>
        <v/>
      </c>
      <c r="DS8" s="56">
        <f>$BF8-$BF9</f>
        <v/>
      </c>
      <c r="DT8" s="56">
        <f>$BG8-$BG9</f>
        <v/>
      </c>
      <c r="DU8" s="56">
        <f>$BH8-$BH9</f>
        <v/>
      </c>
      <c r="DV8" s="56">
        <f>$BI8-$BI9</f>
        <v/>
      </c>
      <c r="DW8" s="56">
        <f>$BJ8-$BJ9</f>
        <v/>
      </c>
      <c r="DX8" s="56">
        <f>$BK8-$BK9</f>
        <v/>
      </c>
      <c r="DY8" s="56">
        <f>$BL8-$BL9</f>
        <v/>
      </c>
      <c r="DZ8" s="56">
        <f>$BM8-$BM9</f>
        <v/>
      </c>
      <c r="EA8" s="56">
        <f>$BN8-$BN9</f>
        <v/>
      </c>
      <c r="EB8" s="56">
        <f>$BO8-$BO9</f>
        <v/>
      </c>
      <c r="EC8" s="56">
        <f>$BP8-$BP9</f>
        <v/>
      </c>
      <c r="ED8" s="56">
        <f>$BQ8-$BQ9</f>
        <v/>
      </c>
      <c r="EE8" s="56">
        <f>$BR8-$BR9</f>
        <v/>
      </c>
      <c r="EF8" s="56">
        <f>$BS8-$BS9</f>
        <v/>
      </c>
      <c r="EG8" s="56">
        <f>$BT8-$BT9</f>
        <v/>
      </c>
      <c r="EH8" s="56">
        <f>$BU8-$BU9</f>
        <v/>
      </c>
    </row>
    <row r="9">
      <c r="BV9" s="56">
        <f>($D9-$D10)*100</f>
        <v/>
      </c>
      <c r="BW9" s="56">
        <f>($C9-$C10)*100</f>
        <v/>
      </c>
      <c r="BX9" s="57">
        <f>IFERROR($I9/$I10-1,"")</f>
        <v/>
      </c>
      <c r="BY9" s="56">
        <f>($AF9-$AF10)*100</f>
        <v/>
      </c>
      <c r="BZ9" s="56">
        <f>($AG9-$AG10)*100</f>
        <v/>
      </c>
      <c r="CA9" s="56">
        <f>($AH9-$AH10)*100</f>
        <v/>
      </c>
      <c r="CB9" s="56">
        <f>($AI9-$AI10)*100</f>
        <v/>
      </c>
      <c r="CC9" s="56">
        <f>($AJ9-$AJ10)*100</f>
        <v/>
      </c>
      <c r="CD9" s="56">
        <f>($AK9-$AK10)*100</f>
        <v/>
      </c>
      <c r="CE9" s="56">
        <f>($AL9-$AL10)*100</f>
        <v/>
      </c>
      <c r="CF9" s="56">
        <f>($AM9-$AM10)*100</f>
        <v/>
      </c>
      <c r="CG9" s="56">
        <f>($AN9-$AN10)*100</f>
        <v/>
      </c>
      <c r="CH9" s="56">
        <f>($AO9-$AO10)*100</f>
        <v/>
      </c>
      <c r="CI9" s="56">
        <f>($AP9-$AP10)*100</f>
        <v/>
      </c>
      <c r="CJ9" s="56">
        <f>($AQ9-$AQ10)*100</f>
        <v/>
      </c>
      <c r="CK9" s="56">
        <f>($AR9-$AR10)*100</f>
        <v/>
      </c>
      <c r="CL9" s="56">
        <f>($AS9-$AS10)*100</f>
        <v/>
      </c>
      <c r="CM9" s="56">
        <f>($AT9-$AT10)*100</f>
        <v/>
      </c>
      <c r="CN9" s="56">
        <f>($AU9-$AU10)*100</f>
        <v/>
      </c>
      <c r="CO9" s="56">
        <f>($AV9-$AV10)*100</f>
        <v/>
      </c>
      <c r="CP9" s="56">
        <f>($AW9-$AW10)*100</f>
        <v/>
      </c>
      <c r="CQ9" s="56">
        <f>($AX9-$AX10)*100</f>
        <v/>
      </c>
      <c r="CR9" s="56">
        <f>($AY9-$AY10)*100</f>
        <v/>
      </c>
      <c r="CS9" s="57">
        <f>IFERROR($L10/$L9-1,"")</f>
        <v/>
      </c>
      <c r="CT9" s="57">
        <f>IFERROR($M10/$M9-1,"")</f>
        <v/>
      </c>
      <c r="CU9" s="57">
        <f>IFERROR($N10/$N9-1,"")</f>
        <v/>
      </c>
      <c r="CV9" s="57">
        <f>IFERROR($O10/$O9-1,"")</f>
        <v/>
      </c>
      <c r="CW9" s="57">
        <f>IFERROR($P10/$P9-1,"")</f>
        <v/>
      </c>
      <c r="CX9" s="57">
        <f>IFERROR($Q10/$Q9-1,"")</f>
        <v/>
      </c>
      <c r="CY9" s="57">
        <f>IFERROR($R10/$R9-1,"")</f>
        <v/>
      </c>
      <c r="CZ9" s="57">
        <f>IFERROR($S10/$S9-1,"")</f>
        <v/>
      </c>
      <c r="DA9" s="57">
        <f>IFERROR($T10/$T9-1,"")</f>
        <v/>
      </c>
      <c r="DB9" s="57">
        <f>IFERROR($U10/$U9-1,"")</f>
        <v/>
      </c>
      <c r="DC9" s="57">
        <f>IFERROR($V10/$V9-1,"")</f>
        <v/>
      </c>
      <c r="DD9" s="57">
        <f>IFERROR($W10/$W9-1,"")</f>
        <v/>
      </c>
      <c r="DE9" s="57">
        <f>IFERROR($X10/$X9-1,"")</f>
        <v/>
      </c>
      <c r="DF9" s="57">
        <f>IFERROR($Y10/$Y9-1,"")</f>
        <v/>
      </c>
      <c r="DG9" s="57">
        <f>IFERROR($Z10/$Z9-1,"")</f>
        <v/>
      </c>
      <c r="DH9" s="57">
        <f>IFERROR($AA10/$AA9-1,"")</f>
        <v/>
      </c>
      <c r="DI9" s="57">
        <f>IFERROR($AB10/$AB9-1,"")</f>
        <v/>
      </c>
      <c r="DJ9" s="57">
        <f>IFERROR($AC10/$AC9-1,"")</f>
        <v/>
      </c>
      <c r="DK9" s="57">
        <f>IFERROR($AD10/$AD9-1,"")</f>
        <v/>
      </c>
      <c r="DL9" s="57">
        <f>IFERROR($AE10/$AE9-1,"")</f>
        <v/>
      </c>
      <c r="DM9" s="56">
        <f>$AZ9-$AZ10</f>
        <v/>
      </c>
      <c r="DN9" s="56">
        <f>$BA9-$BA10</f>
        <v/>
      </c>
      <c r="DO9" s="56">
        <f>$BB9-$BB10</f>
        <v/>
      </c>
      <c r="DP9" s="56">
        <f>$BC9-$BC10</f>
        <v/>
      </c>
      <c r="DQ9" s="56">
        <f>$BD9-$BD10</f>
        <v/>
      </c>
      <c r="DR9" s="56">
        <f>$BE9-$BE10</f>
        <v/>
      </c>
      <c r="DS9" s="56">
        <f>$BF9-$BF10</f>
        <v/>
      </c>
      <c r="DT9" s="56">
        <f>$BG9-$BG10</f>
        <v/>
      </c>
      <c r="DU9" s="56">
        <f>$BH9-$BH10</f>
        <v/>
      </c>
      <c r="DV9" s="56">
        <f>$BI9-$BI10</f>
        <v/>
      </c>
      <c r="DW9" s="56">
        <f>$BJ9-$BJ10</f>
        <v/>
      </c>
      <c r="DX9" s="56">
        <f>$BK9-$BK10</f>
        <v/>
      </c>
      <c r="DY9" s="56">
        <f>$BL9-$BL10</f>
        <v/>
      </c>
      <c r="DZ9" s="56">
        <f>$BM9-$BM10</f>
        <v/>
      </c>
      <c r="EA9" s="56">
        <f>$BN9-$BN10</f>
        <v/>
      </c>
      <c r="EB9" s="56">
        <f>$BO9-$BO10</f>
        <v/>
      </c>
      <c r="EC9" s="56">
        <f>$BP9-$BP10</f>
        <v/>
      </c>
      <c r="ED9" s="56">
        <f>$BQ9-$BQ10</f>
        <v/>
      </c>
      <c r="EE9" s="56">
        <f>$BR9-$BR10</f>
        <v/>
      </c>
      <c r="EF9" s="56">
        <f>$BS9-$BS10</f>
        <v/>
      </c>
      <c r="EG9" s="56">
        <f>$BT9-$BT10</f>
        <v/>
      </c>
      <c r="EH9" s="56">
        <f>$BU9-$BU10</f>
        <v/>
      </c>
    </row>
    <row r="10">
      <c r="BV10" s="56">
        <f>($D10-$D11)*100</f>
        <v/>
      </c>
      <c r="BW10" s="56">
        <f>($C10-$C11)*100</f>
        <v/>
      </c>
      <c r="BX10" s="57">
        <f>IFERROR($I10/$I11-1,"")</f>
        <v/>
      </c>
      <c r="BY10" s="56">
        <f>($AF10-$AF11)*100</f>
        <v/>
      </c>
      <c r="BZ10" s="56">
        <f>($AG10-$AG11)*100</f>
        <v/>
      </c>
      <c r="CA10" s="56">
        <f>($AH10-$AH11)*100</f>
        <v/>
      </c>
      <c r="CB10" s="56">
        <f>($AI10-$AI11)*100</f>
        <v/>
      </c>
      <c r="CC10" s="56">
        <f>($AJ10-$AJ11)*100</f>
        <v/>
      </c>
      <c r="CD10" s="56">
        <f>($AK10-$AK11)*100</f>
        <v/>
      </c>
      <c r="CE10" s="56">
        <f>($AL10-$AL11)*100</f>
        <v/>
      </c>
      <c r="CF10" s="56">
        <f>($AM10-$AM11)*100</f>
        <v/>
      </c>
      <c r="CG10" s="56">
        <f>($AN10-$AN11)*100</f>
        <v/>
      </c>
      <c r="CH10" s="56">
        <f>($AO10-$AO11)*100</f>
        <v/>
      </c>
      <c r="CI10" s="56">
        <f>($AP10-$AP11)*100</f>
        <v/>
      </c>
      <c r="CJ10" s="56">
        <f>($AQ10-$AQ11)*100</f>
        <v/>
      </c>
      <c r="CK10" s="56">
        <f>($AR10-$AR11)*100</f>
        <v/>
      </c>
      <c r="CL10" s="56">
        <f>($AS10-$AS11)*100</f>
        <v/>
      </c>
      <c r="CM10" s="56">
        <f>($AT10-$AT11)*100</f>
        <v/>
      </c>
      <c r="CN10" s="56">
        <f>($AU10-$AU11)*100</f>
        <v/>
      </c>
      <c r="CO10" s="56">
        <f>($AV10-$AV11)*100</f>
        <v/>
      </c>
      <c r="CP10" s="56">
        <f>($AW10-$AW11)*100</f>
        <v/>
      </c>
      <c r="CQ10" s="56">
        <f>($AX10-$AX11)*100</f>
        <v/>
      </c>
      <c r="CR10" s="56">
        <f>($AY10-$AY11)*100</f>
        <v/>
      </c>
      <c r="CS10" s="57">
        <f>IFERROR($L11/$L10-1,"")</f>
        <v/>
      </c>
      <c r="CT10" s="57">
        <f>IFERROR($M11/$M10-1,"")</f>
        <v/>
      </c>
      <c r="CU10" s="57">
        <f>IFERROR($N11/$N10-1,"")</f>
        <v/>
      </c>
      <c r="CV10" s="57">
        <f>IFERROR($O11/$O10-1,"")</f>
        <v/>
      </c>
      <c r="CW10" s="57">
        <f>IFERROR($P11/$P10-1,"")</f>
        <v/>
      </c>
      <c r="CX10" s="57">
        <f>IFERROR($Q11/$Q10-1,"")</f>
        <v/>
      </c>
      <c r="CY10" s="57">
        <f>IFERROR($R11/$R10-1,"")</f>
        <v/>
      </c>
      <c r="CZ10" s="57">
        <f>IFERROR($S11/$S10-1,"")</f>
        <v/>
      </c>
      <c r="DA10" s="57">
        <f>IFERROR($T11/$T10-1,"")</f>
        <v/>
      </c>
      <c r="DB10" s="57">
        <f>IFERROR($U11/$U10-1,"")</f>
        <v/>
      </c>
      <c r="DC10" s="57">
        <f>IFERROR($V11/$V10-1,"")</f>
        <v/>
      </c>
      <c r="DD10" s="57">
        <f>IFERROR($W11/$W10-1,"")</f>
        <v/>
      </c>
      <c r="DE10" s="57">
        <f>IFERROR($X11/$X10-1,"")</f>
        <v/>
      </c>
      <c r="DF10" s="57">
        <f>IFERROR($Y11/$Y10-1,"")</f>
        <v/>
      </c>
      <c r="DG10" s="57">
        <f>IFERROR($Z11/$Z10-1,"")</f>
        <v/>
      </c>
      <c r="DH10" s="57">
        <f>IFERROR($AA11/$AA10-1,"")</f>
        <v/>
      </c>
      <c r="DI10" s="57">
        <f>IFERROR($AB11/$AB10-1,"")</f>
        <v/>
      </c>
      <c r="DJ10" s="57">
        <f>IFERROR($AC11/$AC10-1,"")</f>
        <v/>
      </c>
      <c r="DK10" s="57">
        <f>IFERROR($AD11/$AD10-1,"")</f>
        <v/>
      </c>
      <c r="DL10" s="57">
        <f>IFERROR($AE11/$AE10-1,"")</f>
        <v/>
      </c>
      <c r="DM10" s="56">
        <f>$AZ10-$AZ11</f>
        <v/>
      </c>
      <c r="DN10" s="56">
        <f>$BA10-$BA11</f>
        <v/>
      </c>
      <c r="DO10" s="56">
        <f>$BB10-$BB11</f>
        <v/>
      </c>
      <c r="DP10" s="56">
        <f>$BC10-$BC11</f>
        <v/>
      </c>
      <c r="DQ10" s="56">
        <f>$BD10-$BD11</f>
        <v/>
      </c>
      <c r="DR10" s="56">
        <f>$BE10-$BE11</f>
        <v/>
      </c>
      <c r="DS10" s="56">
        <f>$BF10-$BF11</f>
        <v/>
      </c>
      <c r="DT10" s="56">
        <f>$BG10-$BG11</f>
        <v/>
      </c>
      <c r="DU10" s="56">
        <f>$BH10-$BH11</f>
        <v/>
      </c>
      <c r="DV10" s="56">
        <f>$BI10-$BI11</f>
        <v/>
      </c>
      <c r="DW10" s="56">
        <f>$BJ10-$BJ11</f>
        <v/>
      </c>
      <c r="DX10" s="56">
        <f>$BK10-$BK11</f>
        <v/>
      </c>
      <c r="DY10" s="56">
        <f>$BL10-$BL11</f>
        <v/>
      </c>
      <c r="DZ10" s="56">
        <f>$BM10-$BM11</f>
        <v/>
      </c>
      <c r="EA10" s="56">
        <f>$BN10-$BN11</f>
        <v/>
      </c>
      <c r="EB10" s="56">
        <f>$BO10-$BO11</f>
        <v/>
      </c>
      <c r="EC10" s="56">
        <f>$BP10-$BP11</f>
        <v/>
      </c>
      <c r="ED10" s="56">
        <f>$BQ10-$BQ11</f>
        <v/>
      </c>
      <c r="EE10" s="56">
        <f>$BR10-$BR11</f>
        <v/>
      </c>
      <c r="EF10" s="56">
        <f>$BS10-$BS11</f>
        <v/>
      </c>
      <c r="EG10" s="56">
        <f>$BT10-$BT11</f>
        <v/>
      </c>
      <c r="EH10" s="56">
        <f>$BU10-$BU11</f>
        <v/>
      </c>
    </row>
    <row r="11">
      <c r="BV11" s="56">
        <f>($D11-$D12)*100</f>
        <v/>
      </c>
      <c r="BW11" s="56">
        <f>($C11-$C12)*100</f>
        <v/>
      </c>
      <c r="BX11" s="57">
        <f>IFERROR($I11/$I12-1,"")</f>
        <v/>
      </c>
      <c r="BY11" s="56">
        <f>($AF11-$AF12)*100</f>
        <v/>
      </c>
      <c r="BZ11" s="56">
        <f>($AG11-$AG12)*100</f>
        <v/>
      </c>
      <c r="CA11" s="56">
        <f>($AH11-$AH12)*100</f>
        <v/>
      </c>
      <c r="CB11" s="56">
        <f>($AI11-$AI12)*100</f>
        <v/>
      </c>
      <c r="CC11" s="56">
        <f>($AJ11-$AJ12)*100</f>
        <v/>
      </c>
      <c r="CD11" s="56">
        <f>($AK11-$AK12)*100</f>
        <v/>
      </c>
      <c r="CE11" s="56">
        <f>($AL11-$AL12)*100</f>
        <v/>
      </c>
      <c r="CF11" s="56">
        <f>($AM11-$AM12)*100</f>
        <v/>
      </c>
      <c r="CG11" s="56">
        <f>($AN11-$AN12)*100</f>
        <v/>
      </c>
      <c r="CH11" s="56">
        <f>($AO11-$AO12)*100</f>
        <v/>
      </c>
      <c r="CI11" s="56">
        <f>($AP11-$AP12)*100</f>
        <v/>
      </c>
      <c r="CJ11" s="56">
        <f>($AQ11-$AQ12)*100</f>
        <v/>
      </c>
      <c r="CK11" s="56">
        <f>($AR11-$AR12)*100</f>
        <v/>
      </c>
      <c r="CL11" s="56">
        <f>($AS11-$AS12)*100</f>
        <v/>
      </c>
      <c r="CM11" s="56">
        <f>($AT11-$AT12)*100</f>
        <v/>
      </c>
      <c r="CN11" s="56">
        <f>($AU11-$AU12)*100</f>
        <v/>
      </c>
      <c r="CO11" s="56">
        <f>($AV11-$AV12)*100</f>
        <v/>
      </c>
      <c r="CP11" s="56">
        <f>($AW11-$AW12)*100</f>
        <v/>
      </c>
      <c r="CQ11" s="56">
        <f>($AX11-$AX12)*100</f>
        <v/>
      </c>
      <c r="CR11" s="56">
        <f>($AY11-$AY12)*100</f>
        <v/>
      </c>
      <c r="CS11" s="57">
        <f>IFERROR($L12/$L11-1,"")</f>
        <v/>
      </c>
      <c r="CT11" s="57">
        <f>IFERROR($M12/$M11-1,"")</f>
        <v/>
      </c>
      <c r="CU11" s="57">
        <f>IFERROR($N12/$N11-1,"")</f>
        <v/>
      </c>
      <c r="CV11" s="57">
        <f>IFERROR($O12/$O11-1,"")</f>
        <v/>
      </c>
      <c r="CW11" s="57">
        <f>IFERROR($P12/$P11-1,"")</f>
        <v/>
      </c>
      <c r="CX11" s="57">
        <f>IFERROR($Q12/$Q11-1,"")</f>
        <v/>
      </c>
      <c r="CY11" s="57">
        <f>IFERROR($R12/$R11-1,"")</f>
        <v/>
      </c>
      <c r="CZ11" s="57">
        <f>IFERROR($S12/$S11-1,"")</f>
        <v/>
      </c>
      <c r="DA11" s="57">
        <f>IFERROR($T12/$T11-1,"")</f>
        <v/>
      </c>
      <c r="DB11" s="57">
        <f>IFERROR($U12/$U11-1,"")</f>
        <v/>
      </c>
      <c r="DC11" s="57">
        <f>IFERROR($V12/$V11-1,"")</f>
        <v/>
      </c>
      <c r="DD11" s="57">
        <f>IFERROR($W12/$W11-1,"")</f>
        <v/>
      </c>
      <c r="DE11" s="57">
        <f>IFERROR($X12/$X11-1,"")</f>
        <v/>
      </c>
      <c r="DF11" s="57">
        <f>IFERROR($Y12/$Y11-1,"")</f>
        <v/>
      </c>
      <c r="DG11" s="57">
        <f>IFERROR($Z12/$Z11-1,"")</f>
        <v/>
      </c>
      <c r="DH11" s="57">
        <f>IFERROR($AA12/$AA11-1,"")</f>
        <v/>
      </c>
      <c r="DI11" s="57">
        <f>IFERROR($AB12/$AB11-1,"")</f>
        <v/>
      </c>
      <c r="DJ11" s="57">
        <f>IFERROR($AC12/$AC11-1,"")</f>
        <v/>
      </c>
      <c r="DK11" s="57">
        <f>IFERROR($AD12/$AD11-1,"")</f>
        <v/>
      </c>
      <c r="DL11" s="57">
        <f>IFERROR($AE12/$AE11-1,"")</f>
        <v/>
      </c>
      <c r="DM11" s="56">
        <f>$AZ11-$AZ12</f>
        <v/>
      </c>
      <c r="DN11" s="56">
        <f>$BA11-$BA12</f>
        <v/>
      </c>
      <c r="DO11" s="56">
        <f>$BB11-$BB12</f>
        <v/>
      </c>
      <c r="DP11" s="56">
        <f>$BC11-$BC12</f>
        <v/>
      </c>
      <c r="DQ11" s="56">
        <f>$BD11-$BD12</f>
        <v/>
      </c>
      <c r="DR11" s="56">
        <f>$BE11-$BE12</f>
        <v/>
      </c>
      <c r="DS11" s="56">
        <f>$BF11-$BF12</f>
        <v/>
      </c>
      <c r="DT11" s="56">
        <f>$BG11-$BG12</f>
        <v/>
      </c>
      <c r="DU11" s="56">
        <f>$BH11-$BH12</f>
        <v/>
      </c>
      <c r="DV11" s="56">
        <f>$BI11-$BI12</f>
        <v/>
      </c>
      <c r="DW11" s="56">
        <f>$BJ11-$BJ12</f>
        <v/>
      </c>
      <c r="DX11" s="56">
        <f>$BK11-$BK12</f>
        <v/>
      </c>
      <c r="DY11" s="56">
        <f>$BL11-$BL12</f>
        <v/>
      </c>
      <c r="DZ11" s="56">
        <f>$BM11-$BM12</f>
        <v/>
      </c>
      <c r="EA11" s="56">
        <f>$BN11-$BN12</f>
        <v/>
      </c>
      <c r="EB11" s="56">
        <f>$BO11-$BO12</f>
        <v/>
      </c>
      <c r="EC11" s="56">
        <f>$BP11-$BP12</f>
        <v/>
      </c>
      <c r="ED11" s="56">
        <f>$BQ11-$BQ12</f>
        <v/>
      </c>
      <c r="EE11" s="56">
        <f>$BR11-$BR12</f>
        <v/>
      </c>
      <c r="EF11" s="56">
        <f>$BS11-$BS12</f>
        <v/>
      </c>
      <c r="EG11" s="56">
        <f>$BT11-$BT12</f>
        <v/>
      </c>
      <c r="EH11" s="56">
        <f>$BU11-$BU12</f>
        <v/>
      </c>
    </row>
    <row r="12">
      <c r="BV12" s="56">
        <f>($D12-$D13)*100</f>
        <v/>
      </c>
      <c r="BW12" s="56">
        <f>($C12-$C13)*100</f>
        <v/>
      </c>
      <c r="BX12" s="57">
        <f>IFERROR($I12/$I13-1,"")</f>
        <v/>
      </c>
      <c r="BY12" s="56">
        <f>($AF12-$AF13)*100</f>
        <v/>
      </c>
      <c r="BZ12" s="56">
        <f>($AG12-$AG13)*100</f>
        <v/>
      </c>
      <c r="CA12" s="56">
        <f>($AH12-$AH13)*100</f>
        <v/>
      </c>
      <c r="CB12" s="56">
        <f>($AI12-$AI13)*100</f>
        <v/>
      </c>
      <c r="CC12" s="56">
        <f>($AJ12-$AJ13)*100</f>
        <v/>
      </c>
      <c r="CD12" s="56">
        <f>($AK12-$AK13)*100</f>
        <v/>
      </c>
      <c r="CE12" s="56">
        <f>($AL12-$AL13)*100</f>
        <v/>
      </c>
      <c r="CF12" s="56">
        <f>($AM12-$AM13)*100</f>
        <v/>
      </c>
      <c r="CG12" s="56">
        <f>($AN12-$AN13)*100</f>
        <v/>
      </c>
      <c r="CH12" s="56">
        <f>($AO12-$AO13)*100</f>
        <v/>
      </c>
      <c r="CI12" s="56">
        <f>($AP12-$AP13)*100</f>
        <v/>
      </c>
      <c r="CJ12" s="56">
        <f>($AQ12-$AQ13)*100</f>
        <v/>
      </c>
      <c r="CK12" s="56">
        <f>($AR12-$AR13)*100</f>
        <v/>
      </c>
      <c r="CL12" s="56">
        <f>($AS12-$AS13)*100</f>
        <v/>
      </c>
      <c r="CM12" s="56">
        <f>($AT12-$AT13)*100</f>
        <v/>
      </c>
      <c r="CN12" s="56">
        <f>($AU12-$AU13)*100</f>
        <v/>
      </c>
      <c r="CO12" s="56">
        <f>($AV12-$AV13)*100</f>
        <v/>
      </c>
      <c r="CP12" s="56">
        <f>($AW12-$AW13)*100</f>
        <v/>
      </c>
      <c r="CQ12" s="56">
        <f>($AX12-$AX13)*100</f>
        <v/>
      </c>
      <c r="CR12" s="56">
        <f>($AY12-$AY13)*100</f>
        <v/>
      </c>
      <c r="CS12" s="57">
        <f>IFERROR($L13/$L12-1,"")</f>
        <v/>
      </c>
      <c r="CT12" s="57">
        <f>IFERROR($M13/$M12-1,"")</f>
        <v/>
      </c>
      <c r="CU12" s="57">
        <f>IFERROR($N13/$N12-1,"")</f>
        <v/>
      </c>
      <c r="CV12" s="57">
        <f>IFERROR($O13/$O12-1,"")</f>
        <v/>
      </c>
      <c r="CW12" s="57">
        <f>IFERROR($P13/$P12-1,"")</f>
        <v/>
      </c>
      <c r="CX12" s="57">
        <f>IFERROR($Q13/$Q12-1,"")</f>
        <v/>
      </c>
      <c r="CY12" s="57">
        <f>IFERROR($R13/$R12-1,"")</f>
        <v/>
      </c>
      <c r="CZ12" s="57">
        <f>IFERROR($S13/$S12-1,"")</f>
        <v/>
      </c>
      <c r="DA12" s="57">
        <f>IFERROR($T13/$T12-1,"")</f>
        <v/>
      </c>
      <c r="DB12" s="57">
        <f>IFERROR($U13/$U12-1,"")</f>
        <v/>
      </c>
      <c r="DC12" s="57">
        <f>IFERROR($V13/$V12-1,"")</f>
        <v/>
      </c>
      <c r="DD12" s="57">
        <f>IFERROR($W13/$W12-1,"")</f>
        <v/>
      </c>
      <c r="DE12" s="57">
        <f>IFERROR($X13/$X12-1,"")</f>
        <v/>
      </c>
      <c r="DF12" s="57">
        <f>IFERROR($Y13/$Y12-1,"")</f>
        <v/>
      </c>
      <c r="DG12" s="57">
        <f>IFERROR($Z13/$Z12-1,"")</f>
        <v/>
      </c>
      <c r="DH12" s="57">
        <f>IFERROR($AA13/$AA12-1,"")</f>
        <v/>
      </c>
      <c r="DI12" s="57">
        <f>IFERROR($AB13/$AB12-1,"")</f>
        <v/>
      </c>
      <c r="DJ12" s="57">
        <f>IFERROR($AC13/$AC12-1,"")</f>
        <v/>
      </c>
      <c r="DK12" s="57">
        <f>IFERROR($AD13/$AD12-1,"")</f>
        <v/>
      </c>
      <c r="DL12" s="57">
        <f>IFERROR($AE13/$AE12-1,"")</f>
        <v/>
      </c>
      <c r="DM12" s="56">
        <f>$AZ12-$AZ13</f>
        <v/>
      </c>
      <c r="DN12" s="56">
        <f>$BA12-$BA13</f>
        <v/>
      </c>
      <c r="DO12" s="56">
        <f>$BB12-$BB13</f>
        <v/>
      </c>
      <c r="DP12" s="56">
        <f>$BC12-$BC13</f>
        <v/>
      </c>
      <c r="DQ12" s="56">
        <f>$BD12-$BD13</f>
        <v/>
      </c>
      <c r="DR12" s="56">
        <f>$BE12-$BE13</f>
        <v/>
      </c>
      <c r="DS12" s="56">
        <f>$BF12-$BF13</f>
        <v/>
      </c>
      <c r="DT12" s="56">
        <f>$BG12-$BG13</f>
        <v/>
      </c>
      <c r="DU12" s="56">
        <f>$BH12-$BH13</f>
        <v/>
      </c>
      <c r="DV12" s="56">
        <f>$BI12-$BI13</f>
        <v/>
      </c>
      <c r="DW12" s="56">
        <f>$BJ12-$BJ13</f>
        <v/>
      </c>
      <c r="DX12" s="56">
        <f>$BK12-$BK13</f>
        <v/>
      </c>
      <c r="DY12" s="56">
        <f>$BL12-$BL13</f>
        <v/>
      </c>
      <c r="DZ12" s="56">
        <f>$BM12-$BM13</f>
        <v/>
      </c>
      <c r="EA12" s="56">
        <f>$BN12-$BN13</f>
        <v/>
      </c>
      <c r="EB12" s="56">
        <f>$BO12-$BO13</f>
        <v/>
      </c>
      <c r="EC12" s="56">
        <f>$BP12-$BP13</f>
        <v/>
      </c>
      <c r="ED12" s="56">
        <f>$BQ12-$BQ13</f>
        <v/>
      </c>
      <c r="EE12" s="56">
        <f>$BR12-$BR13</f>
        <v/>
      </c>
      <c r="EF12" s="56">
        <f>$BS12-$BS13</f>
        <v/>
      </c>
      <c r="EG12" s="56">
        <f>$BT12-$BT13</f>
        <v/>
      </c>
      <c r="EH12" s="56">
        <f>$BU12-$BU13</f>
        <v/>
      </c>
    </row>
    <row r="13">
      <c r="BV13" s="56">
        <f>($D13-$D14)*100</f>
        <v/>
      </c>
      <c r="BW13" s="56">
        <f>($C13-$C14)*100</f>
        <v/>
      </c>
      <c r="BX13" s="57">
        <f>IFERROR($I13/$I14-1,"")</f>
        <v/>
      </c>
      <c r="BY13" s="56">
        <f>($AF13-$AF14)*100</f>
        <v/>
      </c>
      <c r="BZ13" s="56">
        <f>($AG13-$AG14)*100</f>
        <v/>
      </c>
      <c r="CA13" s="56">
        <f>($AH13-$AH14)*100</f>
        <v/>
      </c>
      <c r="CB13" s="56">
        <f>($AI13-$AI14)*100</f>
        <v/>
      </c>
      <c r="CC13" s="56">
        <f>($AJ13-$AJ14)*100</f>
        <v/>
      </c>
      <c r="CD13" s="56">
        <f>($AK13-$AK14)*100</f>
        <v/>
      </c>
      <c r="CE13" s="56">
        <f>($AL13-$AL14)*100</f>
        <v/>
      </c>
      <c r="CF13" s="56">
        <f>($AM13-$AM14)*100</f>
        <v/>
      </c>
      <c r="CG13" s="56">
        <f>($AN13-$AN14)*100</f>
        <v/>
      </c>
      <c r="CH13" s="56">
        <f>($AO13-$AO14)*100</f>
        <v/>
      </c>
      <c r="CI13" s="56">
        <f>($AP13-$AP14)*100</f>
        <v/>
      </c>
      <c r="CJ13" s="56">
        <f>($AQ13-$AQ14)*100</f>
        <v/>
      </c>
      <c r="CK13" s="56">
        <f>($AR13-$AR14)*100</f>
        <v/>
      </c>
      <c r="CL13" s="56">
        <f>($AS13-$AS14)*100</f>
        <v/>
      </c>
      <c r="CM13" s="56">
        <f>($AT13-$AT14)*100</f>
        <v/>
      </c>
      <c r="CN13" s="56">
        <f>($AU13-$AU14)*100</f>
        <v/>
      </c>
      <c r="CO13" s="56">
        <f>($AV13-$AV14)*100</f>
        <v/>
      </c>
      <c r="CP13" s="56">
        <f>($AW13-$AW14)*100</f>
        <v/>
      </c>
      <c r="CQ13" s="56">
        <f>($AX13-$AX14)*100</f>
        <v/>
      </c>
      <c r="CR13" s="56">
        <f>($AY13-$AY14)*100</f>
        <v/>
      </c>
      <c r="CS13" s="57">
        <f>IFERROR($L14/$L13-1,"")</f>
        <v/>
      </c>
      <c r="CT13" s="57">
        <f>IFERROR($M14/$M13-1,"")</f>
        <v/>
      </c>
      <c r="CU13" s="57">
        <f>IFERROR($N14/$N13-1,"")</f>
        <v/>
      </c>
      <c r="CV13" s="57">
        <f>IFERROR($O14/$O13-1,"")</f>
        <v/>
      </c>
      <c r="CW13" s="57">
        <f>IFERROR($P14/$P13-1,"")</f>
        <v/>
      </c>
      <c r="CX13" s="57">
        <f>IFERROR($Q14/$Q13-1,"")</f>
        <v/>
      </c>
      <c r="CY13" s="57">
        <f>IFERROR($R14/$R13-1,"")</f>
        <v/>
      </c>
      <c r="CZ13" s="57">
        <f>IFERROR($S14/$S13-1,"")</f>
        <v/>
      </c>
      <c r="DA13" s="57">
        <f>IFERROR($T14/$T13-1,"")</f>
        <v/>
      </c>
      <c r="DB13" s="57">
        <f>IFERROR($U14/$U13-1,"")</f>
        <v/>
      </c>
      <c r="DC13" s="57">
        <f>IFERROR($V14/$V13-1,"")</f>
        <v/>
      </c>
      <c r="DD13" s="57">
        <f>IFERROR($W14/$W13-1,"")</f>
        <v/>
      </c>
      <c r="DE13" s="57">
        <f>IFERROR($X14/$X13-1,"")</f>
        <v/>
      </c>
      <c r="DF13" s="57">
        <f>IFERROR($Y14/$Y13-1,"")</f>
        <v/>
      </c>
      <c r="DG13" s="57">
        <f>IFERROR($Z14/$Z13-1,"")</f>
        <v/>
      </c>
      <c r="DH13" s="57">
        <f>IFERROR($AA14/$AA13-1,"")</f>
        <v/>
      </c>
      <c r="DI13" s="57">
        <f>IFERROR($AB14/$AB13-1,"")</f>
        <v/>
      </c>
      <c r="DJ13" s="57">
        <f>IFERROR($AC14/$AC13-1,"")</f>
        <v/>
      </c>
      <c r="DK13" s="57">
        <f>IFERROR($AD14/$AD13-1,"")</f>
        <v/>
      </c>
      <c r="DL13" s="57">
        <f>IFERROR($AE14/$AE13-1,"")</f>
        <v/>
      </c>
      <c r="DM13" s="56">
        <f>$AZ13-$AZ14</f>
        <v/>
      </c>
      <c r="DN13" s="56">
        <f>$BA13-$BA14</f>
        <v/>
      </c>
      <c r="DO13" s="56">
        <f>$BB13-$BB14</f>
        <v/>
      </c>
      <c r="DP13" s="56">
        <f>$BC13-$BC14</f>
        <v/>
      </c>
      <c r="DQ13" s="56">
        <f>$BD13-$BD14</f>
        <v/>
      </c>
      <c r="DR13" s="56">
        <f>$BE13-$BE14</f>
        <v/>
      </c>
      <c r="DS13" s="56">
        <f>$BF13-$BF14</f>
        <v/>
      </c>
      <c r="DT13" s="56">
        <f>$BG13-$BG14</f>
        <v/>
      </c>
      <c r="DU13" s="56">
        <f>$BH13-$BH14</f>
        <v/>
      </c>
      <c r="DV13" s="56">
        <f>$BI13-$BI14</f>
        <v/>
      </c>
      <c r="DW13" s="56">
        <f>$BJ13-$BJ14</f>
        <v/>
      </c>
      <c r="DX13" s="56">
        <f>$BK13-$BK14</f>
        <v/>
      </c>
      <c r="DY13" s="56">
        <f>$BL13-$BL14</f>
        <v/>
      </c>
      <c r="DZ13" s="56">
        <f>$BM13-$BM14</f>
        <v/>
      </c>
      <c r="EA13" s="56">
        <f>$BN13-$BN14</f>
        <v/>
      </c>
      <c r="EB13" s="56">
        <f>$BO13-$BO14</f>
        <v/>
      </c>
      <c r="EC13" s="56">
        <f>$BP13-$BP14</f>
        <v/>
      </c>
      <c r="ED13" s="56">
        <f>$BQ13-$BQ14</f>
        <v/>
      </c>
      <c r="EE13" s="56">
        <f>$BR13-$BR14</f>
        <v/>
      </c>
      <c r="EF13" s="56">
        <f>$BS13-$BS14</f>
        <v/>
      </c>
      <c r="EG13" s="56">
        <f>$BT13-$BT14</f>
        <v/>
      </c>
      <c r="EH13" s="56">
        <f>$BU13-$BU14</f>
        <v/>
      </c>
    </row>
    <row r="14">
      <c r="BV14" s="56">
        <f>($D14-$D15)*100</f>
        <v/>
      </c>
      <c r="BW14" s="56">
        <f>($C14-$C15)*100</f>
        <v/>
      </c>
      <c r="BX14" s="57">
        <f>IFERROR($I14/$I15-1,"")</f>
        <v/>
      </c>
      <c r="BY14" s="56">
        <f>($AF14-$AF15)*100</f>
        <v/>
      </c>
      <c r="BZ14" s="56">
        <f>($AG14-$AG15)*100</f>
        <v/>
      </c>
      <c r="CA14" s="56">
        <f>($AH14-$AH15)*100</f>
        <v/>
      </c>
      <c r="CB14" s="56">
        <f>($AI14-$AI15)*100</f>
        <v/>
      </c>
      <c r="CC14" s="56">
        <f>($AJ14-$AJ15)*100</f>
        <v/>
      </c>
      <c r="CD14" s="56">
        <f>($AK14-$AK15)*100</f>
        <v/>
      </c>
      <c r="CE14" s="56">
        <f>($AL14-$AL15)*100</f>
        <v/>
      </c>
      <c r="CF14" s="56">
        <f>($AM14-$AM15)*100</f>
        <v/>
      </c>
      <c r="CG14" s="56">
        <f>($AN14-$AN15)*100</f>
        <v/>
      </c>
      <c r="CH14" s="56">
        <f>($AO14-$AO15)*100</f>
        <v/>
      </c>
      <c r="CI14" s="56">
        <f>($AP14-$AP15)*100</f>
        <v/>
      </c>
      <c r="CJ14" s="56">
        <f>($AQ14-$AQ15)*100</f>
        <v/>
      </c>
      <c r="CK14" s="56">
        <f>($AR14-$AR15)*100</f>
        <v/>
      </c>
      <c r="CL14" s="56">
        <f>($AS14-$AS15)*100</f>
        <v/>
      </c>
      <c r="CM14" s="56">
        <f>($AT14-$AT15)*100</f>
        <v/>
      </c>
      <c r="CN14" s="56">
        <f>($AU14-$AU15)*100</f>
        <v/>
      </c>
      <c r="CO14" s="56">
        <f>($AV14-$AV15)*100</f>
        <v/>
      </c>
      <c r="CP14" s="56">
        <f>($AW14-$AW15)*100</f>
        <v/>
      </c>
      <c r="CQ14" s="56">
        <f>($AX14-$AX15)*100</f>
        <v/>
      </c>
      <c r="CR14" s="56">
        <f>($AY14-$AY15)*100</f>
        <v/>
      </c>
      <c r="CS14" s="57">
        <f>IFERROR($L15/$L14-1,"")</f>
        <v/>
      </c>
      <c r="CT14" s="57">
        <f>IFERROR($M15/$M14-1,"")</f>
        <v/>
      </c>
      <c r="CU14" s="57">
        <f>IFERROR($N15/$N14-1,"")</f>
        <v/>
      </c>
      <c r="CV14" s="57">
        <f>IFERROR($O15/$O14-1,"")</f>
        <v/>
      </c>
      <c r="CW14" s="57">
        <f>IFERROR($P15/$P14-1,"")</f>
        <v/>
      </c>
      <c r="CX14" s="57">
        <f>IFERROR($Q15/$Q14-1,"")</f>
        <v/>
      </c>
      <c r="CY14" s="57">
        <f>IFERROR($R15/$R14-1,"")</f>
        <v/>
      </c>
      <c r="CZ14" s="57">
        <f>IFERROR($S15/$S14-1,"")</f>
        <v/>
      </c>
      <c r="DA14" s="57">
        <f>IFERROR($T15/$T14-1,"")</f>
        <v/>
      </c>
      <c r="DB14" s="57">
        <f>IFERROR($U15/$U14-1,"")</f>
        <v/>
      </c>
      <c r="DC14" s="57">
        <f>IFERROR($V15/$V14-1,"")</f>
        <v/>
      </c>
      <c r="DD14" s="57">
        <f>IFERROR($W15/$W14-1,"")</f>
        <v/>
      </c>
      <c r="DE14" s="57">
        <f>IFERROR($X15/$X14-1,"")</f>
        <v/>
      </c>
      <c r="DF14" s="57">
        <f>IFERROR($Y15/$Y14-1,"")</f>
        <v/>
      </c>
      <c r="DG14" s="57">
        <f>IFERROR($Z15/$Z14-1,"")</f>
        <v/>
      </c>
      <c r="DH14" s="57">
        <f>IFERROR($AA15/$AA14-1,"")</f>
        <v/>
      </c>
      <c r="DI14" s="57">
        <f>IFERROR($AB15/$AB14-1,"")</f>
        <v/>
      </c>
      <c r="DJ14" s="57">
        <f>IFERROR($AC15/$AC14-1,"")</f>
        <v/>
      </c>
      <c r="DK14" s="57">
        <f>IFERROR($AD15/$AD14-1,"")</f>
        <v/>
      </c>
      <c r="DL14" s="57">
        <f>IFERROR($AE15/$AE14-1,"")</f>
        <v/>
      </c>
      <c r="DM14" s="56">
        <f>$AZ14-$AZ15</f>
        <v/>
      </c>
      <c r="DN14" s="56">
        <f>$BA14-$BA15</f>
        <v/>
      </c>
      <c r="DO14" s="56">
        <f>$BB14-$BB15</f>
        <v/>
      </c>
      <c r="DP14" s="56">
        <f>$BC14-$BC15</f>
        <v/>
      </c>
      <c r="DQ14" s="56">
        <f>$BD14-$BD15</f>
        <v/>
      </c>
      <c r="DR14" s="56">
        <f>$BE14-$BE15</f>
        <v/>
      </c>
      <c r="DS14" s="56">
        <f>$BF14-$BF15</f>
        <v/>
      </c>
      <c r="DT14" s="56">
        <f>$BG14-$BG15</f>
        <v/>
      </c>
      <c r="DU14" s="56">
        <f>$BH14-$BH15</f>
        <v/>
      </c>
      <c r="DV14" s="56">
        <f>$BI14-$BI15</f>
        <v/>
      </c>
      <c r="DW14" s="56">
        <f>$BJ14-$BJ15</f>
        <v/>
      </c>
      <c r="DX14" s="56">
        <f>$BK14-$BK15</f>
        <v/>
      </c>
      <c r="DY14" s="56">
        <f>$BL14-$BL15</f>
        <v/>
      </c>
      <c r="DZ14" s="56">
        <f>$BM14-$BM15</f>
        <v/>
      </c>
      <c r="EA14" s="56">
        <f>$BN14-$BN15</f>
        <v/>
      </c>
      <c r="EB14" s="56">
        <f>$BO14-$BO15</f>
        <v/>
      </c>
      <c r="EC14" s="56">
        <f>$BP14-$BP15</f>
        <v/>
      </c>
      <c r="ED14" s="56">
        <f>$BQ14-$BQ15</f>
        <v/>
      </c>
      <c r="EE14" s="56">
        <f>$BR14-$BR15</f>
        <v/>
      </c>
      <c r="EF14" s="56">
        <f>$BS14-$BS15</f>
        <v/>
      </c>
      <c r="EG14" s="56">
        <f>$BT14-$BT15</f>
        <v/>
      </c>
      <c r="EH14" s="56">
        <f>$BU14-$BU15</f>
        <v/>
      </c>
    </row>
    <row r="15">
      <c r="BV15" s="56">
        <f>($D15-$D16)*100</f>
        <v/>
      </c>
      <c r="BW15" s="56">
        <f>($C15-$C16)*100</f>
        <v/>
      </c>
      <c r="BX15" s="57">
        <f>IFERROR($I15/$I16-1,"")</f>
        <v/>
      </c>
      <c r="BY15" s="56">
        <f>($AF15-$AF16)*100</f>
        <v/>
      </c>
      <c r="BZ15" s="56">
        <f>($AG15-$AG16)*100</f>
        <v/>
      </c>
      <c r="CA15" s="56">
        <f>($AH15-$AH16)*100</f>
        <v/>
      </c>
      <c r="CB15" s="56">
        <f>($AI15-$AI16)*100</f>
        <v/>
      </c>
      <c r="CC15" s="56">
        <f>($AJ15-$AJ16)*100</f>
        <v/>
      </c>
      <c r="CD15" s="56">
        <f>($AK15-$AK16)*100</f>
        <v/>
      </c>
      <c r="CE15" s="56">
        <f>($AL15-$AL16)*100</f>
        <v/>
      </c>
      <c r="CF15" s="56">
        <f>($AM15-$AM16)*100</f>
        <v/>
      </c>
      <c r="CG15" s="56">
        <f>($AN15-$AN16)*100</f>
        <v/>
      </c>
      <c r="CH15" s="56">
        <f>($AO15-$AO16)*100</f>
        <v/>
      </c>
      <c r="CI15" s="56">
        <f>($AP15-$AP16)*100</f>
        <v/>
      </c>
      <c r="CJ15" s="56">
        <f>($AQ15-$AQ16)*100</f>
        <v/>
      </c>
      <c r="CK15" s="56">
        <f>($AR15-$AR16)*100</f>
        <v/>
      </c>
      <c r="CL15" s="56">
        <f>($AS15-$AS16)*100</f>
        <v/>
      </c>
      <c r="CM15" s="56">
        <f>($AT15-$AT16)*100</f>
        <v/>
      </c>
      <c r="CN15" s="56">
        <f>($AU15-$AU16)*100</f>
        <v/>
      </c>
      <c r="CO15" s="56">
        <f>($AV15-$AV16)*100</f>
        <v/>
      </c>
      <c r="CP15" s="56">
        <f>($AW15-$AW16)*100</f>
        <v/>
      </c>
      <c r="CQ15" s="56">
        <f>($AX15-$AX16)*100</f>
        <v/>
      </c>
      <c r="CR15" s="56">
        <f>($AY15-$AY16)*100</f>
        <v/>
      </c>
      <c r="CS15" s="57">
        <f>IFERROR($L16/$L15-1,"")</f>
        <v/>
      </c>
      <c r="CT15" s="57">
        <f>IFERROR($M16/$M15-1,"")</f>
        <v/>
      </c>
      <c r="CU15" s="57">
        <f>IFERROR($N16/$N15-1,"")</f>
        <v/>
      </c>
      <c r="CV15" s="57">
        <f>IFERROR($O16/$O15-1,"")</f>
        <v/>
      </c>
      <c r="CW15" s="57">
        <f>IFERROR($P16/$P15-1,"")</f>
        <v/>
      </c>
      <c r="CX15" s="57">
        <f>IFERROR($Q16/$Q15-1,"")</f>
        <v/>
      </c>
      <c r="CY15" s="57">
        <f>IFERROR($R16/$R15-1,"")</f>
        <v/>
      </c>
      <c r="CZ15" s="57">
        <f>IFERROR($S16/$S15-1,"")</f>
        <v/>
      </c>
      <c r="DA15" s="57">
        <f>IFERROR($T16/$T15-1,"")</f>
        <v/>
      </c>
      <c r="DB15" s="57">
        <f>IFERROR($U16/$U15-1,"")</f>
        <v/>
      </c>
      <c r="DC15" s="57">
        <f>IFERROR($V16/$V15-1,"")</f>
        <v/>
      </c>
      <c r="DD15" s="57">
        <f>IFERROR($W16/$W15-1,"")</f>
        <v/>
      </c>
      <c r="DE15" s="57">
        <f>IFERROR($X16/$X15-1,"")</f>
        <v/>
      </c>
      <c r="DF15" s="57">
        <f>IFERROR($Y16/$Y15-1,"")</f>
        <v/>
      </c>
      <c r="DG15" s="57">
        <f>IFERROR($Z16/$Z15-1,"")</f>
        <v/>
      </c>
      <c r="DH15" s="57">
        <f>IFERROR($AA16/$AA15-1,"")</f>
        <v/>
      </c>
      <c r="DI15" s="57">
        <f>IFERROR($AB16/$AB15-1,"")</f>
        <v/>
      </c>
      <c r="DJ15" s="57">
        <f>IFERROR($AC16/$AC15-1,"")</f>
        <v/>
      </c>
      <c r="DK15" s="57">
        <f>IFERROR($AD16/$AD15-1,"")</f>
        <v/>
      </c>
      <c r="DL15" s="57">
        <f>IFERROR($AE16/$AE15-1,"")</f>
        <v/>
      </c>
      <c r="DM15" s="56">
        <f>$AZ15-$AZ16</f>
        <v/>
      </c>
      <c r="DN15" s="56">
        <f>$BA15-$BA16</f>
        <v/>
      </c>
      <c r="DO15" s="56">
        <f>$BB15-$BB16</f>
        <v/>
      </c>
      <c r="DP15" s="56">
        <f>$BC15-$BC16</f>
        <v/>
      </c>
      <c r="DQ15" s="56">
        <f>$BD15-$BD16</f>
        <v/>
      </c>
      <c r="DR15" s="56">
        <f>$BE15-$BE16</f>
        <v/>
      </c>
      <c r="DS15" s="56">
        <f>$BF15-$BF16</f>
        <v/>
      </c>
      <c r="DT15" s="56">
        <f>$BG15-$BG16</f>
        <v/>
      </c>
      <c r="DU15" s="56">
        <f>$BH15-$BH16</f>
        <v/>
      </c>
      <c r="DV15" s="56">
        <f>$BI15-$BI16</f>
        <v/>
      </c>
      <c r="DW15" s="56">
        <f>$BJ15-$BJ16</f>
        <v/>
      </c>
      <c r="DX15" s="56">
        <f>$BK15-$BK16</f>
        <v/>
      </c>
      <c r="DY15" s="56">
        <f>$BL15-$BL16</f>
        <v/>
      </c>
      <c r="DZ15" s="56">
        <f>$BM15-$BM16</f>
        <v/>
      </c>
      <c r="EA15" s="56">
        <f>$BN15-$BN16</f>
        <v/>
      </c>
      <c r="EB15" s="56">
        <f>$BO15-$BO16</f>
        <v/>
      </c>
      <c r="EC15" s="56">
        <f>$BP15-$BP16</f>
        <v/>
      </c>
      <c r="ED15" s="56">
        <f>$BQ15-$BQ16</f>
        <v/>
      </c>
      <c r="EE15" s="56">
        <f>$BR15-$BR16</f>
        <v/>
      </c>
      <c r="EF15" s="56">
        <f>$BS15-$BS16</f>
        <v/>
      </c>
      <c r="EG15" s="56">
        <f>$BT15-$BT16</f>
        <v/>
      </c>
      <c r="EH15" s="56">
        <f>$BU15-$BU16</f>
        <v/>
      </c>
    </row>
    <row r="16">
      <c r="BV16" s="56">
        <f>($D16-$D17)*100</f>
        <v/>
      </c>
      <c r="BW16" s="56">
        <f>($C16-$C17)*100</f>
        <v/>
      </c>
      <c r="BX16" s="57">
        <f>IFERROR($I16/$I17-1,"")</f>
        <v/>
      </c>
      <c r="BY16" s="56">
        <f>($AF16-$AF17)*100</f>
        <v/>
      </c>
      <c r="BZ16" s="56">
        <f>($AG16-$AG17)*100</f>
        <v/>
      </c>
      <c r="CA16" s="56">
        <f>($AH16-$AH17)*100</f>
        <v/>
      </c>
      <c r="CB16" s="56">
        <f>($AI16-$AI17)*100</f>
        <v/>
      </c>
      <c r="CC16" s="56">
        <f>($AJ16-$AJ17)*100</f>
        <v/>
      </c>
      <c r="CD16" s="56">
        <f>($AK16-$AK17)*100</f>
        <v/>
      </c>
      <c r="CE16" s="56">
        <f>($AL16-$AL17)*100</f>
        <v/>
      </c>
      <c r="CF16" s="56">
        <f>($AM16-$AM17)*100</f>
        <v/>
      </c>
      <c r="CG16" s="56">
        <f>($AN16-$AN17)*100</f>
        <v/>
      </c>
      <c r="CH16" s="56">
        <f>($AO16-$AO17)*100</f>
        <v/>
      </c>
      <c r="CI16" s="56">
        <f>($AP16-$AP17)*100</f>
        <v/>
      </c>
      <c r="CJ16" s="56">
        <f>($AQ16-$AQ17)*100</f>
        <v/>
      </c>
      <c r="CK16" s="56">
        <f>($AR16-$AR17)*100</f>
        <v/>
      </c>
      <c r="CL16" s="56">
        <f>($AS16-$AS17)*100</f>
        <v/>
      </c>
      <c r="CM16" s="56">
        <f>($AT16-$AT17)*100</f>
        <v/>
      </c>
      <c r="CN16" s="56">
        <f>($AU16-$AU17)*100</f>
        <v/>
      </c>
      <c r="CO16" s="56">
        <f>($AV16-$AV17)*100</f>
        <v/>
      </c>
      <c r="CP16" s="56">
        <f>($AW16-$AW17)*100</f>
        <v/>
      </c>
      <c r="CQ16" s="56">
        <f>($AX16-$AX17)*100</f>
        <v/>
      </c>
      <c r="CR16" s="56">
        <f>($AY16-$AY17)*100</f>
        <v/>
      </c>
      <c r="CS16" s="57">
        <f>IFERROR($L17/$L16-1,"")</f>
        <v/>
      </c>
      <c r="CT16" s="57">
        <f>IFERROR($M17/$M16-1,"")</f>
        <v/>
      </c>
      <c r="CU16" s="57">
        <f>IFERROR($N17/$N16-1,"")</f>
        <v/>
      </c>
      <c r="CV16" s="57">
        <f>IFERROR($O17/$O16-1,"")</f>
        <v/>
      </c>
      <c r="CW16" s="57">
        <f>IFERROR($P17/$P16-1,"")</f>
        <v/>
      </c>
      <c r="CX16" s="57">
        <f>IFERROR($Q17/$Q16-1,"")</f>
        <v/>
      </c>
      <c r="CY16" s="57">
        <f>IFERROR($R17/$R16-1,"")</f>
        <v/>
      </c>
      <c r="CZ16" s="57">
        <f>IFERROR($S17/$S16-1,"")</f>
        <v/>
      </c>
      <c r="DA16" s="57">
        <f>IFERROR($T17/$T16-1,"")</f>
        <v/>
      </c>
      <c r="DB16" s="57">
        <f>IFERROR($U17/$U16-1,"")</f>
        <v/>
      </c>
      <c r="DC16" s="57">
        <f>IFERROR($V17/$V16-1,"")</f>
        <v/>
      </c>
      <c r="DD16" s="57">
        <f>IFERROR($W17/$W16-1,"")</f>
        <v/>
      </c>
      <c r="DE16" s="57">
        <f>IFERROR($X17/$X16-1,"")</f>
        <v/>
      </c>
      <c r="DF16" s="57">
        <f>IFERROR($Y17/$Y16-1,"")</f>
        <v/>
      </c>
      <c r="DG16" s="57">
        <f>IFERROR($Z17/$Z16-1,"")</f>
        <v/>
      </c>
      <c r="DH16" s="57">
        <f>IFERROR($AA17/$AA16-1,"")</f>
        <v/>
      </c>
      <c r="DI16" s="57">
        <f>IFERROR($AB17/$AB16-1,"")</f>
        <v/>
      </c>
      <c r="DJ16" s="57">
        <f>IFERROR($AC17/$AC16-1,"")</f>
        <v/>
      </c>
      <c r="DK16" s="57">
        <f>IFERROR($AD17/$AD16-1,"")</f>
        <v/>
      </c>
      <c r="DL16" s="57">
        <f>IFERROR($AE17/$AE16-1,"")</f>
        <v/>
      </c>
      <c r="DM16" s="56">
        <f>$AZ16-$AZ17</f>
        <v/>
      </c>
      <c r="DN16" s="56">
        <f>$BA16-$BA17</f>
        <v/>
      </c>
      <c r="DO16" s="56">
        <f>$BB16-$BB17</f>
        <v/>
      </c>
      <c r="DP16" s="56">
        <f>$BC16-$BC17</f>
        <v/>
      </c>
      <c r="DQ16" s="56">
        <f>$BD16-$BD17</f>
        <v/>
      </c>
      <c r="DR16" s="56">
        <f>$BE16-$BE17</f>
        <v/>
      </c>
      <c r="DS16" s="56">
        <f>$BF16-$BF17</f>
        <v/>
      </c>
      <c r="DT16" s="56">
        <f>$BG16-$BG17</f>
        <v/>
      </c>
      <c r="DU16" s="56">
        <f>$BH16-$BH17</f>
        <v/>
      </c>
      <c r="DV16" s="56">
        <f>$BI16-$BI17</f>
        <v/>
      </c>
      <c r="DW16" s="56">
        <f>$BJ16-$BJ17</f>
        <v/>
      </c>
      <c r="DX16" s="56">
        <f>$BK16-$BK17</f>
        <v/>
      </c>
      <c r="DY16" s="56">
        <f>$BL16-$BL17</f>
        <v/>
      </c>
      <c r="DZ16" s="56">
        <f>$BM16-$BM17</f>
        <v/>
      </c>
      <c r="EA16" s="56">
        <f>$BN16-$BN17</f>
        <v/>
      </c>
      <c r="EB16" s="56">
        <f>$BO16-$BO17</f>
        <v/>
      </c>
      <c r="EC16" s="56">
        <f>$BP16-$BP17</f>
        <v/>
      </c>
      <c r="ED16" s="56">
        <f>$BQ16-$BQ17</f>
        <v/>
      </c>
      <c r="EE16" s="56">
        <f>$BR16-$BR17</f>
        <v/>
      </c>
      <c r="EF16" s="56">
        <f>$BS16-$BS17</f>
        <v/>
      </c>
      <c r="EG16" s="56">
        <f>$BT16-$BT17</f>
        <v/>
      </c>
      <c r="EH16" s="56">
        <f>$BU16-$BU17</f>
        <v/>
      </c>
    </row>
    <row r="17">
      <c r="BV17" s="56">
        <f>($D17-$D18)*100</f>
        <v/>
      </c>
      <c r="BW17" s="56">
        <f>($C17-$C18)*100</f>
        <v/>
      </c>
      <c r="BX17" s="57">
        <f>IFERROR($I17/$I18-1,"")</f>
        <v/>
      </c>
      <c r="BY17" s="56">
        <f>($AF17-$AF18)*100</f>
        <v/>
      </c>
      <c r="BZ17" s="56">
        <f>($AG17-$AG18)*100</f>
        <v/>
      </c>
      <c r="CA17" s="56">
        <f>($AH17-$AH18)*100</f>
        <v/>
      </c>
      <c r="CB17" s="56">
        <f>($AI17-$AI18)*100</f>
        <v/>
      </c>
      <c r="CC17" s="56">
        <f>($AJ17-$AJ18)*100</f>
        <v/>
      </c>
      <c r="CD17" s="56">
        <f>($AK17-$AK18)*100</f>
        <v/>
      </c>
      <c r="CE17" s="56">
        <f>($AL17-$AL18)*100</f>
        <v/>
      </c>
      <c r="CF17" s="56">
        <f>($AM17-$AM18)*100</f>
        <v/>
      </c>
      <c r="CG17" s="56">
        <f>($AN17-$AN18)*100</f>
        <v/>
      </c>
      <c r="CH17" s="56">
        <f>($AO17-$AO18)*100</f>
        <v/>
      </c>
      <c r="CI17" s="56">
        <f>($AP17-$AP18)*100</f>
        <v/>
      </c>
      <c r="CJ17" s="56">
        <f>($AQ17-$AQ18)*100</f>
        <v/>
      </c>
      <c r="CK17" s="56">
        <f>($AR17-$AR18)*100</f>
        <v/>
      </c>
      <c r="CL17" s="56">
        <f>($AS17-$AS18)*100</f>
        <v/>
      </c>
      <c r="CM17" s="56">
        <f>($AT17-$AT18)*100</f>
        <v/>
      </c>
      <c r="CN17" s="56">
        <f>($AU17-$AU18)*100</f>
        <v/>
      </c>
      <c r="CO17" s="56">
        <f>($AV17-$AV18)*100</f>
        <v/>
      </c>
      <c r="CP17" s="56">
        <f>($AW17-$AW18)*100</f>
        <v/>
      </c>
      <c r="CQ17" s="56">
        <f>($AX17-$AX18)*100</f>
        <v/>
      </c>
      <c r="CR17" s="56">
        <f>($AY17-$AY18)*100</f>
        <v/>
      </c>
      <c r="CS17" s="57">
        <f>IFERROR($L18/$L17-1,"")</f>
        <v/>
      </c>
      <c r="CT17" s="57">
        <f>IFERROR($M18/$M17-1,"")</f>
        <v/>
      </c>
      <c r="CU17" s="57">
        <f>IFERROR($N18/$N17-1,"")</f>
        <v/>
      </c>
      <c r="CV17" s="57">
        <f>IFERROR($O18/$O17-1,"")</f>
        <v/>
      </c>
      <c r="CW17" s="57">
        <f>IFERROR($P18/$P17-1,"")</f>
        <v/>
      </c>
      <c r="CX17" s="57">
        <f>IFERROR($Q18/$Q17-1,"")</f>
        <v/>
      </c>
      <c r="CY17" s="57">
        <f>IFERROR($R18/$R17-1,"")</f>
        <v/>
      </c>
      <c r="CZ17" s="57">
        <f>IFERROR($S18/$S17-1,"")</f>
        <v/>
      </c>
      <c r="DA17" s="57">
        <f>IFERROR($T18/$T17-1,"")</f>
        <v/>
      </c>
      <c r="DB17" s="57">
        <f>IFERROR($U18/$U17-1,"")</f>
        <v/>
      </c>
      <c r="DC17" s="57">
        <f>IFERROR($V18/$V17-1,"")</f>
        <v/>
      </c>
      <c r="DD17" s="57">
        <f>IFERROR($W18/$W17-1,"")</f>
        <v/>
      </c>
      <c r="DE17" s="57">
        <f>IFERROR($X18/$X17-1,"")</f>
        <v/>
      </c>
      <c r="DF17" s="57">
        <f>IFERROR($Y18/$Y17-1,"")</f>
        <v/>
      </c>
      <c r="DG17" s="57">
        <f>IFERROR($Z18/$Z17-1,"")</f>
        <v/>
      </c>
      <c r="DH17" s="57">
        <f>IFERROR($AA18/$AA17-1,"")</f>
        <v/>
      </c>
      <c r="DI17" s="57">
        <f>IFERROR($AB18/$AB17-1,"")</f>
        <v/>
      </c>
      <c r="DJ17" s="57">
        <f>IFERROR($AC18/$AC17-1,"")</f>
        <v/>
      </c>
      <c r="DK17" s="57">
        <f>IFERROR($AD18/$AD17-1,"")</f>
        <v/>
      </c>
      <c r="DL17" s="57">
        <f>IFERROR($AE18/$AE17-1,"")</f>
        <v/>
      </c>
      <c r="DM17" s="56">
        <f>$AZ17-$AZ18</f>
        <v/>
      </c>
      <c r="DN17" s="56">
        <f>$BA17-$BA18</f>
        <v/>
      </c>
      <c r="DO17" s="56">
        <f>$BB17-$BB18</f>
        <v/>
      </c>
      <c r="DP17" s="56">
        <f>$BC17-$BC18</f>
        <v/>
      </c>
      <c r="DQ17" s="56">
        <f>$BD17-$BD18</f>
        <v/>
      </c>
      <c r="DR17" s="56">
        <f>$BE17-$BE18</f>
        <v/>
      </c>
      <c r="DS17" s="56">
        <f>$BF17-$BF18</f>
        <v/>
      </c>
      <c r="DT17" s="56">
        <f>$BG17-$BG18</f>
        <v/>
      </c>
      <c r="DU17" s="56">
        <f>$BH17-$BH18</f>
        <v/>
      </c>
      <c r="DV17" s="56">
        <f>$BI17-$BI18</f>
        <v/>
      </c>
      <c r="DW17" s="56">
        <f>$BJ17-$BJ18</f>
        <v/>
      </c>
      <c r="DX17" s="56">
        <f>$BK17-$BK18</f>
        <v/>
      </c>
      <c r="DY17" s="56">
        <f>$BL17-$BL18</f>
        <v/>
      </c>
      <c r="DZ17" s="56">
        <f>$BM17-$BM18</f>
        <v/>
      </c>
      <c r="EA17" s="56">
        <f>$BN17-$BN18</f>
        <v/>
      </c>
      <c r="EB17" s="56">
        <f>$BO17-$BO18</f>
        <v/>
      </c>
      <c r="EC17" s="56">
        <f>$BP17-$BP18</f>
        <v/>
      </c>
      <c r="ED17" s="56">
        <f>$BQ17-$BQ18</f>
        <v/>
      </c>
      <c r="EE17" s="56">
        <f>$BR17-$BR18</f>
        <v/>
      </c>
      <c r="EF17" s="56">
        <f>$BS17-$BS18</f>
        <v/>
      </c>
      <c r="EG17" s="56">
        <f>$BT17-$BT18</f>
        <v/>
      </c>
      <c r="EH17" s="56">
        <f>$BU17-$BU18</f>
        <v/>
      </c>
    </row>
    <row r="18">
      <c r="BV18" s="56">
        <f>($D18-$D19)*100</f>
        <v/>
      </c>
      <c r="BW18" s="56">
        <f>($C18-$C19)*100</f>
        <v/>
      </c>
      <c r="BX18" s="57">
        <f>IFERROR($I18/$I19-1,"")</f>
        <v/>
      </c>
      <c r="BY18" s="56">
        <f>($AF18-$AF19)*100</f>
        <v/>
      </c>
      <c r="BZ18" s="56">
        <f>($AG18-$AG19)*100</f>
        <v/>
      </c>
      <c r="CA18" s="56">
        <f>($AH18-$AH19)*100</f>
        <v/>
      </c>
      <c r="CB18" s="56">
        <f>($AI18-$AI19)*100</f>
        <v/>
      </c>
      <c r="CC18" s="56">
        <f>($AJ18-$AJ19)*100</f>
        <v/>
      </c>
      <c r="CD18" s="56">
        <f>($AK18-$AK19)*100</f>
        <v/>
      </c>
      <c r="CE18" s="56">
        <f>($AL18-$AL19)*100</f>
        <v/>
      </c>
      <c r="CF18" s="56">
        <f>($AM18-$AM19)*100</f>
        <v/>
      </c>
      <c r="CG18" s="56">
        <f>($AN18-$AN19)*100</f>
        <v/>
      </c>
      <c r="CH18" s="56">
        <f>($AO18-$AO19)*100</f>
        <v/>
      </c>
      <c r="CI18" s="56">
        <f>($AP18-$AP19)*100</f>
        <v/>
      </c>
      <c r="CJ18" s="56">
        <f>($AQ18-$AQ19)*100</f>
        <v/>
      </c>
      <c r="CK18" s="56">
        <f>($AR18-$AR19)*100</f>
        <v/>
      </c>
      <c r="CL18" s="56">
        <f>($AS18-$AS19)*100</f>
        <v/>
      </c>
      <c r="CM18" s="56">
        <f>($AT18-$AT19)*100</f>
        <v/>
      </c>
      <c r="CN18" s="56">
        <f>($AU18-$AU19)*100</f>
        <v/>
      </c>
      <c r="CO18" s="56">
        <f>($AV18-$AV19)*100</f>
        <v/>
      </c>
      <c r="CP18" s="56">
        <f>($AW18-$AW19)*100</f>
        <v/>
      </c>
      <c r="CQ18" s="56">
        <f>($AX18-$AX19)*100</f>
        <v/>
      </c>
      <c r="CR18" s="56">
        <f>($AY18-$AY19)*100</f>
        <v/>
      </c>
      <c r="CS18" s="57">
        <f>IFERROR($L19/$L18-1,"")</f>
        <v/>
      </c>
      <c r="CT18" s="57">
        <f>IFERROR($M19/$M18-1,"")</f>
        <v/>
      </c>
      <c r="CU18" s="57">
        <f>IFERROR($N19/$N18-1,"")</f>
        <v/>
      </c>
      <c r="CV18" s="57">
        <f>IFERROR($O19/$O18-1,"")</f>
        <v/>
      </c>
      <c r="CW18" s="57">
        <f>IFERROR($P19/$P18-1,"")</f>
        <v/>
      </c>
      <c r="CX18" s="57">
        <f>IFERROR($Q19/$Q18-1,"")</f>
        <v/>
      </c>
      <c r="CY18" s="57">
        <f>IFERROR($R19/$R18-1,"")</f>
        <v/>
      </c>
      <c r="CZ18" s="57">
        <f>IFERROR($S19/$S18-1,"")</f>
        <v/>
      </c>
      <c r="DA18" s="57">
        <f>IFERROR($T19/$T18-1,"")</f>
        <v/>
      </c>
      <c r="DB18" s="57">
        <f>IFERROR($U19/$U18-1,"")</f>
        <v/>
      </c>
      <c r="DC18" s="57">
        <f>IFERROR($V19/$V18-1,"")</f>
        <v/>
      </c>
      <c r="DD18" s="57">
        <f>IFERROR($W19/$W18-1,"")</f>
        <v/>
      </c>
      <c r="DE18" s="57">
        <f>IFERROR($X19/$X18-1,"")</f>
        <v/>
      </c>
      <c r="DF18" s="57">
        <f>IFERROR($Y19/$Y18-1,"")</f>
        <v/>
      </c>
      <c r="DG18" s="57">
        <f>IFERROR($Z19/$Z18-1,"")</f>
        <v/>
      </c>
      <c r="DH18" s="57">
        <f>IFERROR($AA19/$AA18-1,"")</f>
        <v/>
      </c>
      <c r="DI18" s="57">
        <f>IFERROR($AB19/$AB18-1,"")</f>
        <v/>
      </c>
      <c r="DJ18" s="57">
        <f>IFERROR($AC19/$AC18-1,"")</f>
        <v/>
      </c>
      <c r="DK18" s="57">
        <f>IFERROR($AD19/$AD18-1,"")</f>
        <v/>
      </c>
      <c r="DL18" s="57">
        <f>IFERROR($AE19/$AE18-1,"")</f>
        <v/>
      </c>
      <c r="DM18" s="56">
        <f>$AZ18-$AZ19</f>
        <v/>
      </c>
      <c r="DN18" s="56">
        <f>$BA18-$BA19</f>
        <v/>
      </c>
      <c r="DO18" s="56">
        <f>$BB18-$BB19</f>
        <v/>
      </c>
      <c r="DP18" s="56">
        <f>$BC18-$BC19</f>
        <v/>
      </c>
      <c r="DQ18" s="56">
        <f>$BD18-$BD19</f>
        <v/>
      </c>
      <c r="DR18" s="56">
        <f>$BE18-$BE19</f>
        <v/>
      </c>
      <c r="DS18" s="56">
        <f>$BF18-$BF19</f>
        <v/>
      </c>
      <c r="DT18" s="56">
        <f>$BG18-$BG19</f>
        <v/>
      </c>
      <c r="DU18" s="56">
        <f>$BH18-$BH19</f>
        <v/>
      </c>
      <c r="DV18" s="56">
        <f>$BI18-$BI19</f>
        <v/>
      </c>
      <c r="DW18" s="56">
        <f>$BJ18-$BJ19</f>
        <v/>
      </c>
      <c r="DX18" s="56">
        <f>$BK18-$BK19</f>
        <v/>
      </c>
      <c r="DY18" s="56">
        <f>$BL18-$BL19</f>
        <v/>
      </c>
      <c r="DZ18" s="56">
        <f>$BM18-$BM19</f>
        <v/>
      </c>
      <c r="EA18" s="56">
        <f>$BN18-$BN19</f>
        <v/>
      </c>
      <c r="EB18" s="56">
        <f>$BO18-$BO19</f>
        <v/>
      </c>
      <c r="EC18" s="56">
        <f>$BP18-$BP19</f>
        <v/>
      </c>
      <c r="ED18" s="56">
        <f>$BQ18-$BQ19</f>
        <v/>
      </c>
      <c r="EE18" s="56">
        <f>$BR18-$BR19</f>
        <v/>
      </c>
      <c r="EF18" s="56">
        <f>$BS18-$BS19</f>
        <v/>
      </c>
      <c r="EG18" s="56">
        <f>$BT18-$BT19</f>
        <v/>
      </c>
      <c r="EH18" s="56">
        <f>$BU18-$BU19</f>
        <v/>
      </c>
    </row>
    <row r="19">
      <c r="BV19" s="56">
        <f>($D19-$D20)*100</f>
        <v/>
      </c>
      <c r="BW19" s="56">
        <f>($C19-$C20)*100</f>
        <v/>
      </c>
      <c r="BX19" s="57">
        <f>IFERROR($I19/$I20-1,"")</f>
        <v/>
      </c>
      <c r="BY19" s="56">
        <f>($AF19-$AF20)*100</f>
        <v/>
      </c>
      <c r="BZ19" s="56">
        <f>($AG19-$AG20)*100</f>
        <v/>
      </c>
      <c r="CA19" s="56">
        <f>($AH19-$AH20)*100</f>
        <v/>
      </c>
      <c r="CB19" s="56">
        <f>($AI19-$AI20)*100</f>
        <v/>
      </c>
      <c r="CC19" s="56">
        <f>($AJ19-$AJ20)*100</f>
        <v/>
      </c>
      <c r="CD19" s="56">
        <f>($AK19-$AK20)*100</f>
        <v/>
      </c>
      <c r="CE19" s="56">
        <f>($AL19-$AL20)*100</f>
        <v/>
      </c>
      <c r="CF19" s="56">
        <f>($AM19-$AM20)*100</f>
        <v/>
      </c>
      <c r="CG19" s="56">
        <f>($AN19-$AN20)*100</f>
        <v/>
      </c>
      <c r="CH19" s="56">
        <f>($AO19-$AO20)*100</f>
        <v/>
      </c>
      <c r="CI19" s="56">
        <f>($AP19-$AP20)*100</f>
        <v/>
      </c>
      <c r="CJ19" s="56">
        <f>($AQ19-$AQ20)*100</f>
        <v/>
      </c>
      <c r="CK19" s="56">
        <f>($AR19-$AR20)*100</f>
        <v/>
      </c>
      <c r="CL19" s="56">
        <f>($AS19-$AS20)*100</f>
        <v/>
      </c>
      <c r="CM19" s="56">
        <f>($AT19-$AT20)*100</f>
        <v/>
      </c>
      <c r="CN19" s="56">
        <f>($AU19-$AU20)*100</f>
        <v/>
      </c>
      <c r="CO19" s="56">
        <f>($AV19-$AV20)*100</f>
        <v/>
      </c>
      <c r="CP19" s="56">
        <f>($AW19-$AW20)*100</f>
        <v/>
      </c>
      <c r="CQ19" s="56">
        <f>($AX19-$AX20)*100</f>
        <v/>
      </c>
      <c r="CR19" s="56">
        <f>($AY19-$AY20)*100</f>
        <v/>
      </c>
      <c r="CS19" s="57">
        <f>IFERROR($L20/$L19-1,"")</f>
        <v/>
      </c>
      <c r="CT19" s="57">
        <f>IFERROR($M20/$M19-1,"")</f>
        <v/>
      </c>
      <c r="CU19" s="57">
        <f>IFERROR($N20/$N19-1,"")</f>
        <v/>
      </c>
      <c r="CV19" s="57">
        <f>IFERROR($O20/$O19-1,"")</f>
        <v/>
      </c>
      <c r="CW19" s="57">
        <f>IFERROR($P20/$P19-1,"")</f>
        <v/>
      </c>
      <c r="CX19" s="57">
        <f>IFERROR($Q20/$Q19-1,"")</f>
        <v/>
      </c>
      <c r="CY19" s="57">
        <f>IFERROR($R20/$R19-1,"")</f>
        <v/>
      </c>
      <c r="CZ19" s="57">
        <f>IFERROR($S20/$S19-1,"")</f>
        <v/>
      </c>
      <c r="DA19" s="57">
        <f>IFERROR($T20/$T19-1,"")</f>
        <v/>
      </c>
      <c r="DB19" s="57">
        <f>IFERROR($U20/$U19-1,"")</f>
        <v/>
      </c>
      <c r="DC19" s="57">
        <f>IFERROR($V20/$V19-1,"")</f>
        <v/>
      </c>
      <c r="DD19" s="57">
        <f>IFERROR($W20/$W19-1,"")</f>
        <v/>
      </c>
      <c r="DE19" s="57">
        <f>IFERROR($X20/$X19-1,"")</f>
        <v/>
      </c>
      <c r="DF19" s="57">
        <f>IFERROR($Y20/$Y19-1,"")</f>
        <v/>
      </c>
      <c r="DG19" s="57">
        <f>IFERROR($Z20/$Z19-1,"")</f>
        <v/>
      </c>
      <c r="DH19" s="57">
        <f>IFERROR($AA20/$AA19-1,"")</f>
        <v/>
      </c>
      <c r="DI19" s="57">
        <f>IFERROR($AB20/$AB19-1,"")</f>
        <v/>
      </c>
      <c r="DJ19" s="57">
        <f>IFERROR($AC20/$AC19-1,"")</f>
        <v/>
      </c>
      <c r="DK19" s="57">
        <f>IFERROR($AD20/$AD19-1,"")</f>
        <v/>
      </c>
      <c r="DL19" s="57">
        <f>IFERROR($AE20/$AE19-1,"")</f>
        <v/>
      </c>
      <c r="DM19" s="56">
        <f>$AZ19-$AZ20</f>
        <v/>
      </c>
      <c r="DN19" s="56">
        <f>$BA19-$BA20</f>
        <v/>
      </c>
      <c r="DO19" s="56">
        <f>$BB19-$BB20</f>
        <v/>
      </c>
      <c r="DP19" s="56">
        <f>$BC19-$BC20</f>
        <v/>
      </c>
      <c r="DQ19" s="56">
        <f>$BD19-$BD20</f>
        <v/>
      </c>
      <c r="DR19" s="56">
        <f>$BE19-$BE20</f>
        <v/>
      </c>
      <c r="DS19" s="56">
        <f>$BF19-$BF20</f>
        <v/>
      </c>
      <c r="DT19" s="56">
        <f>$BG19-$BG20</f>
        <v/>
      </c>
      <c r="DU19" s="56">
        <f>$BH19-$BH20</f>
        <v/>
      </c>
      <c r="DV19" s="56">
        <f>$BI19-$BI20</f>
        <v/>
      </c>
      <c r="DW19" s="56">
        <f>$BJ19-$BJ20</f>
        <v/>
      </c>
      <c r="DX19" s="56">
        <f>$BK19-$BK20</f>
        <v/>
      </c>
      <c r="DY19" s="56">
        <f>$BL19-$BL20</f>
        <v/>
      </c>
      <c r="DZ19" s="56">
        <f>$BM19-$BM20</f>
        <v/>
      </c>
      <c r="EA19" s="56">
        <f>$BN19-$BN20</f>
        <v/>
      </c>
      <c r="EB19" s="56">
        <f>$BO19-$BO20</f>
        <v/>
      </c>
      <c r="EC19" s="56">
        <f>$BP19-$BP20</f>
        <v/>
      </c>
      <c r="ED19" s="56">
        <f>$BQ19-$BQ20</f>
        <v/>
      </c>
      <c r="EE19" s="56">
        <f>$BR19-$BR20</f>
        <v/>
      </c>
      <c r="EF19" s="56">
        <f>$BS19-$BS20</f>
        <v/>
      </c>
      <c r="EG19" s="56">
        <f>$BT19-$BT20</f>
        <v/>
      </c>
      <c r="EH19" s="56">
        <f>$BU19-$BU20</f>
        <v/>
      </c>
    </row>
    <row r="20">
      <c r="BV20" s="56">
        <f>($D20-$D21)*100</f>
        <v/>
      </c>
      <c r="BW20" s="56">
        <f>($C20-$C21)*100</f>
        <v/>
      </c>
      <c r="BX20" s="57">
        <f>IFERROR($I20/$I21-1,"")</f>
        <v/>
      </c>
      <c r="BY20" s="56">
        <f>($AF20-$AF21)*100</f>
        <v/>
      </c>
      <c r="BZ20" s="56">
        <f>($AG20-$AG21)*100</f>
        <v/>
      </c>
      <c r="CA20" s="56">
        <f>($AH20-$AH21)*100</f>
        <v/>
      </c>
      <c r="CB20" s="56">
        <f>($AI20-$AI21)*100</f>
        <v/>
      </c>
      <c r="CC20" s="56">
        <f>($AJ20-$AJ21)*100</f>
        <v/>
      </c>
      <c r="CD20" s="56">
        <f>($AK20-$AK21)*100</f>
        <v/>
      </c>
      <c r="CE20" s="56">
        <f>($AL20-$AL21)*100</f>
        <v/>
      </c>
      <c r="CF20" s="56">
        <f>($AM20-$AM21)*100</f>
        <v/>
      </c>
      <c r="CG20" s="56">
        <f>($AN20-$AN21)*100</f>
        <v/>
      </c>
      <c r="CH20" s="56">
        <f>($AO20-$AO21)*100</f>
        <v/>
      </c>
      <c r="CI20" s="56">
        <f>($AP20-$AP21)*100</f>
        <v/>
      </c>
      <c r="CJ20" s="56">
        <f>($AQ20-$AQ21)*100</f>
        <v/>
      </c>
      <c r="CK20" s="56">
        <f>($AR20-$AR21)*100</f>
        <v/>
      </c>
      <c r="CL20" s="56">
        <f>($AS20-$AS21)*100</f>
        <v/>
      </c>
      <c r="CM20" s="56">
        <f>($AT20-$AT21)*100</f>
        <v/>
      </c>
      <c r="CN20" s="56">
        <f>($AU20-$AU21)*100</f>
        <v/>
      </c>
      <c r="CO20" s="56">
        <f>($AV20-$AV21)*100</f>
        <v/>
      </c>
      <c r="CP20" s="56">
        <f>($AW20-$AW21)*100</f>
        <v/>
      </c>
      <c r="CQ20" s="56">
        <f>($AX20-$AX21)*100</f>
        <v/>
      </c>
      <c r="CR20" s="56">
        <f>($AY20-$AY21)*100</f>
        <v/>
      </c>
      <c r="CS20" s="57">
        <f>IFERROR($L21/$L20-1,"")</f>
        <v/>
      </c>
      <c r="CT20" s="57">
        <f>IFERROR($M21/$M20-1,"")</f>
        <v/>
      </c>
      <c r="CU20" s="57">
        <f>IFERROR($N21/$N20-1,"")</f>
        <v/>
      </c>
      <c r="CV20" s="57">
        <f>IFERROR($O21/$O20-1,"")</f>
        <v/>
      </c>
      <c r="CW20" s="57">
        <f>IFERROR($P21/$P20-1,"")</f>
        <v/>
      </c>
      <c r="CX20" s="57">
        <f>IFERROR($Q21/$Q20-1,"")</f>
        <v/>
      </c>
      <c r="CY20" s="57">
        <f>IFERROR($R21/$R20-1,"")</f>
        <v/>
      </c>
      <c r="CZ20" s="57">
        <f>IFERROR($S21/$S20-1,"")</f>
        <v/>
      </c>
      <c r="DA20" s="57">
        <f>IFERROR($T21/$T20-1,"")</f>
        <v/>
      </c>
      <c r="DB20" s="57">
        <f>IFERROR($U21/$U20-1,"")</f>
        <v/>
      </c>
      <c r="DC20" s="57">
        <f>IFERROR($V21/$V20-1,"")</f>
        <v/>
      </c>
      <c r="DD20" s="57">
        <f>IFERROR($W21/$W20-1,"")</f>
        <v/>
      </c>
      <c r="DE20" s="57">
        <f>IFERROR($X21/$X20-1,"")</f>
        <v/>
      </c>
      <c r="DF20" s="57">
        <f>IFERROR($Y21/$Y20-1,"")</f>
        <v/>
      </c>
      <c r="DG20" s="57">
        <f>IFERROR($Z21/$Z20-1,"")</f>
        <v/>
      </c>
      <c r="DH20" s="57">
        <f>IFERROR($AA21/$AA20-1,"")</f>
        <v/>
      </c>
      <c r="DI20" s="57">
        <f>IFERROR($AB21/$AB20-1,"")</f>
        <v/>
      </c>
      <c r="DJ20" s="57">
        <f>IFERROR($AC21/$AC20-1,"")</f>
        <v/>
      </c>
      <c r="DK20" s="57">
        <f>IFERROR($AD21/$AD20-1,"")</f>
        <v/>
      </c>
      <c r="DL20" s="57">
        <f>IFERROR($AE21/$AE20-1,"")</f>
        <v/>
      </c>
      <c r="DM20" s="56">
        <f>$AZ20-$AZ21</f>
        <v/>
      </c>
      <c r="DN20" s="56">
        <f>$BA20-$BA21</f>
        <v/>
      </c>
      <c r="DO20" s="56">
        <f>$BB20-$BB21</f>
        <v/>
      </c>
      <c r="DP20" s="56">
        <f>$BC20-$BC21</f>
        <v/>
      </c>
      <c r="DQ20" s="56">
        <f>$BD20-$BD21</f>
        <v/>
      </c>
      <c r="DR20" s="56">
        <f>$BE20-$BE21</f>
        <v/>
      </c>
      <c r="DS20" s="56">
        <f>$BF20-$BF21</f>
        <v/>
      </c>
      <c r="DT20" s="56">
        <f>$BG20-$BG21</f>
        <v/>
      </c>
      <c r="DU20" s="56">
        <f>$BH20-$BH21</f>
        <v/>
      </c>
      <c r="DV20" s="56">
        <f>$BI20-$BI21</f>
        <v/>
      </c>
      <c r="DW20" s="56">
        <f>$BJ20-$BJ21</f>
        <v/>
      </c>
      <c r="DX20" s="56">
        <f>$BK20-$BK21</f>
        <v/>
      </c>
      <c r="DY20" s="56">
        <f>$BL20-$BL21</f>
        <v/>
      </c>
      <c r="DZ20" s="56">
        <f>$BM20-$BM21</f>
        <v/>
      </c>
      <c r="EA20" s="56">
        <f>$BN20-$BN21</f>
        <v/>
      </c>
      <c r="EB20" s="56">
        <f>$BO20-$BO21</f>
        <v/>
      </c>
      <c r="EC20" s="56">
        <f>$BP20-$BP21</f>
        <v/>
      </c>
      <c r="ED20" s="56">
        <f>$BQ20-$BQ21</f>
        <v/>
      </c>
      <c r="EE20" s="56">
        <f>$BR20-$BR21</f>
        <v/>
      </c>
      <c r="EF20" s="56">
        <f>$BS20-$BS21</f>
        <v/>
      </c>
      <c r="EG20" s="56">
        <f>$BT20-$BT21</f>
        <v/>
      </c>
      <c r="EH20" s="56">
        <f>$BU20-$BU21</f>
        <v/>
      </c>
    </row>
    <row r="21">
      <c r="BV21" s="56">
        <f>($D21-$D22)*100</f>
        <v/>
      </c>
      <c r="BW21" s="56">
        <f>($C21-$C22)*100</f>
        <v/>
      </c>
      <c r="BX21" s="57">
        <f>IFERROR($I21/$I22-1,"")</f>
        <v/>
      </c>
      <c r="BY21" s="56">
        <f>($AF21-$AF22)*100</f>
        <v/>
      </c>
      <c r="BZ21" s="56">
        <f>($AG21-$AG22)*100</f>
        <v/>
      </c>
      <c r="CA21" s="56">
        <f>($AH21-$AH22)*100</f>
        <v/>
      </c>
      <c r="CB21" s="56">
        <f>($AI21-$AI22)*100</f>
        <v/>
      </c>
      <c r="CC21" s="56">
        <f>($AJ21-$AJ22)*100</f>
        <v/>
      </c>
      <c r="CD21" s="56">
        <f>($AK21-$AK22)*100</f>
        <v/>
      </c>
      <c r="CE21" s="56">
        <f>($AL21-$AL22)*100</f>
        <v/>
      </c>
      <c r="CF21" s="56">
        <f>($AM21-$AM22)*100</f>
        <v/>
      </c>
      <c r="CG21" s="56">
        <f>($AN21-$AN22)*100</f>
        <v/>
      </c>
      <c r="CH21" s="56">
        <f>($AO21-$AO22)*100</f>
        <v/>
      </c>
      <c r="CI21" s="56">
        <f>($AP21-$AP22)*100</f>
        <v/>
      </c>
      <c r="CJ21" s="56">
        <f>($AQ21-$AQ22)*100</f>
        <v/>
      </c>
      <c r="CK21" s="56">
        <f>($AR21-$AR22)*100</f>
        <v/>
      </c>
      <c r="CL21" s="56">
        <f>($AS21-$AS22)*100</f>
        <v/>
      </c>
      <c r="CM21" s="56">
        <f>($AT21-$AT22)*100</f>
        <v/>
      </c>
      <c r="CN21" s="56">
        <f>($AU21-$AU22)*100</f>
        <v/>
      </c>
      <c r="CO21" s="56">
        <f>($AV21-$AV22)*100</f>
        <v/>
      </c>
      <c r="CP21" s="56">
        <f>($AW21-$AW22)*100</f>
        <v/>
      </c>
      <c r="CQ21" s="56">
        <f>($AX21-$AX22)*100</f>
        <v/>
      </c>
      <c r="CR21" s="56">
        <f>($AY21-$AY22)*100</f>
        <v/>
      </c>
      <c r="CS21" s="57">
        <f>IFERROR($L22/$L21-1,"")</f>
        <v/>
      </c>
      <c r="CT21" s="57">
        <f>IFERROR($M22/$M21-1,"")</f>
        <v/>
      </c>
      <c r="CU21" s="57">
        <f>IFERROR($N22/$N21-1,"")</f>
        <v/>
      </c>
      <c r="CV21" s="57">
        <f>IFERROR($O22/$O21-1,"")</f>
        <v/>
      </c>
      <c r="CW21" s="57">
        <f>IFERROR($P22/$P21-1,"")</f>
        <v/>
      </c>
      <c r="CX21" s="57">
        <f>IFERROR($Q22/$Q21-1,"")</f>
        <v/>
      </c>
      <c r="CY21" s="57">
        <f>IFERROR($R22/$R21-1,"")</f>
        <v/>
      </c>
      <c r="CZ21" s="57">
        <f>IFERROR($S22/$S21-1,"")</f>
        <v/>
      </c>
      <c r="DA21" s="57">
        <f>IFERROR($T22/$T21-1,"")</f>
        <v/>
      </c>
      <c r="DB21" s="57">
        <f>IFERROR($U22/$U21-1,"")</f>
        <v/>
      </c>
      <c r="DC21" s="57">
        <f>IFERROR($V22/$V21-1,"")</f>
        <v/>
      </c>
      <c r="DD21" s="57">
        <f>IFERROR($W22/$W21-1,"")</f>
        <v/>
      </c>
      <c r="DE21" s="57">
        <f>IFERROR($X22/$X21-1,"")</f>
        <v/>
      </c>
      <c r="DF21" s="57">
        <f>IFERROR($Y22/$Y21-1,"")</f>
        <v/>
      </c>
      <c r="DG21" s="57">
        <f>IFERROR($Z22/$Z21-1,"")</f>
        <v/>
      </c>
      <c r="DH21" s="57">
        <f>IFERROR($AA22/$AA21-1,"")</f>
        <v/>
      </c>
      <c r="DI21" s="57">
        <f>IFERROR($AB22/$AB21-1,"")</f>
        <v/>
      </c>
      <c r="DJ21" s="57">
        <f>IFERROR($AC22/$AC21-1,"")</f>
        <v/>
      </c>
      <c r="DK21" s="57">
        <f>IFERROR($AD22/$AD21-1,"")</f>
        <v/>
      </c>
      <c r="DL21" s="57">
        <f>IFERROR($AE22/$AE21-1,"")</f>
        <v/>
      </c>
      <c r="DM21" s="56">
        <f>$AZ21-$AZ22</f>
        <v/>
      </c>
      <c r="DN21" s="56">
        <f>$BA21-$BA22</f>
        <v/>
      </c>
      <c r="DO21" s="56">
        <f>$BB21-$BB22</f>
        <v/>
      </c>
      <c r="DP21" s="56">
        <f>$BC21-$BC22</f>
        <v/>
      </c>
      <c r="DQ21" s="56">
        <f>$BD21-$BD22</f>
        <v/>
      </c>
      <c r="DR21" s="56">
        <f>$BE21-$BE22</f>
        <v/>
      </c>
      <c r="DS21" s="56">
        <f>$BF21-$BF22</f>
        <v/>
      </c>
      <c r="DT21" s="56">
        <f>$BG21-$BG22</f>
        <v/>
      </c>
      <c r="DU21" s="56">
        <f>$BH21-$BH22</f>
        <v/>
      </c>
      <c r="DV21" s="56">
        <f>$BI21-$BI22</f>
        <v/>
      </c>
      <c r="DW21" s="56">
        <f>$BJ21-$BJ22</f>
        <v/>
      </c>
      <c r="DX21" s="56">
        <f>$BK21-$BK22</f>
        <v/>
      </c>
      <c r="DY21" s="56">
        <f>$BL21-$BL22</f>
        <v/>
      </c>
      <c r="DZ21" s="56">
        <f>$BM21-$BM22</f>
        <v/>
      </c>
      <c r="EA21" s="56">
        <f>$BN21-$BN22</f>
        <v/>
      </c>
      <c r="EB21" s="56">
        <f>$BO21-$BO22</f>
        <v/>
      </c>
      <c r="EC21" s="56">
        <f>$BP21-$BP22</f>
        <v/>
      </c>
      <c r="ED21" s="56">
        <f>$BQ21-$BQ22</f>
        <v/>
      </c>
      <c r="EE21" s="56">
        <f>$BR21-$BR22</f>
        <v/>
      </c>
      <c r="EF21" s="56">
        <f>$BS21-$BS22</f>
        <v/>
      </c>
      <c r="EG21" s="56">
        <f>$BT21-$BT22</f>
        <v/>
      </c>
      <c r="EH21" s="56">
        <f>$BU21-$BU22</f>
        <v/>
      </c>
    </row>
    <row r="22">
      <c r="BV22" s="56">
        <f>($D22-$D23)*100</f>
        <v/>
      </c>
      <c r="BW22" s="56">
        <f>($C22-$C23)*100</f>
        <v/>
      </c>
      <c r="BX22" s="57">
        <f>IFERROR($I22/$I23-1,"")</f>
        <v/>
      </c>
      <c r="BY22" s="56">
        <f>($AF22-$AF23)*100</f>
        <v/>
      </c>
      <c r="BZ22" s="56">
        <f>($AG22-$AG23)*100</f>
        <v/>
      </c>
      <c r="CA22" s="56">
        <f>($AH22-$AH23)*100</f>
        <v/>
      </c>
      <c r="CB22" s="56">
        <f>($AI22-$AI23)*100</f>
        <v/>
      </c>
      <c r="CC22" s="56">
        <f>($AJ22-$AJ23)*100</f>
        <v/>
      </c>
      <c r="CD22" s="56">
        <f>($AK22-$AK23)*100</f>
        <v/>
      </c>
      <c r="CE22" s="56">
        <f>($AL22-$AL23)*100</f>
        <v/>
      </c>
      <c r="CF22" s="56">
        <f>($AM22-$AM23)*100</f>
        <v/>
      </c>
      <c r="CG22" s="56">
        <f>($AN22-$AN23)*100</f>
        <v/>
      </c>
      <c r="CH22" s="56">
        <f>($AO22-$AO23)*100</f>
        <v/>
      </c>
      <c r="CI22" s="56">
        <f>($AP22-$AP23)*100</f>
        <v/>
      </c>
      <c r="CJ22" s="56">
        <f>($AQ22-$AQ23)*100</f>
        <v/>
      </c>
      <c r="CK22" s="56">
        <f>($AR22-$AR23)*100</f>
        <v/>
      </c>
      <c r="CL22" s="56">
        <f>($AS22-$AS23)*100</f>
        <v/>
      </c>
      <c r="CM22" s="56">
        <f>($AT22-$AT23)*100</f>
        <v/>
      </c>
      <c r="CN22" s="56">
        <f>($AU22-$AU23)*100</f>
        <v/>
      </c>
      <c r="CO22" s="56">
        <f>($AV22-$AV23)*100</f>
        <v/>
      </c>
      <c r="CP22" s="56">
        <f>($AW22-$AW23)*100</f>
        <v/>
      </c>
      <c r="CQ22" s="56">
        <f>($AX22-$AX23)*100</f>
        <v/>
      </c>
      <c r="CR22" s="56">
        <f>($AY22-$AY23)*100</f>
        <v/>
      </c>
      <c r="CS22" s="57">
        <f>IFERROR($L23/$L22-1,"")</f>
        <v/>
      </c>
      <c r="CT22" s="57">
        <f>IFERROR($M23/$M22-1,"")</f>
        <v/>
      </c>
      <c r="CU22" s="57">
        <f>IFERROR($N23/$N22-1,"")</f>
        <v/>
      </c>
      <c r="CV22" s="57">
        <f>IFERROR($O23/$O22-1,"")</f>
        <v/>
      </c>
      <c r="CW22" s="57">
        <f>IFERROR($P23/$P22-1,"")</f>
        <v/>
      </c>
      <c r="CX22" s="57">
        <f>IFERROR($Q23/$Q22-1,"")</f>
        <v/>
      </c>
      <c r="CY22" s="57">
        <f>IFERROR($R23/$R22-1,"")</f>
        <v/>
      </c>
      <c r="CZ22" s="57">
        <f>IFERROR($S23/$S22-1,"")</f>
        <v/>
      </c>
      <c r="DA22" s="57">
        <f>IFERROR($T23/$T22-1,"")</f>
        <v/>
      </c>
      <c r="DB22" s="57">
        <f>IFERROR($U23/$U22-1,"")</f>
        <v/>
      </c>
      <c r="DC22" s="57">
        <f>IFERROR($V23/$V22-1,"")</f>
        <v/>
      </c>
      <c r="DD22" s="57">
        <f>IFERROR($W23/$W22-1,"")</f>
        <v/>
      </c>
      <c r="DE22" s="57">
        <f>IFERROR($X23/$X22-1,"")</f>
        <v/>
      </c>
      <c r="DF22" s="57">
        <f>IFERROR($Y23/$Y22-1,"")</f>
        <v/>
      </c>
      <c r="DG22" s="57">
        <f>IFERROR($Z23/$Z22-1,"")</f>
        <v/>
      </c>
      <c r="DH22" s="57">
        <f>IFERROR($AA23/$AA22-1,"")</f>
        <v/>
      </c>
      <c r="DI22" s="57">
        <f>IFERROR($AB23/$AB22-1,"")</f>
        <v/>
      </c>
      <c r="DJ22" s="57">
        <f>IFERROR($AC23/$AC22-1,"")</f>
        <v/>
      </c>
      <c r="DK22" s="57">
        <f>IFERROR($AD23/$AD22-1,"")</f>
        <v/>
      </c>
      <c r="DL22" s="57">
        <f>IFERROR($AE23/$AE22-1,"")</f>
        <v/>
      </c>
      <c r="DM22" s="56">
        <f>$AZ22-$AZ23</f>
        <v/>
      </c>
      <c r="DN22" s="56">
        <f>$BA22-$BA23</f>
        <v/>
      </c>
      <c r="DO22" s="56">
        <f>$BB22-$BB23</f>
        <v/>
      </c>
      <c r="DP22" s="56">
        <f>$BC22-$BC23</f>
        <v/>
      </c>
      <c r="DQ22" s="56">
        <f>$BD22-$BD23</f>
        <v/>
      </c>
      <c r="DR22" s="56">
        <f>$BE22-$BE23</f>
        <v/>
      </c>
      <c r="DS22" s="56">
        <f>$BF22-$BF23</f>
        <v/>
      </c>
      <c r="DT22" s="56">
        <f>$BG22-$BG23</f>
        <v/>
      </c>
      <c r="DU22" s="56">
        <f>$BH22-$BH23</f>
        <v/>
      </c>
      <c r="DV22" s="56">
        <f>$BI22-$BI23</f>
        <v/>
      </c>
      <c r="DW22" s="56">
        <f>$BJ22-$BJ23</f>
        <v/>
      </c>
      <c r="DX22" s="56">
        <f>$BK22-$BK23</f>
        <v/>
      </c>
      <c r="DY22" s="56">
        <f>$BL22-$BL23</f>
        <v/>
      </c>
      <c r="DZ22" s="56">
        <f>$BM22-$BM23</f>
        <v/>
      </c>
      <c r="EA22" s="56">
        <f>$BN22-$BN23</f>
        <v/>
      </c>
      <c r="EB22" s="56">
        <f>$BO22-$BO23</f>
        <v/>
      </c>
      <c r="EC22" s="56">
        <f>$BP22-$BP23</f>
        <v/>
      </c>
      <c r="ED22" s="56">
        <f>$BQ22-$BQ23</f>
        <v/>
      </c>
      <c r="EE22" s="56">
        <f>$BR22-$BR23</f>
        <v/>
      </c>
      <c r="EF22" s="56">
        <f>$BS22-$BS23</f>
        <v/>
      </c>
      <c r="EG22" s="56">
        <f>$BT22-$BT23</f>
        <v/>
      </c>
      <c r="EH22" s="56">
        <f>$BU22-$BU23</f>
        <v/>
      </c>
    </row>
    <row r="23">
      <c r="BV23" s="56">
        <f>($D23-$D24)*100</f>
        <v/>
      </c>
      <c r="BW23" s="56">
        <f>($C23-$C24)*100</f>
        <v/>
      </c>
      <c r="BX23" s="57">
        <f>IFERROR($I23/$I24-1,"")</f>
        <v/>
      </c>
      <c r="BY23" s="56">
        <f>($AF23-$AF24)*100</f>
        <v/>
      </c>
      <c r="BZ23" s="56">
        <f>($AG23-$AG24)*100</f>
        <v/>
      </c>
      <c r="CA23" s="56">
        <f>($AH23-$AH24)*100</f>
        <v/>
      </c>
      <c r="CB23" s="56">
        <f>($AI23-$AI24)*100</f>
        <v/>
      </c>
      <c r="CC23" s="56">
        <f>($AJ23-$AJ24)*100</f>
        <v/>
      </c>
      <c r="CD23" s="56">
        <f>($AK23-$AK24)*100</f>
        <v/>
      </c>
      <c r="CE23" s="56">
        <f>($AL23-$AL24)*100</f>
        <v/>
      </c>
      <c r="CF23" s="56">
        <f>($AM23-$AM24)*100</f>
        <v/>
      </c>
      <c r="CG23" s="56">
        <f>($AN23-$AN24)*100</f>
        <v/>
      </c>
      <c r="CH23" s="56">
        <f>($AO23-$AO24)*100</f>
        <v/>
      </c>
      <c r="CI23" s="56">
        <f>($AP23-$AP24)*100</f>
        <v/>
      </c>
      <c r="CJ23" s="56">
        <f>($AQ23-$AQ24)*100</f>
        <v/>
      </c>
      <c r="CK23" s="56">
        <f>($AR23-$AR24)*100</f>
        <v/>
      </c>
      <c r="CL23" s="56">
        <f>($AS23-$AS24)*100</f>
        <v/>
      </c>
      <c r="CM23" s="56">
        <f>($AT23-$AT24)*100</f>
        <v/>
      </c>
      <c r="CN23" s="56">
        <f>($AU23-$AU24)*100</f>
        <v/>
      </c>
      <c r="CO23" s="56">
        <f>($AV23-$AV24)*100</f>
        <v/>
      </c>
      <c r="CP23" s="56">
        <f>($AW23-$AW24)*100</f>
        <v/>
      </c>
      <c r="CQ23" s="56">
        <f>($AX23-$AX24)*100</f>
        <v/>
      </c>
      <c r="CR23" s="56">
        <f>($AY23-$AY24)*100</f>
        <v/>
      </c>
      <c r="CS23" s="57">
        <f>IFERROR($L24/$L23-1,"")</f>
        <v/>
      </c>
      <c r="CT23" s="57">
        <f>IFERROR($M24/$M23-1,"")</f>
        <v/>
      </c>
      <c r="CU23" s="57">
        <f>IFERROR($N24/$N23-1,"")</f>
        <v/>
      </c>
      <c r="CV23" s="57">
        <f>IFERROR($O24/$O23-1,"")</f>
        <v/>
      </c>
      <c r="CW23" s="57">
        <f>IFERROR($P24/$P23-1,"")</f>
        <v/>
      </c>
      <c r="CX23" s="57">
        <f>IFERROR($Q24/$Q23-1,"")</f>
        <v/>
      </c>
      <c r="CY23" s="57">
        <f>IFERROR($R24/$R23-1,"")</f>
        <v/>
      </c>
      <c r="CZ23" s="57">
        <f>IFERROR($S24/$S23-1,"")</f>
        <v/>
      </c>
      <c r="DA23" s="57">
        <f>IFERROR($T24/$T23-1,"")</f>
        <v/>
      </c>
      <c r="DB23" s="57">
        <f>IFERROR($U24/$U23-1,"")</f>
        <v/>
      </c>
      <c r="DC23" s="57">
        <f>IFERROR($V24/$V23-1,"")</f>
        <v/>
      </c>
      <c r="DD23" s="57">
        <f>IFERROR($W24/$W23-1,"")</f>
        <v/>
      </c>
      <c r="DE23" s="57">
        <f>IFERROR($X24/$X23-1,"")</f>
        <v/>
      </c>
      <c r="DF23" s="57">
        <f>IFERROR($Y24/$Y23-1,"")</f>
        <v/>
      </c>
      <c r="DG23" s="57">
        <f>IFERROR($Z24/$Z23-1,"")</f>
        <v/>
      </c>
      <c r="DH23" s="57">
        <f>IFERROR($AA24/$AA23-1,"")</f>
        <v/>
      </c>
      <c r="DI23" s="57">
        <f>IFERROR($AB24/$AB23-1,"")</f>
        <v/>
      </c>
      <c r="DJ23" s="57">
        <f>IFERROR($AC24/$AC23-1,"")</f>
        <v/>
      </c>
      <c r="DK23" s="57">
        <f>IFERROR($AD24/$AD23-1,"")</f>
        <v/>
      </c>
      <c r="DL23" s="57">
        <f>IFERROR($AE24/$AE23-1,"")</f>
        <v/>
      </c>
      <c r="DM23" s="56">
        <f>$AZ23-$AZ24</f>
        <v/>
      </c>
      <c r="DN23" s="56">
        <f>$BA23-$BA24</f>
        <v/>
      </c>
      <c r="DO23" s="56">
        <f>$BB23-$BB24</f>
        <v/>
      </c>
      <c r="DP23" s="56">
        <f>$BC23-$BC24</f>
        <v/>
      </c>
      <c r="DQ23" s="56">
        <f>$BD23-$BD24</f>
        <v/>
      </c>
      <c r="DR23" s="56">
        <f>$BE23-$BE24</f>
        <v/>
      </c>
      <c r="DS23" s="56">
        <f>$BF23-$BF24</f>
        <v/>
      </c>
      <c r="DT23" s="56">
        <f>$BG23-$BG24</f>
        <v/>
      </c>
      <c r="DU23" s="56">
        <f>$BH23-$BH24</f>
        <v/>
      </c>
      <c r="DV23" s="56">
        <f>$BI23-$BI24</f>
        <v/>
      </c>
      <c r="DW23" s="56">
        <f>$BJ23-$BJ24</f>
        <v/>
      </c>
      <c r="DX23" s="56">
        <f>$BK23-$BK24</f>
        <v/>
      </c>
      <c r="DY23" s="56">
        <f>$BL23-$BL24</f>
        <v/>
      </c>
      <c r="DZ23" s="56">
        <f>$BM23-$BM24</f>
        <v/>
      </c>
      <c r="EA23" s="56">
        <f>$BN23-$BN24</f>
        <v/>
      </c>
      <c r="EB23" s="56">
        <f>$BO23-$BO24</f>
        <v/>
      </c>
      <c r="EC23" s="56">
        <f>$BP23-$BP24</f>
        <v/>
      </c>
      <c r="ED23" s="56">
        <f>$BQ23-$BQ24</f>
        <v/>
      </c>
      <c r="EE23" s="56">
        <f>$BR23-$BR24</f>
        <v/>
      </c>
      <c r="EF23" s="56">
        <f>$BS23-$BS24</f>
        <v/>
      </c>
      <c r="EG23" s="56">
        <f>$BT23-$BT24</f>
        <v/>
      </c>
      <c r="EH23" s="56">
        <f>$BU23-$BU24</f>
        <v/>
      </c>
    </row>
    <row r="24">
      <c r="BV24" s="56">
        <f>($D24-$D25)*100</f>
        <v/>
      </c>
      <c r="BW24" s="56">
        <f>($C24-$C25)*100</f>
        <v/>
      </c>
      <c r="BX24" s="57">
        <f>IFERROR($I24/$I25-1,"")</f>
        <v/>
      </c>
      <c r="BY24" s="56">
        <f>($AF24-$AF25)*100</f>
        <v/>
      </c>
      <c r="BZ24" s="56">
        <f>($AG24-$AG25)*100</f>
        <v/>
      </c>
      <c r="CA24" s="56">
        <f>($AH24-$AH25)*100</f>
        <v/>
      </c>
      <c r="CB24" s="56">
        <f>($AI24-$AI25)*100</f>
        <v/>
      </c>
      <c r="CC24" s="56">
        <f>($AJ24-$AJ25)*100</f>
        <v/>
      </c>
      <c r="CD24" s="56">
        <f>($AK24-$AK25)*100</f>
        <v/>
      </c>
      <c r="CE24" s="56">
        <f>($AL24-$AL25)*100</f>
        <v/>
      </c>
      <c r="CF24" s="56">
        <f>($AM24-$AM25)*100</f>
        <v/>
      </c>
      <c r="CG24" s="56">
        <f>($AN24-$AN25)*100</f>
        <v/>
      </c>
      <c r="CH24" s="56">
        <f>($AO24-$AO25)*100</f>
        <v/>
      </c>
      <c r="CI24" s="56">
        <f>($AP24-$AP25)*100</f>
        <v/>
      </c>
      <c r="CJ24" s="56">
        <f>($AQ24-$AQ25)*100</f>
        <v/>
      </c>
      <c r="CK24" s="56">
        <f>($AR24-$AR25)*100</f>
        <v/>
      </c>
      <c r="CL24" s="56">
        <f>($AS24-$AS25)*100</f>
        <v/>
      </c>
      <c r="CM24" s="56">
        <f>($AT24-$AT25)*100</f>
        <v/>
      </c>
      <c r="CN24" s="56">
        <f>($AU24-$AU25)*100</f>
        <v/>
      </c>
      <c r="CO24" s="56">
        <f>($AV24-$AV25)*100</f>
        <v/>
      </c>
      <c r="CP24" s="56">
        <f>($AW24-$AW25)*100</f>
        <v/>
      </c>
      <c r="CQ24" s="56">
        <f>($AX24-$AX25)*100</f>
        <v/>
      </c>
      <c r="CR24" s="56">
        <f>($AY24-$AY25)*100</f>
        <v/>
      </c>
      <c r="CS24" s="57">
        <f>IFERROR($L25/$L24-1,"")</f>
        <v/>
      </c>
      <c r="CT24" s="57">
        <f>IFERROR($M25/$M24-1,"")</f>
        <v/>
      </c>
      <c r="CU24" s="57">
        <f>IFERROR($N25/$N24-1,"")</f>
        <v/>
      </c>
      <c r="CV24" s="57">
        <f>IFERROR($O25/$O24-1,"")</f>
        <v/>
      </c>
      <c r="CW24" s="57">
        <f>IFERROR($P25/$P24-1,"")</f>
        <v/>
      </c>
      <c r="CX24" s="57">
        <f>IFERROR($Q25/$Q24-1,"")</f>
        <v/>
      </c>
      <c r="CY24" s="57">
        <f>IFERROR($R25/$R24-1,"")</f>
        <v/>
      </c>
      <c r="CZ24" s="57">
        <f>IFERROR($S25/$S24-1,"")</f>
        <v/>
      </c>
      <c r="DA24" s="57">
        <f>IFERROR($T25/$T24-1,"")</f>
        <v/>
      </c>
      <c r="DB24" s="57">
        <f>IFERROR($U25/$U24-1,"")</f>
        <v/>
      </c>
      <c r="DC24" s="57">
        <f>IFERROR($V25/$V24-1,"")</f>
        <v/>
      </c>
      <c r="DD24" s="57">
        <f>IFERROR($W25/$W24-1,"")</f>
        <v/>
      </c>
      <c r="DE24" s="57">
        <f>IFERROR($X25/$X24-1,"")</f>
        <v/>
      </c>
      <c r="DF24" s="57">
        <f>IFERROR($Y25/$Y24-1,"")</f>
        <v/>
      </c>
      <c r="DG24" s="57">
        <f>IFERROR($Z25/$Z24-1,"")</f>
        <v/>
      </c>
      <c r="DH24" s="57">
        <f>IFERROR($AA25/$AA24-1,"")</f>
        <v/>
      </c>
      <c r="DI24" s="57">
        <f>IFERROR($AB25/$AB24-1,"")</f>
        <v/>
      </c>
      <c r="DJ24" s="57">
        <f>IFERROR($AC25/$AC24-1,"")</f>
        <v/>
      </c>
      <c r="DK24" s="57">
        <f>IFERROR($AD25/$AD24-1,"")</f>
        <v/>
      </c>
      <c r="DL24" s="57">
        <f>IFERROR($AE25/$AE24-1,"")</f>
        <v/>
      </c>
      <c r="DM24" s="56">
        <f>$AZ24-$AZ25</f>
        <v/>
      </c>
      <c r="DN24" s="56">
        <f>$BA24-$BA25</f>
        <v/>
      </c>
      <c r="DO24" s="56">
        <f>$BB24-$BB25</f>
        <v/>
      </c>
      <c r="DP24" s="56">
        <f>$BC24-$BC25</f>
        <v/>
      </c>
      <c r="DQ24" s="56">
        <f>$BD24-$BD25</f>
        <v/>
      </c>
      <c r="DR24" s="56">
        <f>$BE24-$BE25</f>
        <v/>
      </c>
      <c r="DS24" s="56">
        <f>$BF24-$BF25</f>
        <v/>
      </c>
      <c r="DT24" s="56">
        <f>$BG24-$BG25</f>
        <v/>
      </c>
      <c r="DU24" s="56">
        <f>$BH24-$BH25</f>
        <v/>
      </c>
      <c r="DV24" s="56">
        <f>$BI24-$BI25</f>
        <v/>
      </c>
      <c r="DW24" s="56">
        <f>$BJ24-$BJ25</f>
        <v/>
      </c>
      <c r="DX24" s="56">
        <f>$BK24-$BK25</f>
        <v/>
      </c>
      <c r="DY24" s="56">
        <f>$BL24-$BL25</f>
        <v/>
      </c>
      <c r="DZ24" s="56">
        <f>$BM24-$BM25</f>
        <v/>
      </c>
      <c r="EA24" s="56">
        <f>$BN24-$BN25</f>
        <v/>
      </c>
      <c r="EB24" s="56">
        <f>$BO24-$BO25</f>
        <v/>
      </c>
      <c r="EC24" s="56">
        <f>$BP24-$BP25</f>
        <v/>
      </c>
      <c r="ED24" s="56">
        <f>$BQ24-$BQ25</f>
        <v/>
      </c>
      <c r="EE24" s="56">
        <f>$BR24-$BR25</f>
        <v/>
      </c>
      <c r="EF24" s="56">
        <f>$BS24-$BS25</f>
        <v/>
      </c>
      <c r="EG24" s="56">
        <f>$BT24-$BT25</f>
        <v/>
      </c>
      <c r="EH24" s="56">
        <f>$BU24-$BU25</f>
        <v/>
      </c>
    </row>
    <row r="25">
      <c r="BV25" s="56">
        <f>($D25-$D26)*100</f>
        <v/>
      </c>
      <c r="BW25" s="56">
        <f>($C25-$C26)*100</f>
        <v/>
      </c>
      <c r="BX25" s="57">
        <f>IFERROR($I25/$I26-1,"")</f>
        <v/>
      </c>
      <c r="BY25" s="56">
        <f>($AF25-$AF26)*100</f>
        <v/>
      </c>
      <c r="BZ25" s="56">
        <f>($AG25-$AG26)*100</f>
        <v/>
      </c>
      <c r="CA25" s="56">
        <f>($AH25-$AH26)*100</f>
        <v/>
      </c>
      <c r="CB25" s="56">
        <f>($AI25-$AI26)*100</f>
        <v/>
      </c>
      <c r="CC25" s="56">
        <f>($AJ25-$AJ26)*100</f>
        <v/>
      </c>
      <c r="CD25" s="56">
        <f>($AK25-$AK26)*100</f>
        <v/>
      </c>
      <c r="CE25" s="56">
        <f>($AL25-$AL26)*100</f>
        <v/>
      </c>
      <c r="CF25" s="56">
        <f>($AM25-$AM26)*100</f>
        <v/>
      </c>
      <c r="CG25" s="56">
        <f>($AN25-$AN26)*100</f>
        <v/>
      </c>
      <c r="CH25" s="56">
        <f>($AO25-$AO26)*100</f>
        <v/>
      </c>
      <c r="CI25" s="56">
        <f>($AP25-$AP26)*100</f>
        <v/>
      </c>
      <c r="CJ25" s="56">
        <f>($AQ25-$AQ26)*100</f>
        <v/>
      </c>
      <c r="CK25" s="56">
        <f>($AR25-$AR26)*100</f>
        <v/>
      </c>
      <c r="CL25" s="56">
        <f>($AS25-$AS26)*100</f>
        <v/>
      </c>
      <c r="CM25" s="56">
        <f>($AT25-$AT26)*100</f>
        <v/>
      </c>
      <c r="CN25" s="56">
        <f>($AU25-$AU26)*100</f>
        <v/>
      </c>
      <c r="CO25" s="56">
        <f>($AV25-$AV26)*100</f>
        <v/>
      </c>
      <c r="CP25" s="56">
        <f>($AW25-$AW26)*100</f>
        <v/>
      </c>
      <c r="CQ25" s="56">
        <f>($AX25-$AX26)*100</f>
        <v/>
      </c>
      <c r="CR25" s="56">
        <f>($AY25-$AY26)*100</f>
        <v/>
      </c>
      <c r="CS25" s="57">
        <f>IFERROR($L26/$L25-1,"")</f>
        <v/>
      </c>
      <c r="CT25" s="57">
        <f>IFERROR($M26/$M25-1,"")</f>
        <v/>
      </c>
      <c r="CU25" s="57">
        <f>IFERROR($N26/$N25-1,"")</f>
        <v/>
      </c>
      <c r="CV25" s="57">
        <f>IFERROR($O26/$O25-1,"")</f>
        <v/>
      </c>
      <c r="CW25" s="57">
        <f>IFERROR($P26/$P25-1,"")</f>
        <v/>
      </c>
      <c r="CX25" s="57">
        <f>IFERROR($Q26/$Q25-1,"")</f>
        <v/>
      </c>
      <c r="CY25" s="57">
        <f>IFERROR($R26/$R25-1,"")</f>
        <v/>
      </c>
      <c r="CZ25" s="57">
        <f>IFERROR($S26/$S25-1,"")</f>
        <v/>
      </c>
      <c r="DA25" s="57">
        <f>IFERROR($T26/$T25-1,"")</f>
        <v/>
      </c>
      <c r="DB25" s="57">
        <f>IFERROR($U26/$U25-1,"")</f>
        <v/>
      </c>
      <c r="DC25" s="57">
        <f>IFERROR($V26/$V25-1,"")</f>
        <v/>
      </c>
      <c r="DD25" s="57">
        <f>IFERROR($W26/$W25-1,"")</f>
        <v/>
      </c>
      <c r="DE25" s="57">
        <f>IFERROR($X26/$X25-1,"")</f>
        <v/>
      </c>
      <c r="DF25" s="57">
        <f>IFERROR($Y26/$Y25-1,"")</f>
        <v/>
      </c>
      <c r="DG25" s="57">
        <f>IFERROR($Z26/$Z25-1,"")</f>
        <v/>
      </c>
      <c r="DH25" s="57">
        <f>IFERROR($AA26/$AA25-1,"")</f>
        <v/>
      </c>
      <c r="DI25" s="57">
        <f>IFERROR($AB26/$AB25-1,"")</f>
        <v/>
      </c>
      <c r="DJ25" s="57">
        <f>IFERROR($AC26/$AC25-1,"")</f>
        <v/>
      </c>
      <c r="DK25" s="57">
        <f>IFERROR($AD26/$AD25-1,"")</f>
        <v/>
      </c>
      <c r="DL25" s="57">
        <f>IFERROR($AE26/$AE25-1,"")</f>
        <v/>
      </c>
      <c r="DM25" s="56">
        <f>$AZ25-$AZ26</f>
        <v/>
      </c>
      <c r="DN25" s="56">
        <f>$BA25-$BA26</f>
        <v/>
      </c>
      <c r="DO25" s="56">
        <f>$BB25-$BB26</f>
        <v/>
      </c>
      <c r="DP25" s="56">
        <f>$BC25-$BC26</f>
        <v/>
      </c>
      <c r="DQ25" s="56">
        <f>$BD25-$BD26</f>
        <v/>
      </c>
      <c r="DR25" s="56">
        <f>$BE25-$BE26</f>
        <v/>
      </c>
      <c r="DS25" s="56">
        <f>$BF25-$BF26</f>
        <v/>
      </c>
      <c r="DT25" s="56">
        <f>$BG25-$BG26</f>
        <v/>
      </c>
      <c r="DU25" s="56">
        <f>$BH25-$BH26</f>
        <v/>
      </c>
      <c r="DV25" s="56">
        <f>$BI25-$BI26</f>
        <v/>
      </c>
      <c r="DW25" s="56">
        <f>$BJ25-$BJ26</f>
        <v/>
      </c>
      <c r="DX25" s="56">
        <f>$BK25-$BK26</f>
        <v/>
      </c>
      <c r="DY25" s="56">
        <f>$BL25-$BL26</f>
        <v/>
      </c>
      <c r="DZ25" s="56">
        <f>$BM25-$BM26</f>
        <v/>
      </c>
      <c r="EA25" s="56">
        <f>$BN25-$BN26</f>
        <v/>
      </c>
      <c r="EB25" s="56">
        <f>$BO25-$BO26</f>
        <v/>
      </c>
      <c r="EC25" s="56">
        <f>$BP25-$BP26</f>
        <v/>
      </c>
      <c r="ED25" s="56">
        <f>$BQ25-$BQ26</f>
        <v/>
      </c>
      <c r="EE25" s="56">
        <f>$BR25-$BR26</f>
        <v/>
      </c>
      <c r="EF25" s="56">
        <f>$BS25-$BS26</f>
        <v/>
      </c>
      <c r="EG25" s="56">
        <f>$BT25-$BT26</f>
        <v/>
      </c>
      <c r="EH25" s="56">
        <f>$BU25-$BU26</f>
        <v/>
      </c>
    </row>
    <row r="26">
      <c r="BV26" s="56">
        <f>($D26-$D27)*100</f>
        <v/>
      </c>
      <c r="BW26" s="56">
        <f>($C26-$C27)*100</f>
        <v/>
      </c>
      <c r="BX26" s="57">
        <f>IFERROR($I26/$I27-1,"")</f>
        <v/>
      </c>
      <c r="BY26" s="56">
        <f>($AF26-$AF27)*100</f>
        <v/>
      </c>
      <c r="BZ26" s="56">
        <f>($AG26-$AG27)*100</f>
        <v/>
      </c>
      <c r="CA26" s="56">
        <f>($AH26-$AH27)*100</f>
        <v/>
      </c>
      <c r="CB26" s="56">
        <f>($AI26-$AI27)*100</f>
        <v/>
      </c>
      <c r="CC26" s="56">
        <f>($AJ26-$AJ27)*100</f>
        <v/>
      </c>
      <c r="CD26" s="56">
        <f>($AK26-$AK27)*100</f>
        <v/>
      </c>
      <c r="CE26" s="56">
        <f>($AL26-$AL27)*100</f>
        <v/>
      </c>
      <c r="CF26" s="56">
        <f>($AM26-$AM27)*100</f>
        <v/>
      </c>
      <c r="CG26" s="56">
        <f>($AN26-$AN27)*100</f>
        <v/>
      </c>
      <c r="CH26" s="56">
        <f>($AO26-$AO27)*100</f>
        <v/>
      </c>
      <c r="CI26" s="56">
        <f>($AP26-$AP27)*100</f>
        <v/>
      </c>
      <c r="CJ26" s="56">
        <f>($AQ26-$AQ27)*100</f>
        <v/>
      </c>
      <c r="CK26" s="56">
        <f>($AR26-$AR27)*100</f>
        <v/>
      </c>
      <c r="CL26" s="56">
        <f>($AS26-$AS27)*100</f>
        <v/>
      </c>
      <c r="CM26" s="56">
        <f>($AT26-$AT27)*100</f>
        <v/>
      </c>
      <c r="CN26" s="56">
        <f>($AU26-$AU27)*100</f>
        <v/>
      </c>
      <c r="CO26" s="56">
        <f>($AV26-$AV27)*100</f>
        <v/>
      </c>
      <c r="CP26" s="56">
        <f>($AW26-$AW27)*100</f>
        <v/>
      </c>
      <c r="CQ26" s="56">
        <f>($AX26-$AX27)*100</f>
        <v/>
      </c>
      <c r="CR26" s="56">
        <f>($AY26-$AY27)*100</f>
        <v/>
      </c>
      <c r="CS26" s="57">
        <f>IFERROR($L27/$L26-1,"")</f>
        <v/>
      </c>
      <c r="CT26" s="57">
        <f>IFERROR($M27/$M26-1,"")</f>
        <v/>
      </c>
      <c r="CU26" s="57">
        <f>IFERROR($N27/$N26-1,"")</f>
        <v/>
      </c>
      <c r="CV26" s="57">
        <f>IFERROR($O27/$O26-1,"")</f>
        <v/>
      </c>
      <c r="CW26" s="57">
        <f>IFERROR($P27/$P26-1,"")</f>
        <v/>
      </c>
      <c r="CX26" s="57">
        <f>IFERROR($Q27/$Q26-1,"")</f>
        <v/>
      </c>
      <c r="CY26" s="57">
        <f>IFERROR($R27/$R26-1,"")</f>
        <v/>
      </c>
      <c r="CZ26" s="57">
        <f>IFERROR($S27/$S26-1,"")</f>
        <v/>
      </c>
      <c r="DA26" s="57">
        <f>IFERROR($T27/$T26-1,"")</f>
        <v/>
      </c>
      <c r="DB26" s="57">
        <f>IFERROR($U27/$U26-1,"")</f>
        <v/>
      </c>
      <c r="DC26" s="57">
        <f>IFERROR($V27/$V26-1,"")</f>
        <v/>
      </c>
      <c r="DD26" s="57">
        <f>IFERROR($W27/$W26-1,"")</f>
        <v/>
      </c>
      <c r="DE26" s="57">
        <f>IFERROR($X27/$X26-1,"")</f>
        <v/>
      </c>
      <c r="DF26" s="57">
        <f>IFERROR($Y27/$Y26-1,"")</f>
        <v/>
      </c>
      <c r="DG26" s="57">
        <f>IFERROR($Z27/$Z26-1,"")</f>
        <v/>
      </c>
      <c r="DH26" s="57">
        <f>IFERROR($AA27/$AA26-1,"")</f>
        <v/>
      </c>
      <c r="DI26" s="57">
        <f>IFERROR($AB27/$AB26-1,"")</f>
        <v/>
      </c>
      <c r="DJ26" s="57">
        <f>IFERROR($AC27/$AC26-1,"")</f>
        <v/>
      </c>
      <c r="DK26" s="57">
        <f>IFERROR($AD27/$AD26-1,"")</f>
        <v/>
      </c>
      <c r="DL26" s="57">
        <f>IFERROR($AE27/$AE26-1,"")</f>
        <v/>
      </c>
      <c r="DM26" s="56">
        <f>$AZ26-$AZ27</f>
        <v/>
      </c>
      <c r="DN26" s="56">
        <f>$BA26-$BA27</f>
        <v/>
      </c>
      <c r="DO26" s="56">
        <f>$BB26-$BB27</f>
        <v/>
      </c>
      <c r="DP26" s="56">
        <f>$BC26-$BC27</f>
        <v/>
      </c>
      <c r="DQ26" s="56">
        <f>$BD26-$BD27</f>
        <v/>
      </c>
      <c r="DR26" s="56">
        <f>$BE26-$BE27</f>
        <v/>
      </c>
      <c r="DS26" s="56">
        <f>$BF26-$BF27</f>
        <v/>
      </c>
      <c r="DT26" s="56">
        <f>$BG26-$BG27</f>
        <v/>
      </c>
      <c r="DU26" s="56">
        <f>$BH26-$BH27</f>
        <v/>
      </c>
      <c r="DV26" s="56">
        <f>$BI26-$BI27</f>
        <v/>
      </c>
      <c r="DW26" s="56">
        <f>$BJ26-$BJ27</f>
        <v/>
      </c>
      <c r="DX26" s="56">
        <f>$BK26-$BK27</f>
        <v/>
      </c>
      <c r="DY26" s="56">
        <f>$BL26-$BL27</f>
        <v/>
      </c>
      <c r="DZ26" s="56">
        <f>$BM26-$BM27</f>
        <v/>
      </c>
      <c r="EA26" s="56">
        <f>$BN26-$BN27</f>
        <v/>
      </c>
      <c r="EB26" s="56">
        <f>$BO26-$BO27</f>
        <v/>
      </c>
      <c r="EC26" s="56">
        <f>$BP26-$BP27</f>
        <v/>
      </c>
      <c r="ED26" s="56">
        <f>$BQ26-$BQ27</f>
        <v/>
      </c>
      <c r="EE26" s="56">
        <f>$BR26-$BR27</f>
        <v/>
      </c>
      <c r="EF26" s="56">
        <f>$BS26-$BS27</f>
        <v/>
      </c>
      <c r="EG26" s="56">
        <f>$BT26-$BT27</f>
        <v/>
      </c>
      <c r="EH26" s="56">
        <f>$BU26-$BU27</f>
        <v/>
      </c>
    </row>
    <row r="27">
      <c r="BV27" s="56">
        <f>($D27-$D28)*100</f>
        <v/>
      </c>
      <c r="BW27" s="56">
        <f>($C27-$C28)*100</f>
        <v/>
      </c>
      <c r="BX27" s="57">
        <f>IFERROR($I27/$I28-1,"")</f>
        <v/>
      </c>
      <c r="BY27" s="56">
        <f>($AF27-$AF28)*100</f>
        <v/>
      </c>
      <c r="BZ27" s="56">
        <f>($AG27-$AG28)*100</f>
        <v/>
      </c>
      <c r="CA27" s="56">
        <f>($AH27-$AH28)*100</f>
        <v/>
      </c>
      <c r="CB27" s="56">
        <f>($AI27-$AI28)*100</f>
        <v/>
      </c>
      <c r="CC27" s="56">
        <f>($AJ27-$AJ28)*100</f>
        <v/>
      </c>
      <c r="CD27" s="56">
        <f>($AK27-$AK28)*100</f>
        <v/>
      </c>
      <c r="CE27" s="56">
        <f>($AL27-$AL28)*100</f>
        <v/>
      </c>
      <c r="CF27" s="56">
        <f>($AM27-$AM28)*100</f>
        <v/>
      </c>
      <c r="CG27" s="56">
        <f>($AN27-$AN28)*100</f>
        <v/>
      </c>
      <c r="CH27" s="56">
        <f>($AO27-$AO28)*100</f>
        <v/>
      </c>
      <c r="CI27" s="56">
        <f>($AP27-$AP28)*100</f>
        <v/>
      </c>
      <c r="CJ27" s="56">
        <f>($AQ27-$AQ28)*100</f>
        <v/>
      </c>
      <c r="CK27" s="56">
        <f>($AR27-$AR28)*100</f>
        <v/>
      </c>
      <c r="CL27" s="56">
        <f>($AS27-$AS28)*100</f>
        <v/>
      </c>
      <c r="CM27" s="56">
        <f>($AT27-$AT28)*100</f>
        <v/>
      </c>
      <c r="CN27" s="56">
        <f>($AU27-$AU28)*100</f>
        <v/>
      </c>
      <c r="CO27" s="56">
        <f>($AV27-$AV28)*100</f>
        <v/>
      </c>
      <c r="CP27" s="56">
        <f>($AW27-$AW28)*100</f>
        <v/>
      </c>
      <c r="CQ27" s="56">
        <f>($AX27-$AX28)*100</f>
        <v/>
      </c>
      <c r="CR27" s="56">
        <f>($AY27-$AY28)*100</f>
        <v/>
      </c>
      <c r="CS27" s="57">
        <f>IFERROR($L28/$L27-1,"")</f>
        <v/>
      </c>
      <c r="CT27" s="57">
        <f>IFERROR($M28/$M27-1,"")</f>
        <v/>
      </c>
      <c r="CU27" s="57">
        <f>IFERROR($N28/$N27-1,"")</f>
        <v/>
      </c>
      <c r="CV27" s="57">
        <f>IFERROR($O28/$O27-1,"")</f>
        <v/>
      </c>
      <c r="CW27" s="57">
        <f>IFERROR($P28/$P27-1,"")</f>
        <v/>
      </c>
      <c r="CX27" s="57">
        <f>IFERROR($Q28/$Q27-1,"")</f>
        <v/>
      </c>
      <c r="CY27" s="57">
        <f>IFERROR($R28/$R27-1,"")</f>
        <v/>
      </c>
      <c r="CZ27" s="57">
        <f>IFERROR($S28/$S27-1,"")</f>
        <v/>
      </c>
      <c r="DA27" s="57">
        <f>IFERROR($T28/$T27-1,"")</f>
        <v/>
      </c>
      <c r="DB27" s="57">
        <f>IFERROR($U28/$U27-1,"")</f>
        <v/>
      </c>
      <c r="DC27" s="57">
        <f>IFERROR($V28/$V27-1,"")</f>
        <v/>
      </c>
      <c r="DD27" s="57">
        <f>IFERROR($W28/$W27-1,"")</f>
        <v/>
      </c>
      <c r="DE27" s="57">
        <f>IFERROR($X28/$X27-1,"")</f>
        <v/>
      </c>
      <c r="DF27" s="57">
        <f>IFERROR($Y28/$Y27-1,"")</f>
        <v/>
      </c>
      <c r="DG27" s="57">
        <f>IFERROR($Z28/$Z27-1,"")</f>
        <v/>
      </c>
      <c r="DH27" s="57">
        <f>IFERROR($AA28/$AA27-1,"")</f>
        <v/>
      </c>
      <c r="DI27" s="57">
        <f>IFERROR($AB28/$AB27-1,"")</f>
        <v/>
      </c>
      <c r="DJ27" s="57">
        <f>IFERROR($AC28/$AC27-1,"")</f>
        <v/>
      </c>
      <c r="DK27" s="57">
        <f>IFERROR($AD28/$AD27-1,"")</f>
        <v/>
      </c>
      <c r="DL27" s="57">
        <f>IFERROR($AE28/$AE27-1,"")</f>
        <v/>
      </c>
      <c r="DM27" s="56">
        <f>$AZ27-$AZ28</f>
        <v/>
      </c>
      <c r="DN27" s="56">
        <f>$BA27-$BA28</f>
        <v/>
      </c>
      <c r="DO27" s="56">
        <f>$BB27-$BB28</f>
        <v/>
      </c>
      <c r="DP27" s="56">
        <f>$BC27-$BC28</f>
        <v/>
      </c>
      <c r="DQ27" s="56">
        <f>$BD27-$BD28</f>
        <v/>
      </c>
      <c r="DR27" s="56">
        <f>$BE27-$BE28</f>
        <v/>
      </c>
      <c r="DS27" s="56">
        <f>$BF27-$BF28</f>
        <v/>
      </c>
      <c r="DT27" s="56">
        <f>$BG27-$BG28</f>
        <v/>
      </c>
      <c r="DU27" s="56">
        <f>$BH27-$BH28</f>
        <v/>
      </c>
      <c r="DV27" s="56">
        <f>$BI27-$BI28</f>
        <v/>
      </c>
      <c r="DW27" s="56">
        <f>$BJ27-$BJ28</f>
        <v/>
      </c>
      <c r="DX27" s="56">
        <f>$BK27-$BK28</f>
        <v/>
      </c>
      <c r="DY27" s="56">
        <f>$BL27-$BL28</f>
        <v/>
      </c>
      <c r="DZ27" s="56">
        <f>$BM27-$BM28</f>
        <v/>
      </c>
      <c r="EA27" s="56">
        <f>$BN27-$BN28</f>
        <v/>
      </c>
      <c r="EB27" s="56">
        <f>$BO27-$BO28</f>
        <v/>
      </c>
      <c r="EC27" s="56">
        <f>$BP27-$BP28</f>
        <v/>
      </c>
      <c r="ED27" s="56">
        <f>$BQ27-$BQ28</f>
        <v/>
      </c>
      <c r="EE27" s="56">
        <f>$BR27-$BR28</f>
        <v/>
      </c>
      <c r="EF27" s="56">
        <f>$BS27-$BS28</f>
        <v/>
      </c>
      <c r="EG27" s="56">
        <f>$BT27-$BT28</f>
        <v/>
      </c>
      <c r="EH27" s="56">
        <f>$BU27-$BU28</f>
        <v/>
      </c>
    </row>
    <row r="28">
      <c r="BV28" s="56">
        <f>($D28-$D29)*100</f>
        <v/>
      </c>
      <c r="BW28" s="56">
        <f>($C28-$C29)*100</f>
        <v/>
      </c>
      <c r="BX28" s="57">
        <f>IFERROR($I28/$I29-1,"")</f>
        <v/>
      </c>
      <c r="BY28" s="56">
        <f>($AF28-$AF29)*100</f>
        <v/>
      </c>
      <c r="BZ28" s="56">
        <f>($AG28-$AG29)*100</f>
        <v/>
      </c>
      <c r="CA28" s="56">
        <f>($AH28-$AH29)*100</f>
        <v/>
      </c>
      <c r="CB28" s="56">
        <f>($AI28-$AI29)*100</f>
        <v/>
      </c>
      <c r="CC28" s="56">
        <f>($AJ28-$AJ29)*100</f>
        <v/>
      </c>
      <c r="CD28" s="56">
        <f>($AK28-$AK29)*100</f>
        <v/>
      </c>
      <c r="CE28" s="56">
        <f>($AL28-$AL29)*100</f>
        <v/>
      </c>
      <c r="CF28" s="56">
        <f>($AM28-$AM29)*100</f>
        <v/>
      </c>
      <c r="CG28" s="56">
        <f>($AN28-$AN29)*100</f>
        <v/>
      </c>
      <c r="CH28" s="56">
        <f>($AO28-$AO29)*100</f>
        <v/>
      </c>
      <c r="CI28" s="56">
        <f>($AP28-$AP29)*100</f>
        <v/>
      </c>
      <c r="CJ28" s="56">
        <f>($AQ28-$AQ29)*100</f>
        <v/>
      </c>
      <c r="CK28" s="56">
        <f>($AR28-$AR29)*100</f>
        <v/>
      </c>
      <c r="CL28" s="56">
        <f>($AS28-$AS29)*100</f>
        <v/>
      </c>
      <c r="CM28" s="56">
        <f>($AT28-$AT29)*100</f>
        <v/>
      </c>
      <c r="CN28" s="56">
        <f>($AU28-$AU29)*100</f>
        <v/>
      </c>
      <c r="CO28" s="56">
        <f>($AV28-$AV29)*100</f>
        <v/>
      </c>
      <c r="CP28" s="56">
        <f>($AW28-$AW29)*100</f>
        <v/>
      </c>
      <c r="CQ28" s="56">
        <f>($AX28-$AX29)*100</f>
        <v/>
      </c>
      <c r="CR28" s="56">
        <f>($AY28-$AY29)*100</f>
        <v/>
      </c>
      <c r="CS28" s="57">
        <f>IFERROR($L29/$L28-1,"")</f>
        <v/>
      </c>
      <c r="CT28" s="57">
        <f>IFERROR($M29/$M28-1,"")</f>
        <v/>
      </c>
      <c r="CU28" s="57">
        <f>IFERROR($N29/$N28-1,"")</f>
        <v/>
      </c>
      <c r="CV28" s="57">
        <f>IFERROR($O29/$O28-1,"")</f>
        <v/>
      </c>
      <c r="CW28" s="57">
        <f>IFERROR($P29/$P28-1,"")</f>
        <v/>
      </c>
      <c r="CX28" s="57">
        <f>IFERROR($Q29/$Q28-1,"")</f>
        <v/>
      </c>
      <c r="CY28" s="57">
        <f>IFERROR($R29/$R28-1,"")</f>
        <v/>
      </c>
      <c r="CZ28" s="57">
        <f>IFERROR($S29/$S28-1,"")</f>
        <v/>
      </c>
      <c r="DA28" s="57">
        <f>IFERROR($T29/$T28-1,"")</f>
        <v/>
      </c>
      <c r="DB28" s="57">
        <f>IFERROR($U29/$U28-1,"")</f>
        <v/>
      </c>
      <c r="DC28" s="57">
        <f>IFERROR($V29/$V28-1,"")</f>
        <v/>
      </c>
      <c r="DD28" s="57">
        <f>IFERROR($W29/$W28-1,"")</f>
        <v/>
      </c>
      <c r="DE28" s="57">
        <f>IFERROR($X29/$X28-1,"")</f>
        <v/>
      </c>
      <c r="DF28" s="57">
        <f>IFERROR($Y29/$Y28-1,"")</f>
        <v/>
      </c>
      <c r="DG28" s="57">
        <f>IFERROR($Z29/$Z28-1,"")</f>
        <v/>
      </c>
      <c r="DH28" s="57">
        <f>IFERROR($AA29/$AA28-1,"")</f>
        <v/>
      </c>
      <c r="DI28" s="57">
        <f>IFERROR($AB29/$AB28-1,"")</f>
        <v/>
      </c>
      <c r="DJ28" s="57">
        <f>IFERROR($AC29/$AC28-1,"")</f>
        <v/>
      </c>
      <c r="DK28" s="57">
        <f>IFERROR($AD29/$AD28-1,"")</f>
        <v/>
      </c>
      <c r="DL28" s="57">
        <f>IFERROR($AE29/$AE28-1,"")</f>
        <v/>
      </c>
      <c r="DM28" s="56">
        <f>$AZ28-$AZ29</f>
        <v/>
      </c>
      <c r="DN28" s="56">
        <f>$BA28-$BA29</f>
        <v/>
      </c>
      <c r="DO28" s="56">
        <f>$BB28-$BB29</f>
        <v/>
      </c>
      <c r="DP28" s="56">
        <f>$BC28-$BC29</f>
        <v/>
      </c>
      <c r="DQ28" s="56">
        <f>$BD28-$BD29</f>
        <v/>
      </c>
      <c r="DR28" s="56">
        <f>$BE28-$BE29</f>
        <v/>
      </c>
      <c r="DS28" s="56">
        <f>$BF28-$BF29</f>
        <v/>
      </c>
      <c r="DT28" s="56">
        <f>$BG28-$BG29</f>
        <v/>
      </c>
      <c r="DU28" s="56">
        <f>$BH28-$BH29</f>
        <v/>
      </c>
      <c r="DV28" s="56">
        <f>$BI28-$BI29</f>
        <v/>
      </c>
      <c r="DW28" s="56">
        <f>$BJ28-$BJ29</f>
        <v/>
      </c>
      <c r="DX28" s="56">
        <f>$BK28-$BK29</f>
        <v/>
      </c>
      <c r="DY28" s="56">
        <f>$BL28-$BL29</f>
        <v/>
      </c>
      <c r="DZ28" s="56">
        <f>$BM28-$BM29</f>
        <v/>
      </c>
      <c r="EA28" s="56">
        <f>$BN28-$BN29</f>
        <v/>
      </c>
      <c r="EB28" s="56">
        <f>$BO28-$BO29</f>
        <v/>
      </c>
      <c r="EC28" s="56">
        <f>$BP28-$BP29</f>
        <v/>
      </c>
      <c r="ED28" s="56">
        <f>$BQ28-$BQ29</f>
        <v/>
      </c>
      <c r="EE28" s="56">
        <f>$BR28-$BR29</f>
        <v/>
      </c>
      <c r="EF28" s="56">
        <f>$BS28-$BS29</f>
        <v/>
      </c>
      <c r="EG28" s="56">
        <f>$BT28-$BT29</f>
        <v/>
      </c>
      <c r="EH28" s="56">
        <f>$BU28-$BU29</f>
        <v/>
      </c>
    </row>
    <row r="29">
      <c r="BV29" s="56">
        <f>($D29-$D30)*100</f>
        <v/>
      </c>
      <c r="BW29" s="56">
        <f>($C29-$C30)*100</f>
        <v/>
      </c>
      <c r="BX29" s="57">
        <f>IFERROR($I29/$I30-1,"")</f>
        <v/>
      </c>
      <c r="BY29" s="56">
        <f>($AF29-$AF30)*100</f>
        <v/>
      </c>
      <c r="BZ29" s="56">
        <f>($AG29-$AG30)*100</f>
        <v/>
      </c>
      <c r="CA29" s="56">
        <f>($AH29-$AH30)*100</f>
        <v/>
      </c>
      <c r="CB29" s="56">
        <f>($AI29-$AI30)*100</f>
        <v/>
      </c>
      <c r="CC29" s="56">
        <f>($AJ29-$AJ30)*100</f>
        <v/>
      </c>
      <c r="CD29" s="56">
        <f>($AK29-$AK30)*100</f>
        <v/>
      </c>
      <c r="CE29" s="56">
        <f>($AL29-$AL30)*100</f>
        <v/>
      </c>
      <c r="CF29" s="56">
        <f>($AM29-$AM30)*100</f>
        <v/>
      </c>
      <c r="CG29" s="56">
        <f>($AN29-$AN30)*100</f>
        <v/>
      </c>
      <c r="CH29" s="56">
        <f>($AO29-$AO30)*100</f>
        <v/>
      </c>
      <c r="CI29" s="56">
        <f>($AP29-$AP30)*100</f>
        <v/>
      </c>
      <c r="CJ29" s="56">
        <f>($AQ29-$AQ30)*100</f>
        <v/>
      </c>
      <c r="CK29" s="56">
        <f>($AR29-$AR30)*100</f>
        <v/>
      </c>
      <c r="CL29" s="56">
        <f>($AS29-$AS30)*100</f>
        <v/>
      </c>
      <c r="CM29" s="56">
        <f>($AT29-$AT30)*100</f>
        <v/>
      </c>
      <c r="CN29" s="56">
        <f>($AU29-$AU30)*100</f>
        <v/>
      </c>
      <c r="CO29" s="56">
        <f>($AV29-$AV30)*100</f>
        <v/>
      </c>
      <c r="CP29" s="56">
        <f>($AW29-$AW30)*100</f>
        <v/>
      </c>
      <c r="CQ29" s="56">
        <f>($AX29-$AX30)*100</f>
        <v/>
      </c>
      <c r="CR29" s="56">
        <f>($AY29-$AY30)*100</f>
        <v/>
      </c>
      <c r="CS29" s="57">
        <f>IFERROR($L30/$L29-1,"")</f>
        <v/>
      </c>
      <c r="CT29" s="57">
        <f>IFERROR($M30/$M29-1,"")</f>
        <v/>
      </c>
      <c r="CU29" s="57">
        <f>IFERROR($N30/$N29-1,"")</f>
        <v/>
      </c>
      <c r="CV29" s="57">
        <f>IFERROR($O30/$O29-1,"")</f>
        <v/>
      </c>
      <c r="CW29" s="57">
        <f>IFERROR($P30/$P29-1,"")</f>
        <v/>
      </c>
      <c r="CX29" s="57">
        <f>IFERROR($Q30/$Q29-1,"")</f>
        <v/>
      </c>
      <c r="CY29" s="57">
        <f>IFERROR($R30/$R29-1,"")</f>
        <v/>
      </c>
      <c r="CZ29" s="57">
        <f>IFERROR($S30/$S29-1,"")</f>
        <v/>
      </c>
      <c r="DA29" s="57">
        <f>IFERROR($T30/$T29-1,"")</f>
        <v/>
      </c>
      <c r="DB29" s="57">
        <f>IFERROR($U30/$U29-1,"")</f>
        <v/>
      </c>
      <c r="DC29" s="57">
        <f>IFERROR($V30/$V29-1,"")</f>
        <v/>
      </c>
      <c r="DD29" s="57">
        <f>IFERROR($W30/$W29-1,"")</f>
        <v/>
      </c>
      <c r="DE29" s="57">
        <f>IFERROR($X30/$X29-1,"")</f>
        <v/>
      </c>
      <c r="DF29" s="57">
        <f>IFERROR($Y30/$Y29-1,"")</f>
        <v/>
      </c>
      <c r="DG29" s="57">
        <f>IFERROR($Z30/$Z29-1,"")</f>
        <v/>
      </c>
      <c r="DH29" s="57">
        <f>IFERROR($AA30/$AA29-1,"")</f>
        <v/>
      </c>
      <c r="DI29" s="57">
        <f>IFERROR($AB30/$AB29-1,"")</f>
        <v/>
      </c>
      <c r="DJ29" s="57">
        <f>IFERROR($AC30/$AC29-1,"")</f>
        <v/>
      </c>
      <c r="DK29" s="57">
        <f>IFERROR($AD30/$AD29-1,"")</f>
        <v/>
      </c>
      <c r="DL29" s="57">
        <f>IFERROR($AE30/$AE29-1,"")</f>
        <v/>
      </c>
      <c r="DM29" s="56">
        <f>$AZ29-$AZ30</f>
        <v/>
      </c>
      <c r="DN29" s="56">
        <f>$BA29-$BA30</f>
        <v/>
      </c>
      <c r="DO29" s="56">
        <f>$BB29-$BB30</f>
        <v/>
      </c>
      <c r="DP29" s="56">
        <f>$BC29-$BC30</f>
        <v/>
      </c>
      <c r="DQ29" s="56">
        <f>$BD29-$BD30</f>
        <v/>
      </c>
      <c r="DR29" s="56">
        <f>$BE29-$BE30</f>
        <v/>
      </c>
      <c r="DS29" s="56">
        <f>$BF29-$BF30</f>
        <v/>
      </c>
      <c r="DT29" s="56">
        <f>$BG29-$BG30</f>
        <v/>
      </c>
      <c r="DU29" s="56">
        <f>$BH29-$BH30</f>
        <v/>
      </c>
      <c r="DV29" s="56">
        <f>$BI29-$BI30</f>
        <v/>
      </c>
      <c r="DW29" s="56">
        <f>$BJ29-$BJ30</f>
        <v/>
      </c>
      <c r="DX29" s="56">
        <f>$BK29-$BK30</f>
        <v/>
      </c>
      <c r="DY29" s="56">
        <f>$BL29-$BL30</f>
        <v/>
      </c>
      <c r="DZ29" s="56">
        <f>$BM29-$BM30</f>
        <v/>
      </c>
      <c r="EA29" s="56">
        <f>$BN29-$BN30</f>
        <v/>
      </c>
      <c r="EB29" s="56">
        <f>$BO29-$BO30</f>
        <v/>
      </c>
      <c r="EC29" s="56">
        <f>$BP29-$BP30</f>
        <v/>
      </c>
      <c r="ED29" s="56">
        <f>$BQ29-$BQ30</f>
        <v/>
      </c>
      <c r="EE29" s="56">
        <f>$BR29-$BR30</f>
        <v/>
      </c>
      <c r="EF29" s="56">
        <f>$BS29-$BS30</f>
        <v/>
      </c>
      <c r="EG29" s="56">
        <f>$BT29-$BT30</f>
        <v/>
      </c>
      <c r="EH29" s="56">
        <f>$BU29-$BU30</f>
        <v/>
      </c>
    </row>
    <row r="30">
      <c r="BV30" s="56">
        <f>($D30-$D31)*100</f>
        <v/>
      </c>
      <c r="BW30" s="56">
        <f>($C30-$C31)*100</f>
        <v/>
      </c>
      <c r="BX30" s="57">
        <f>IFERROR($I30/$I31-1,"")</f>
        <v/>
      </c>
      <c r="BY30" s="56">
        <f>($AF30-$AF31)*100</f>
        <v/>
      </c>
      <c r="BZ30" s="56">
        <f>($AG30-$AG31)*100</f>
        <v/>
      </c>
      <c r="CA30" s="56">
        <f>($AH30-$AH31)*100</f>
        <v/>
      </c>
      <c r="CB30" s="56">
        <f>($AI30-$AI31)*100</f>
        <v/>
      </c>
      <c r="CC30" s="56">
        <f>($AJ30-$AJ31)*100</f>
        <v/>
      </c>
      <c r="CD30" s="56">
        <f>($AK30-$AK31)*100</f>
        <v/>
      </c>
      <c r="CE30" s="56">
        <f>($AL30-$AL31)*100</f>
        <v/>
      </c>
      <c r="CF30" s="56">
        <f>($AM30-$AM31)*100</f>
        <v/>
      </c>
      <c r="CG30" s="56">
        <f>($AN30-$AN31)*100</f>
        <v/>
      </c>
      <c r="CH30" s="56">
        <f>($AO30-$AO31)*100</f>
        <v/>
      </c>
      <c r="CI30" s="56">
        <f>($AP30-$AP31)*100</f>
        <v/>
      </c>
      <c r="CJ30" s="56">
        <f>($AQ30-$AQ31)*100</f>
        <v/>
      </c>
      <c r="CK30" s="56">
        <f>($AR30-$AR31)*100</f>
        <v/>
      </c>
      <c r="CL30" s="56">
        <f>($AS30-$AS31)*100</f>
        <v/>
      </c>
      <c r="CM30" s="56">
        <f>($AT30-$AT31)*100</f>
        <v/>
      </c>
      <c r="CN30" s="56">
        <f>($AU30-$AU31)*100</f>
        <v/>
      </c>
      <c r="CO30" s="56">
        <f>($AV30-$AV31)*100</f>
        <v/>
      </c>
      <c r="CP30" s="56">
        <f>($AW30-$AW31)*100</f>
        <v/>
      </c>
      <c r="CQ30" s="56">
        <f>($AX30-$AX31)*100</f>
        <v/>
      </c>
      <c r="CR30" s="56">
        <f>($AY30-$AY31)*100</f>
        <v/>
      </c>
      <c r="CS30" s="57">
        <f>IFERROR($L31/$L30-1,"")</f>
        <v/>
      </c>
      <c r="CT30" s="57">
        <f>IFERROR($M31/$M30-1,"")</f>
        <v/>
      </c>
      <c r="CU30" s="57">
        <f>IFERROR($N31/$N30-1,"")</f>
        <v/>
      </c>
      <c r="CV30" s="57">
        <f>IFERROR($O31/$O30-1,"")</f>
        <v/>
      </c>
      <c r="CW30" s="57">
        <f>IFERROR($P31/$P30-1,"")</f>
        <v/>
      </c>
      <c r="CX30" s="57">
        <f>IFERROR($Q31/$Q30-1,"")</f>
        <v/>
      </c>
      <c r="CY30" s="57">
        <f>IFERROR($R31/$R30-1,"")</f>
        <v/>
      </c>
      <c r="CZ30" s="57">
        <f>IFERROR($S31/$S30-1,"")</f>
        <v/>
      </c>
      <c r="DA30" s="57">
        <f>IFERROR($T31/$T30-1,"")</f>
        <v/>
      </c>
      <c r="DB30" s="57">
        <f>IFERROR($U31/$U30-1,"")</f>
        <v/>
      </c>
      <c r="DC30" s="57">
        <f>IFERROR($V31/$V30-1,"")</f>
        <v/>
      </c>
      <c r="DD30" s="57">
        <f>IFERROR($W31/$W30-1,"")</f>
        <v/>
      </c>
      <c r="DE30" s="57">
        <f>IFERROR($X31/$X30-1,"")</f>
        <v/>
      </c>
      <c r="DF30" s="57">
        <f>IFERROR($Y31/$Y30-1,"")</f>
        <v/>
      </c>
      <c r="DG30" s="57">
        <f>IFERROR($Z31/$Z30-1,"")</f>
        <v/>
      </c>
      <c r="DH30" s="57">
        <f>IFERROR($AA31/$AA30-1,"")</f>
        <v/>
      </c>
      <c r="DI30" s="57">
        <f>IFERROR($AB31/$AB30-1,"")</f>
        <v/>
      </c>
      <c r="DJ30" s="57">
        <f>IFERROR($AC31/$AC30-1,"")</f>
        <v/>
      </c>
      <c r="DK30" s="57">
        <f>IFERROR($AD31/$AD30-1,"")</f>
        <v/>
      </c>
      <c r="DL30" s="57">
        <f>IFERROR($AE31/$AE30-1,"")</f>
        <v/>
      </c>
      <c r="DM30" s="56">
        <f>$AZ30-$AZ31</f>
        <v/>
      </c>
      <c r="DN30" s="56">
        <f>$BA30-$BA31</f>
        <v/>
      </c>
      <c r="DO30" s="56">
        <f>$BB30-$BB31</f>
        <v/>
      </c>
      <c r="DP30" s="56">
        <f>$BC30-$BC31</f>
        <v/>
      </c>
      <c r="DQ30" s="56">
        <f>$BD30-$BD31</f>
        <v/>
      </c>
      <c r="DR30" s="56">
        <f>$BE30-$BE31</f>
        <v/>
      </c>
      <c r="DS30" s="56">
        <f>$BF30-$BF31</f>
        <v/>
      </c>
      <c r="DT30" s="56">
        <f>$BG30-$BG31</f>
        <v/>
      </c>
      <c r="DU30" s="56">
        <f>$BH30-$BH31</f>
        <v/>
      </c>
      <c r="DV30" s="56">
        <f>$BI30-$BI31</f>
        <v/>
      </c>
      <c r="DW30" s="56">
        <f>$BJ30-$BJ31</f>
        <v/>
      </c>
      <c r="DX30" s="56">
        <f>$BK30-$BK31</f>
        <v/>
      </c>
      <c r="DY30" s="56">
        <f>$BL30-$BL31</f>
        <v/>
      </c>
      <c r="DZ30" s="56">
        <f>$BM30-$BM31</f>
        <v/>
      </c>
      <c r="EA30" s="56">
        <f>$BN30-$BN31</f>
        <v/>
      </c>
      <c r="EB30" s="56">
        <f>$BO30-$BO31</f>
        <v/>
      </c>
      <c r="EC30" s="56">
        <f>$BP30-$BP31</f>
        <v/>
      </c>
      <c r="ED30" s="56">
        <f>$BQ30-$BQ31</f>
        <v/>
      </c>
      <c r="EE30" s="56">
        <f>$BR30-$BR31</f>
        <v/>
      </c>
      <c r="EF30" s="56">
        <f>$BS30-$BS31</f>
        <v/>
      </c>
      <c r="EG30" s="56">
        <f>$BT30-$BT31</f>
        <v/>
      </c>
      <c r="EH30" s="56">
        <f>$BU30-$BU31</f>
        <v/>
      </c>
    </row>
    <row r="31">
      <c r="BV31" s="56">
        <f>($D31-$D32)*100</f>
        <v/>
      </c>
      <c r="BW31" s="56">
        <f>($C31-$C32)*100</f>
        <v/>
      </c>
      <c r="BX31" s="57">
        <f>IFERROR($I31/$I32-1,"")</f>
        <v/>
      </c>
      <c r="BY31" s="56">
        <f>($AF31-$AF32)*100</f>
        <v/>
      </c>
      <c r="BZ31" s="56">
        <f>($AG31-$AG32)*100</f>
        <v/>
      </c>
      <c r="CA31" s="56">
        <f>($AH31-$AH32)*100</f>
        <v/>
      </c>
      <c r="CB31" s="56">
        <f>($AI31-$AI32)*100</f>
        <v/>
      </c>
      <c r="CC31" s="56">
        <f>($AJ31-$AJ32)*100</f>
        <v/>
      </c>
      <c r="CD31" s="56">
        <f>($AK31-$AK32)*100</f>
        <v/>
      </c>
      <c r="CE31" s="56">
        <f>($AL31-$AL32)*100</f>
        <v/>
      </c>
      <c r="CF31" s="56">
        <f>($AM31-$AM32)*100</f>
        <v/>
      </c>
      <c r="CG31" s="56">
        <f>($AN31-$AN32)*100</f>
        <v/>
      </c>
      <c r="CH31" s="56">
        <f>($AO31-$AO32)*100</f>
        <v/>
      </c>
      <c r="CI31" s="56">
        <f>($AP31-$AP32)*100</f>
        <v/>
      </c>
      <c r="CJ31" s="56">
        <f>($AQ31-$AQ32)*100</f>
        <v/>
      </c>
      <c r="CK31" s="56">
        <f>($AR31-$AR32)*100</f>
        <v/>
      </c>
      <c r="CL31" s="56">
        <f>($AS31-$AS32)*100</f>
        <v/>
      </c>
      <c r="CM31" s="56">
        <f>($AT31-$AT32)*100</f>
        <v/>
      </c>
      <c r="CN31" s="56">
        <f>($AU31-$AU32)*100</f>
        <v/>
      </c>
      <c r="CO31" s="56">
        <f>($AV31-$AV32)*100</f>
        <v/>
      </c>
      <c r="CP31" s="56">
        <f>($AW31-$AW32)*100</f>
        <v/>
      </c>
      <c r="CQ31" s="56">
        <f>($AX31-$AX32)*100</f>
        <v/>
      </c>
      <c r="CR31" s="56">
        <f>($AY31-$AY32)*100</f>
        <v/>
      </c>
      <c r="CS31" s="57">
        <f>IFERROR($L32/$L31-1,"")</f>
        <v/>
      </c>
      <c r="CT31" s="57">
        <f>IFERROR($M32/$M31-1,"")</f>
        <v/>
      </c>
      <c r="CU31" s="57">
        <f>IFERROR($N32/$N31-1,"")</f>
        <v/>
      </c>
      <c r="CV31" s="57">
        <f>IFERROR($O32/$O31-1,"")</f>
        <v/>
      </c>
      <c r="CW31" s="57">
        <f>IFERROR($P32/$P31-1,"")</f>
        <v/>
      </c>
      <c r="CX31" s="57">
        <f>IFERROR($Q32/$Q31-1,"")</f>
        <v/>
      </c>
      <c r="CY31" s="57">
        <f>IFERROR($R32/$R31-1,"")</f>
        <v/>
      </c>
      <c r="CZ31" s="57">
        <f>IFERROR($S32/$S31-1,"")</f>
        <v/>
      </c>
      <c r="DA31" s="57">
        <f>IFERROR($T32/$T31-1,"")</f>
        <v/>
      </c>
      <c r="DB31" s="57">
        <f>IFERROR($U32/$U31-1,"")</f>
        <v/>
      </c>
      <c r="DC31" s="57">
        <f>IFERROR($V32/$V31-1,"")</f>
        <v/>
      </c>
      <c r="DD31" s="57">
        <f>IFERROR($W32/$W31-1,"")</f>
        <v/>
      </c>
      <c r="DE31" s="57">
        <f>IFERROR($X32/$X31-1,"")</f>
        <v/>
      </c>
      <c r="DF31" s="57">
        <f>IFERROR($Y32/$Y31-1,"")</f>
        <v/>
      </c>
      <c r="DG31" s="57">
        <f>IFERROR($Z32/$Z31-1,"")</f>
        <v/>
      </c>
      <c r="DH31" s="57">
        <f>IFERROR($AA32/$AA31-1,"")</f>
        <v/>
      </c>
      <c r="DI31" s="57">
        <f>IFERROR($AB32/$AB31-1,"")</f>
        <v/>
      </c>
      <c r="DJ31" s="57">
        <f>IFERROR($AC32/$AC31-1,"")</f>
        <v/>
      </c>
      <c r="DK31" s="57">
        <f>IFERROR($AD32/$AD31-1,"")</f>
        <v/>
      </c>
      <c r="DL31" s="57">
        <f>IFERROR($AE32/$AE31-1,"")</f>
        <v/>
      </c>
      <c r="DM31" s="56">
        <f>$AZ31-$AZ32</f>
        <v/>
      </c>
      <c r="DN31" s="56">
        <f>$BA31-$BA32</f>
        <v/>
      </c>
      <c r="DO31" s="56">
        <f>$BB31-$BB32</f>
        <v/>
      </c>
      <c r="DP31" s="56">
        <f>$BC31-$BC32</f>
        <v/>
      </c>
      <c r="DQ31" s="56">
        <f>$BD31-$BD32</f>
        <v/>
      </c>
      <c r="DR31" s="56">
        <f>$BE31-$BE32</f>
        <v/>
      </c>
      <c r="DS31" s="56">
        <f>$BF31-$BF32</f>
        <v/>
      </c>
      <c r="DT31" s="56">
        <f>$BG31-$BG32</f>
        <v/>
      </c>
      <c r="DU31" s="56">
        <f>$BH31-$BH32</f>
        <v/>
      </c>
      <c r="DV31" s="56">
        <f>$BI31-$BI32</f>
        <v/>
      </c>
      <c r="DW31" s="56">
        <f>$BJ31-$BJ32</f>
        <v/>
      </c>
      <c r="DX31" s="56">
        <f>$BK31-$BK32</f>
        <v/>
      </c>
      <c r="DY31" s="56">
        <f>$BL31-$BL32</f>
        <v/>
      </c>
      <c r="DZ31" s="56">
        <f>$BM31-$BM32</f>
        <v/>
      </c>
      <c r="EA31" s="56">
        <f>$BN31-$BN32</f>
        <v/>
      </c>
      <c r="EB31" s="56">
        <f>$BO31-$BO32</f>
        <v/>
      </c>
      <c r="EC31" s="56">
        <f>$BP31-$BP32</f>
        <v/>
      </c>
      <c r="ED31" s="56">
        <f>$BQ31-$BQ32</f>
        <v/>
      </c>
      <c r="EE31" s="56">
        <f>$BR31-$BR32</f>
        <v/>
      </c>
      <c r="EF31" s="56">
        <f>$BS31-$BS32</f>
        <v/>
      </c>
      <c r="EG31" s="56">
        <f>$BT31-$BT32</f>
        <v/>
      </c>
      <c r="EH31" s="56">
        <f>$BU31-$BU32</f>
        <v/>
      </c>
    </row>
    <row r="32">
      <c r="BV32" s="56">
        <f>($D32-$D33)*100</f>
        <v/>
      </c>
      <c r="BW32" s="56">
        <f>($C32-$C33)*100</f>
        <v/>
      </c>
      <c r="BX32" s="57">
        <f>IFERROR($I32/$I33-1,"")</f>
        <v/>
      </c>
      <c r="BY32" s="56">
        <f>($AF32-$AF33)*100</f>
        <v/>
      </c>
      <c r="BZ32" s="56">
        <f>($AG32-$AG33)*100</f>
        <v/>
      </c>
      <c r="CA32" s="56">
        <f>($AH32-$AH33)*100</f>
        <v/>
      </c>
      <c r="CB32" s="56">
        <f>($AI32-$AI33)*100</f>
        <v/>
      </c>
      <c r="CC32" s="56">
        <f>($AJ32-$AJ33)*100</f>
        <v/>
      </c>
      <c r="CD32" s="56">
        <f>($AK32-$AK33)*100</f>
        <v/>
      </c>
      <c r="CE32" s="56">
        <f>($AL32-$AL33)*100</f>
        <v/>
      </c>
      <c r="CF32" s="56">
        <f>($AM32-$AM33)*100</f>
        <v/>
      </c>
      <c r="CG32" s="56">
        <f>($AN32-$AN33)*100</f>
        <v/>
      </c>
      <c r="CH32" s="56">
        <f>($AO32-$AO33)*100</f>
        <v/>
      </c>
      <c r="CI32" s="56">
        <f>($AP32-$AP33)*100</f>
        <v/>
      </c>
      <c r="CJ32" s="56">
        <f>($AQ32-$AQ33)*100</f>
        <v/>
      </c>
      <c r="CK32" s="56">
        <f>($AR32-$AR33)*100</f>
        <v/>
      </c>
      <c r="CL32" s="56">
        <f>($AS32-$AS33)*100</f>
        <v/>
      </c>
      <c r="CM32" s="56">
        <f>($AT32-$AT33)*100</f>
        <v/>
      </c>
      <c r="CN32" s="56">
        <f>($AU32-$AU33)*100</f>
        <v/>
      </c>
      <c r="CO32" s="56">
        <f>($AV32-$AV33)*100</f>
        <v/>
      </c>
      <c r="CP32" s="56">
        <f>($AW32-$AW33)*100</f>
        <v/>
      </c>
      <c r="CQ32" s="56">
        <f>($AX32-$AX33)*100</f>
        <v/>
      </c>
      <c r="CR32" s="56">
        <f>($AY32-$AY33)*100</f>
        <v/>
      </c>
      <c r="CS32" s="57">
        <f>IFERROR($L33/$L32-1,"")</f>
        <v/>
      </c>
      <c r="CT32" s="57">
        <f>IFERROR($M33/$M32-1,"")</f>
        <v/>
      </c>
      <c r="CU32" s="57">
        <f>IFERROR($N33/$N32-1,"")</f>
        <v/>
      </c>
      <c r="CV32" s="57">
        <f>IFERROR($O33/$O32-1,"")</f>
        <v/>
      </c>
      <c r="CW32" s="57">
        <f>IFERROR($P33/$P32-1,"")</f>
        <v/>
      </c>
      <c r="CX32" s="57">
        <f>IFERROR($Q33/$Q32-1,"")</f>
        <v/>
      </c>
      <c r="CY32" s="57">
        <f>IFERROR($R33/$R32-1,"")</f>
        <v/>
      </c>
      <c r="CZ32" s="57">
        <f>IFERROR($S33/$S32-1,"")</f>
        <v/>
      </c>
      <c r="DA32" s="57">
        <f>IFERROR($T33/$T32-1,"")</f>
        <v/>
      </c>
      <c r="DB32" s="57">
        <f>IFERROR($U33/$U32-1,"")</f>
        <v/>
      </c>
      <c r="DC32" s="57">
        <f>IFERROR($V33/$V32-1,"")</f>
        <v/>
      </c>
      <c r="DD32" s="57">
        <f>IFERROR($W33/$W32-1,"")</f>
        <v/>
      </c>
      <c r="DE32" s="57">
        <f>IFERROR($X33/$X32-1,"")</f>
        <v/>
      </c>
      <c r="DF32" s="57">
        <f>IFERROR($Y33/$Y32-1,"")</f>
        <v/>
      </c>
      <c r="DG32" s="57">
        <f>IFERROR($Z33/$Z32-1,"")</f>
        <v/>
      </c>
      <c r="DH32" s="57">
        <f>IFERROR($AA33/$AA32-1,"")</f>
        <v/>
      </c>
      <c r="DI32" s="57">
        <f>IFERROR($AB33/$AB32-1,"")</f>
        <v/>
      </c>
      <c r="DJ32" s="57">
        <f>IFERROR($AC33/$AC32-1,"")</f>
        <v/>
      </c>
      <c r="DK32" s="57">
        <f>IFERROR($AD33/$AD32-1,"")</f>
        <v/>
      </c>
      <c r="DL32" s="57">
        <f>IFERROR($AE33/$AE32-1,"")</f>
        <v/>
      </c>
      <c r="DM32" s="56">
        <f>$AZ32-$AZ33</f>
        <v/>
      </c>
      <c r="DN32" s="56">
        <f>$BA32-$BA33</f>
        <v/>
      </c>
      <c r="DO32" s="56">
        <f>$BB32-$BB33</f>
        <v/>
      </c>
      <c r="DP32" s="56">
        <f>$BC32-$BC33</f>
        <v/>
      </c>
      <c r="DQ32" s="56">
        <f>$BD32-$BD33</f>
        <v/>
      </c>
      <c r="DR32" s="56">
        <f>$BE32-$BE33</f>
        <v/>
      </c>
      <c r="DS32" s="56">
        <f>$BF32-$BF33</f>
        <v/>
      </c>
      <c r="DT32" s="56">
        <f>$BG32-$BG33</f>
        <v/>
      </c>
      <c r="DU32" s="56">
        <f>$BH32-$BH33</f>
        <v/>
      </c>
      <c r="DV32" s="56">
        <f>$BI32-$BI33</f>
        <v/>
      </c>
      <c r="DW32" s="56">
        <f>$BJ32-$BJ33</f>
        <v/>
      </c>
      <c r="DX32" s="56">
        <f>$BK32-$BK33</f>
        <v/>
      </c>
      <c r="DY32" s="56">
        <f>$BL32-$BL33</f>
        <v/>
      </c>
      <c r="DZ32" s="56">
        <f>$BM32-$BM33</f>
        <v/>
      </c>
      <c r="EA32" s="56">
        <f>$BN32-$BN33</f>
        <v/>
      </c>
      <c r="EB32" s="56">
        <f>$BO32-$BO33</f>
        <v/>
      </c>
      <c r="EC32" s="56">
        <f>$BP32-$BP33</f>
        <v/>
      </c>
      <c r="ED32" s="56">
        <f>$BQ32-$BQ33</f>
        <v/>
      </c>
      <c r="EE32" s="56">
        <f>$BR32-$BR33</f>
        <v/>
      </c>
      <c r="EF32" s="56">
        <f>$BS32-$BS33</f>
        <v/>
      </c>
      <c r="EG32" s="56">
        <f>$BT32-$BT33</f>
        <v/>
      </c>
      <c r="EH32" s="56">
        <f>$BU32-$BU33</f>
        <v/>
      </c>
    </row>
    <row r="33">
      <c r="BV33" s="56">
        <f>($D33-$D34)*100</f>
        <v/>
      </c>
      <c r="BW33" s="56">
        <f>($C33-$C34)*100</f>
        <v/>
      </c>
      <c r="BX33" s="57">
        <f>IFERROR($I33/$I34-1,"")</f>
        <v/>
      </c>
      <c r="BY33" s="56">
        <f>($AF33-$AF34)*100</f>
        <v/>
      </c>
      <c r="BZ33" s="56">
        <f>($AG33-$AG34)*100</f>
        <v/>
      </c>
      <c r="CA33" s="56">
        <f>($AH33-$AH34)*100</f>
        <v/>
      </c>
      <c r="CB33" s="56">
        <f>($AI33-$AI34)*100</f>
        <v/>
      </c>
      <c r="CC33" s="56">
        <f>($AJ33-$AJ34)*100</f>
        <v/>
      </c>
      <c r="CD33" s="56">
        <f>($AK33-$AK34)*100</f>
        <v/>
      </c>
      <c r="CE33" s="56">
        <f>($AL33-$AL34)*100</f>
        <v/>
      </c>
      <c r="CF33" s="56">
        <f>($AM33-$AM34)*100</f>
        <v/>
      </c>
      <c r="CG33" s="56">
        <f>($AN33-$AN34)*100</f>
        <v/>
      </c>
      <c r="CH33" s="56">
        <f>($AO33-$AO34)*100</f>
        <v/>
      </c>
      <c r="CI33" s="56">
        <f>($AP33-$AP34)*100</f>
        <v/>
      </c>
      <c r="CJ33" s="56">
        <f>($AQ33-$AQ34)*100</f>
        <v/>
      </c>
      <c r="CK33" s="56">
        <f>($AR33-$AR34)*100</f>
        <v/>
      </c>
      <c r="CL33" s="56">
        <f>($AS33-$AS34)*100</f>
        <v/>
      </c>
      <c r="CM33" s="56">
        <f>($AT33-$AT34)*100</f>
        <v/>
      </c>
      <c r="CN33" s="56">
        <f>($AU33-$AU34)*100</f>
        <v/>
      </c>
      <c r="CO33" s="56">
        <f>($AV33-$AV34)*100</f>
        <v/>
      </c>
      <c r="CP33" s="56">
        <f>($AW33-$AW34)*100</f>
        <v/>
      </c>
      <c r="CQ33" s="56">
        <f>($AX33-$AX34)*100</f>
        <v/>
      </c>
      <c r="CR33" s="56">
        <f>($AY33-$AY34)*100</f>
        <v/>
      </c>
      <c r="CS33" s="57">
        <f>IFERROR($L34/$L33-1,"")</f>
        <v/>
      </c>
      <c r="CT33" s="57">
        <f>IFERROR($M34/$M33-1,"")</f>
        <v/>
      </c>
      <c r="CU33" s="57">
        <f>IFERROR($N34/$N33-1,"")</f>
        <v/>
      </c>
      <c r="CV33" s="57">
        <f>IFERROR($O34/$O33-1,"")</f>
        <v/>
      </c>
      <c r="CW33" s="57">
        <f>IFERROR($P34/$P33-1,"")</f>
        <v/>
      </c>
      <c r="CX33" s="57">
        <f>IFERROR($Q34/$Q33-1,"")</f>
        <v/>
      </c>
      <c r="CY33" s="57">
        <f>IFERROR($R34/$R33-1,"")</f>
        <v/>
      </c>
      <c r="CZ33" s="57">
        <f>IFERROR($S34/$S33-1,"")</f>
        <v/>
      </c>
      <c r="DA33" s="57">
        <f>IFERROR($T34/$T33-1,"")</f>
        <v/>
      </c>
      <c r="DB33" s="57">
        <f>IFERROR($U34/$U33-1,"")</f>
        <v/>
      </c>
      <c r="DC33" s="57">
        <f>IFERROR($V34/$V33-1,"")</f>
        <v/>
      </c>
      <c r="DD33" s="57">
        <f>IFERROR($W34/$W33-1,"")</f>
        <v/>
      </c>
      <c r="DE33" s="57">
        <f>IFERROR($X34/$X33-1,"")</f>
        <v/>
      </c>
      <c r="DF33" s="57">
        <f>IFERROR($Y34/$Y33-1,"")</f>
        <v/>
      </c>
      <c r="DG33" s="57">
        <f>IFERROR($Z34/$Z33-1,"")</f>
        <v/>
      </c>
      <c r="DH33" s="57">
        <f>IFERROR($AA34/$AA33-1,"")</f>
        <v/>
      </c>
      <c r="DI33" s="57">
        <f>IFERROR($AB34/$AB33-1,"")</f>
        <v/>
      </c>
      <c r="DJ33" s="57">
        <f>IFERROR($AC34/$AC33-1,"")</f>
        <v/>
      </c>
      <c r="DK33" s="57">
        <f>IFERROR($AD34/$AD33-1,"")</f>
        <v/>
      </c>
      <c r="DL33" s="57">
        <f>IFERROR($AE34/$AE33-1,"")</f>
        <v/>
      </c>
      <c r="DM33" s="56">
        <f>$AZ33-$AZ34</f>
        <v/>
      </c>
      <c r="DN33" s="56">
        <f>$BA33-$BA34</f>
        <v/>
      </c>
      <c r="DO33" s="56">
        <f>$BB33-$BB34</f>
        <v/>
      </c>
      <c r="DP33" s="56">
        <f>$BC33-$BC34</f>
        <v/>
      </c>
      <c r="DQ33" s="56">
        <f>$BD33-$BD34</f>
        <v/>
      </c>
      <c r="DR33" s="56">
        <f>$BE33-$BE34</f>
        <v/>
      </c>
      <c r="DS33" s="56">
        <f>$BF33-$BF34</f>
        <v/>
      </c>
      <c r="DT33" s="56">
        <f>$BG33-$BG34</f>
        <v/>
      </c>
      <c r="DU33" s="56">
        <f>$BH33-$BH34</f>
        <v/>
      </c>
      <c r="DV33" s="56">
        <f>$BI33-$BI34</f>
        <v/>
      </c>
      <c r="DW33" s="56">
        <f>$BJ33-$BJ34</f>
        <v/>
      </c>
      <c r="DX33" s="56">
        <f>$BK33-$BK34</f>
        <v/>
      </c>
      <c r="DY33" s="56">
        <f>$BL33-$BL34</f>
        <v/>
      </c>
      <c r="DZ33" s="56">
        <f>$BM33-$BM34</f>
        <v/>
      </c>
      <c r="EA33" s="56">
        <f>$BN33-$BN34</f>
        <v/>
      </c>
      <c r="EB33" s="56">
        <f>$BO33-$BO34</f>
        <v/>
      </c>
      <c r="EC33" s="56">
        <f>$BP33-$BP34</f>
        <v/>
      </c>
      <c r="ED33" s="56">
        <f>$BQ33-$BQ34</f>
        <v/>
      </c>
      <c r="EE33" s="56">
        <f>$BR33-$BR34</f>
        <v/>
      </c>
      <c r="EF33" s="56">
        <f>$BS33-$BS34</f>
        <v/>
      </c>
      <c r="EG33" s="56">
        <f>$BT33-$BT34</f>
        <v/>
      </c>
      <c r="EH33" s="56">
        <f>$BU33-$BU34</f>
        <v/>
      </c>
    </row>
    <row r="34">
      <c r="BV34" s="56">
        <f>($D34-$D35)*100</f>
        <v/>
      </c>
      <c r="BW34" s="56">
        <f>($C34-$C35)*100</f>
        <v/>
      </c>
      <c r="BX34" s="57">
        <f>IFERROR($I34/$I35-1,"")</f>
        <v/>
      </c>
      <c r="BY34" s="56">
        <f>($AF34-$AF35)*100</f>
        <v/>
      </c>
      <c r="BZ34" s="56">
        <f>($AG34-$AG35)*100</f>
        <v/>
      </c>
      <c r="CA34" s="56">
        <f>($AH34-$AH35)*100</f>
        <v/>
      </c>
      <c r="CB34" s="56">
        <f>($AI34-$AI35)*100</f>
        <v/>
      </c>
      <c r="CC34" s="56">
        <f>($AJ34-$AJ35)*100</f>
        <v/>
      </c>
      <c r="CD34" s="56">
        <f>($AK34-$AK35)*100</f>
        <v/>
      </c>
      <c r="CE34" s="56">
        <f>($AL34-$AL35)*100</f>
        <v/>
      </c>
      <c r="CF34" s="56">
        <f>($AM34-$AM35)*100</f>
        <v/>
      </c>
      <c r="CG34" s="56">
        <f>($AN34-$AN35)*100</f>
        <v/>
      </c>
      <c r="CH34" s="56">
        <f>($AO34-$AO35)*100</f>
        <v/>
      </c>
      <c r="CI34" s="56">
        <f>($AP34-$AP35)*100</f>
        <v/>
      </c>
      <c r="CJ34" s="56">
        <f>($AQ34-$AQ35)*100</f>
        <v/>
      </c>
      <c r="CK34" s="56">
        <f>($AR34-$AR35)*100</f>
        <v/>
      </c>
      <c r="CL34" s="56">
        <f>($AS34-$AS35)*100</f>
        <v/>
      </c>
      <c r="CM34" s="56">
        <f>($AT34-$AT35)*100</f>
        <v/>
      </c>
      <c r="CN34" s="56">
        <f>($AU34-$AU35)*100</f>
        <v/>
      </c>
      <c r="CO34" s="56">
        <f>($AV34-$AV35)*100</f>
        <v/>
      </c>
      <c r="CP34" s="56">
        <f>($AW34-$AW35)*100</f>
        <v/>
      </c>
      <c r="CQ34" s="56">
        <f>($AX34-$AX35)*100</f>
        <v/>
      </c>
      <c r="CR34" s="56">
        <f>($AY34-$AY35)*100</f>
        <v/>
      </c>
      <c r="CS34" s="57">
        <f>IFERROR($L35/$L34-1,"")</f>
        <v/>
      </c>
      <c r="CT34" s="57">
        <f>IFERROR($M35/$M34-1,"")</f>
        <v/>
      </c>
      <c r="CU34" s="57">
        <f>IFERROR($N35/$N34-1,"")</f>
        <v/>
      </c>
      <c r="CV34" s="57">
        <f>IFERROR($O35/$O34-1,"")</f>
        <v/>
      </c>
      <c r="CW34" s="57">
        <f>IFERROR($P35/$P34-1,"")</f>
        <v/>
      </c>
      <c r="CX34" s="57">
        <f>IFERROR($Q35/$Q34-1,"")</f>
        <v/>
      </c>
      <c r="CY34" s="57">
        <f>IFERROR($R35/$R34-1,"")</f>
        <v/>
      </c>
      <c r="CZ34" s="57">
        <f>IFERROR($S35/$S34-1,"")</f>
        <v/>
      </c>
      <c r="DA34" s="57">
        <f>IFERROR($T35/$T34-1,"")</f>
        <v/>
      </c>
      <c r="DB34" s="57">
        <f>IFERROR($U35/$U34-1,"")</f>
        <v/>
      </c>
      <c r="DC34" s="57">
        <f>IFERROR($V35/$V34-1,"")</f>
        <v/>
      </c>
      <c r="DD34" s="57">
        <f>IFERROR($W35/$W34-1,"")</f>
        <v/>
      </c>
      <c r="DE34" s="57">
        <f>IFERROR($X35/$X34-1,"")</f>
        <v/>
      </c>
      <c r="DF34" s="57">
        <f>IFERROR($Y35/$Y34-1,"")</f>
        <v/>
      </c>
      <c r="DG34" s="57">
        <f>IFERROR($Z35/$Z34-1,"")</f>
        <v/>
      </c>
      <c r="DH34" s="57">
        <f>IFERROR($AA35/$AA34-1,"")</f>
        <v/>
      </c>
      <c r="DI34" s="57">
        <f>IFERROR($AB35/$AB34-1,"")</f>
        <v/>
      </c>
      <c r="DJ34" s="57">
        <f>IFERROR($AC35/$AC34-1,"")</f>
        <v/>
      </c>
      <c r="DK34" s="57">
        <f>IFERROR($AD35/$AD34-1,"")</f>
        <v/>
      </c>
      <c r="DL34" s="57">
        <f>IFERROR($AE35/$AE34-1,"")</f>
        <v/>
      </c>
      <c r="DM34" s="56">
        <f>$AZ34-$AZ35</f>
        <v/>
      </c>
      <c r="DN34" s="56">
        <f>$BA34-$BA35</f>
        <v/>
      </c>
      <c r="DO34" s="56">
        <f>$BB34-$BB35</f>
        <v/>
      </c>
      <c r="DP34" s="56">
        <f>$BC34-$BC35</f>
        <v/>
      </c>
      <c r="DQ34" s="56">
        <f>$BD34-$BD35</f>
        <v/>
      </c>
      <c r="DR34" s="56">
        <f>$BE34-$BE35</f>
        <v/>
      </c>
      <c r="DS34" s="56">
        <f>$BF34-$BF35</f>
        <v/>
      </c>
      <c r="DT34" s="56">
        <f>$BG34-$BG35</f>
        <v/>
      </c>
      <c r="DU34" s="56">
        <f>$BH34-$BH35</f>
        <v/>
      </c>
      <c r="DV34" s="56">
        <f>$BI34-$BI35</f>
        <v/>
      </c>
      <c r="DW34" s="56">
        <f>$BJ34-$BJ35</f>
        <v/>
      </c>
      <c r="DX34" s="56">
        <f>$BK34-$BK35</f>
        <v/>
      </c>
      <c r="DY34" s="56">
        <f>$BL34-$BL35</f>
        <v/>
      </c>
      <c r="DZ34" s="56">
        <f>$BM34-$BM35</f>
        <v/>
      </c>
      <c r="EA34" s="56">
        <f>$BN34-$BN35</f>
        <v/>
      </c>
      <c r="EB34" s="56">
        <f>$BO34-$BO35</f>
        <v/>
      </c>
      <c r="EC34" s="56">
        <f>$BP34-$BP35</f>
        <v/>
      </c>
      <c r="ED34" s="56">
        <f>$BQ34-$BQ35</f>
        <v/>
      </c>
      <c r="EE34" s="56">
        <f>$BR34-$BR35</f>
        <v/>
      </c>
      <c r="EF34" s="56">
        <f>$BS34-$BS35</f>
        <v/>
      </c>
      <c r="EG34" s="56">
        <f>$BT34-$BT35</f>
        <v/>
      </c>
      <c r="EH34" s="56">
        <f>$BU34-$BU35</f>
        <v/>
      </c>
    </row>
    <row r="35">
      <c r="BV35" s="56">
        <f>($D35-$D36)*100</f>
        <v/>
      </c>
      <c r="BW35" s="56">
        <f>($C35-$C36)*100</f>
        <v/>
      </c>
      <c r="BX35" s="57">
        <f>IFERROR($I35/$I36-1,"")</f>
        <v/>
      </c>
      <c r="BY35" s="56">
        <f>($AF35-$AF36)*100</f>
        <v/>
      </c>
      <c r="BZ35" s="56">
        <f>($AG35-$AG36)*100</f>
        <v/>
      </c>
      <c r="CA35" s="56">
        <f>($AH35-$AH36)*100</f>
        <v/>
      </c>
      <c r="CB35" s="56">
        <f>($AI35-$AI36)*100</f>
        <v/>
      </c>
      <c r="CC35" s="56">
        <f>($AJ35-$AJ36)*100</f>
        <v/>
      </c>
      <c r="CD35" s="56">
        <f>($AK35-$AK36)*100</f>
        <v/>
      </c>
      <c r="CE35" s="56">
        <f>($AL35-$AL36)*100</f>
        <v/>
      </c>
      <c r="CF35" s="56">
        <f>($AM35-$AM36)*100</f>
        <v/>
      </c>
      <c r="CG35" s="56">
        <f>($AN35-$AN36)*100</f>
        <v/>
      </c>
      <c r="CH35" s="56">
        <f>($AO35-$AO36)*100</f>
        <v/>
      </c>
      <c r="CI35" s="56">
        <f>($AP35-$AP36)*100</f>
        <v/>
      </c>
      <c r="CJ35" s="56">
        <f>($AQ35-$AQ36)*100</f>
        <v/>
      </c>
      <c r="CK35" s="56">
        <f>($AR35-$AR36)*100</f>
        <v/>
      </c>
      <c r="CL35" s="56">
        <f>($AS35-$AS36)*100</f>
        <v/>
      </c>
      <c r="CM35" s="56">
        <f>($AT35-$AT36)*100</f>
        <v/>
      </c>
      <c r="CN35" s="56">
        <f>($AU35-$AU36)*100</f>
        <v/>
      </c>
      <c r="CO35" s="56">
        <f>($AV35-$AV36)*100</f>
        <v/>
      </c>
      <c r="CP35" s="56">
        <f>($AW35-$AW36)*100</f>
        <v/>
      </c>
      <c r="CQ35" s="56">
        <f>($AX35-$AX36)*100</f>
        <v/>
      </c>
      <c r="CR35" s="56">
        <f>($AY35-$AY36)*100</f>
        <v/>
      </c>
      <c r="CS35" s="57">
        <f>IFERROR($L36/$L35-1,"")</f>
        <v/>
      </c>
      <c r="CT35" s="57">
        <f>IFERROR($M36/$M35-1,"")</f>
        <v/>
      </c>
      <c r="CU35" s="57">
        <f>IFERROR($N36/$N35-1,"")</f>
        <v/>
      </c>
      <c r="CV35" s="57">
        <f>IFERROR($O36/$O35-1,"")</f>
        <v/>
      </c>
      <c r="CW35" s="57">
        <f>IFERROR($P36/$P35-1,"")</f>
        <v/>
      </c>
      <c r="CX35" s="57">
        <f>IFERROR($Q36/$Q35-1,"")</f>
        <v/>
      </c>
      <c r="CY35" s="57">
        <f>IFERROR($R36/$R35-1,"")</f>
        <v/>
      </c>
      <c r="CZ35" s="57">
        <f>IFERROR($S36/$S35-1,"")</f>
        <v/>
      </c>
      <c r="DA35" s="57">
        <f>IFERROR($T36/$T35-1,"")</f>
        <v/>
      </c>
      <c r="DB35" s="57">
        <f>IFERROR($U36/$U35-1,"")</f>
        <v/>
      </c>
      <c r="DC35" s="57">
        <f>IFERROR($V36/$V35-1,"")</f>
        <v/>
      </c>
      <c r="DD35" s="57">
        <f>IFERROR($W36/$W35-1,"")</f>
        <v/>
      </c>
      <c r="DE35" s="57">
        <f>IFERROR($X36/$X35-1,"")</f>
        <v/>
      </c>
      <c r="DF35" s="57">
        <f>IFERROR($Y36/$Y35-1,"")</f>
        <v/>
      </c>
      <c r="DG35" s="57">
        <f>IFERROR($Z36/$Z35-1,"")</f>
        <v/>
      </c>
      <c r="DH35" s="57">
        <f>IFERROR($AA36/$AA35-1,"")</f>
        <v/>
      </c>
      <c r="DI35" s="57">
        <f>IFERROR($AB36/$AB35-1,"")</f>
        <v/>
      </c>
      <c r="DJ35" s="57">
        <f>IFERROR($AC36/$AC35-1,"")</f>
        <v/>
      </c>
      <c r="DK35" s="57">
        <f>IFERROR($AD36/$AD35-1,"")</f>
        <v/>
      </c>
      <c r="DL35" s="57">
        <f>IFERROR($AE36/$AE35-1,"")</f>
        <v/>
      </c>
      <c r="DM35" s="56">
        <f>$AZ35-$AZ36</f>
        <v/>
      </c>
      <c r="DN35" s="56">
        <f>$BA35-$BA36</f>
        <v/>
      </c>
      <c r="DO35" s="56">
        <f>$BB35-$BB36</f>
        <v/>
      </c>
      <c r="DP35" s="56">
        <f>$BC35-$BC36</f>
        <v/>
      </c>
      <c r="DQ35" s="56">
        <f>$BD35-$BD36</f>
        <v/>
      </c>
      <c r="DR35" s="56">
        <f>$BE35-$BE36</f>
        <v/>
      </c>
      <c r="DS35" s="56">
        <f>$BF35-$BF36</f>
        <v/>
      </c>
      <c r="DT35" s="56">
        <f>$BG35-$BG36</f>
        <v/>
      </c>
      <c r="DU35" s="56">
        <f>$BH35-$BH36</f>
        <v/>
      </c>
      <c r="DV35" s="56">
        <f>$BI35-$BI36</f>
        <v/>
      </c>
      <c r="DW35" s="56">
        <f>$BJ35-$BJ36</f>
        <v/>
      </c>
      <c r="DX35" s="56">
        <f>$BK35-$BK36</f>
        <v/>
      </c>
      <c r="DY35" s="56">
        <f>$BL35-$BL36</f>
        <v/>
      </c>
      <c r="DZ35" s="56">
        <f>$BM35-$BM36</f>
        <v/>
      </c>
      <c r="EA35" s="56">
        <f>$BN35-$BN36</f>
        <v/>
      </c>
      <c r="EB35" s="56">
        <f>$BO35-$BO36</f>
        <v/>
      </c>
      <c r="EC35" s="56">
        <f>$BP35-$BP36</f>
        <v/>
      </c>
      <c r="ED35" s="56">
        <f>$BQ35-$BQ36</f>
        <v/>
      </c>
      <c r="EE35" s="56">
        <f>$BR35-$BR36</f>
        <v/>
      </c>
      <c r="EF35" s="56">
        <f>$BS35-$BS36</f>
        <v/>
      </c>
      <c r="EG35" s="56">
        <f>$BT35-$BT36</f>
        <v/>
      </c>
      <c r="EH35" s="56">
        <f>$BU35-$BU36</f>
        <v/>
      </c>
    </row>
    <row r="36">
      <c r="BV36" s="56">
        <f>($D36-$D37)*100</f>
        <v/>
      </c>
      <c r="BW36" s="56">
        <f>($C36-$C37)*100</f>
        <v/>
      </c>
      <c r="BX36" s="57">
        <f>IFERROR($I36/$I37-1,"")</f>
        <v/>
      </c>
      <c r="BY36" s="56">
        <f>($AF36-$AF37)*100</f>
        <v/>
      </c>
      <c r="BZ36" s="56">
        <f>($AG36-$AG37)*100</f>
        <v/>
      </c>
      <c r="CA36" s="56">
        <f>($AH36-$AH37)*100</f>
        <v/>
      </c>
      <c r="CB36" s="56">
        <f>($AI36-$AI37)*100</f>
        <v/>
      </c>
      <c r="CC36" s="56">
        <f>($AJ36-$AJ37)*100</f>
        <v/>
      </c>
      <c r="CD36" s="56">
        <f>($AK36-$AK37)*100</f>
        <v/>
      </c>
      <c r="CE36" s="56">
        <f>($AL36-$AL37)*100</f>
        <v/>
      </c>
      <c r="CF36" s="56">
        <f>($AM36-$AM37)*100</f>
        <v/>
      </c>
      <c r="CG36" s="56">
        <f>($AN36-$AN37)*100</f>
        <v/>
      </c>
      <c r="CH36" s="56">
        <f>($AO36-$AO37)*100</f>
        <v/>
      </c>
      <c r="CI36" s="56">
        <f>($AP36-$AP37)*100</f>
        <v/>
      </c>
      <c r="CJ36" s="56">
        <f>($AQ36-$AQ37)*100</f>
        <v/>
      </c>
      <c r="CK36" s="56">
        <f>($AR36-$AR37)*100</f>
        <v/>
      </c>
      <c r="CL36" s="56">
        <f>($AS36-$AS37)*100</f>
        <v/>
      </c>
      <c r="CM36" s="56">
        <f>($AT36-$AT37)*100</f>
        <v/>
      </c>
      <c r="CN36" s="56">
        <f>($AU36-$AU37)*100</f>
        <v/>
      </c>
      <c r="CO36" s="56">
        <f>($AV36-$AV37)*100</f>
        <v/>
      </c>
      <c r="CP36" s="56">
        <f>($AW36-$AW37)*100</f>
        <v/>
      </c>
      <c r="CQ36" s="56">
        <f>($AX36-$AX37)*100</f>
        <v/>
      </c>
      <c r="CR36" s="56">
        <f>($AY36-$AY37)*100</f>
        <v/>
      </c>
      <c r="CS36" s="57">
        <f>IFERROR($L37/$L36-1,"")</f>
        <v/>
      </c>
      <c r="CT36" s="57">
        <f>IFERROR($M37/$M36-1,"")</f>
        <v/>
      </c>
      <c r="CU36" s="57">
        <f>IFERROR($N37/$N36-1,"")</f>
        <v/>
      </c>
      <c r="CV36" s="57">
        <f>IFERROR($O37/$O36-1,"")</f>
        <v/>
      </c>
      <c r="CW36" s="57">
        <f>IFERROR($P37/$P36-1,"")</f>
        <v/>
      </c>
      <c r="CX36" s="57">
        <f>IFERROR($Q37/$Q36-1,"")</f>
        <v/>
      </c>
      <c r="CY36" s="57">
        <f>IFERROR($R37/$R36-1,"")</f>
        <v/>
      </c>
      <c r="CZ36" s="57">
        <f>IFERROR($S37/$S36-1,"")</f>
        <v/>
      </c>
      <c r="DA36" s="57">
        <f>IFERROR($T37/$T36-1,"")</f>
        <v/>
      </c>
      <c r="DB36" s="57">
        <f>IFERROR($U37/$U36-1,"")</f>
        <v/>
      </c>
      <c r="DC36" s="57">
        <f>IFERROR($V37/$V36-1,"")</f>
        <v/>
      </c>
      <c r="DD36" s="57">
        <f>IFERROR($W37/$W36-1,"")</f>
        <v/>
      </c>
      <c r="DE36" s="57">
        <f>IFERROR($X37/$X36-1,"")</f>
        <v/>
      </c>
      <c r="DF36" s="57">
        <f>IFERROR($Y37/$Y36-1,"")</f>
        <v/>
      </c>
      <c r="DG36" s="57">
        <f>IFERROR($Z37/$Z36-1,"")</f>
        <v/>
      </c>
      <c r="DH36" s="57">
        <f>IFERROR($AA37/$AA36-1,"")</f>
        <v/>
      </c>
      <c r="DI36" s="57">
        <f>IFERROR($AB37/$AB36-1,"")</f>
        <v/>
      </c>
      <c r="DJ36" s="57">
        <f>IFERROR($AC37/$AC36-1,"")</f>
        <v/>
      </c>
      <c r="DK36" s="57">
        <f>IFERROR($AD37/$AD36-1,"")</f>
        <v/>
      </c>
      <c r="DL36" s="57">
        <f>IFERROR($AE37/$AE36-1,"")</f>
        <v/>
      </c>
      <c r="DM36" s="56">
        <f>$AZ36-$AZ37</f>
        <v/>
      </c>
      <c r="DN36" s="56">
        <f>$BA36-$BA37</f>
        <v/>
      </c>
      <c r="DO36" s="56">
        <f>$BB36-$BB37</f>
        <v/>
      </c>
      <c r="DP36" s="56">
        <f>$BC36-$BC37</f>
        <v/>
      </c>
      <c r="DQ36" s="56">
        <f>$BD36-$BD37</f>
        <v/>
      </c>
      <c r="DR36" s="56">
        <f>$BE36-$BE37</f>
        <v/>
      </c>
      <c r="DS36" s="56">
        <f>$BF36-$BF37</f>
        <v/>
      </c>
      <c r="DT36" s="56">
        <f>$BG36-$BG37</f>
        <v/>
      </c>
      <c r="DU36" s="56">
        <f>$BH36-$BH37</f>
        <v/>
      </c>
      <c r="DV36" s="56">
        <f>$BI36-$BI37</f>
        <v/>
      </c>
      <c r="DW36" s="56">
        <f>$BJ36-$BJ37</f>
        <v/>
      </c>
      <c r="DX36" s="56">
        <f>$BK36-$BK37</f>
        <v/>
      </c>
      <c r="DY36" s="56">
        <f>$BL36-$BL37</f>
        <v/>
      </c>
      <c r="DZ36" s="56">
        <f>$BM36-$BM37</f>
        <v/>
      </c>
      <c r="EA36" s="56">
        <f>$BN36-$BN37</f>
        <v/>
      </c>
      <c r="EB36" s="56">
        <f>$BO36-$BO37</f>
        <v/>
      </c>
      <c r="EC36" s="56">
        <f>$BP36-$BP37</f>
        <v/>
      </c>
      <c r="ED36" s="56">
        <f>$BQ36-$BQ37</f>
        <v/>
      </c>
      <c r="EE36" s="56">
        <f>$BR36-$BR37</f>
        <v/>
      </c>
      <c r="EF36" s="56">
        <f>$BS36-$BS37</f>
        <v/>
      </c>
      <c r="EG36" s="56">
        <f>$BT36-$BT37</f>
        <v/>
      </c>
      <c r="EH36" s="56">
        <f>$BU36-$BU37</f>
        <v/>
      </c>
    </row>
    <row r="37">
      <c r="BV37" s="56">
        <f>($D37-$D38)*100</f>
        <v/>
      </c>
      <c r="BW37" s="56">
        <f>($C37-$C38)*100</f>
        <v/>
      </c>
      <c r="BX37" s="57">
        <f>IFERROR($I37/$I38-1,"")</f>
        <v/>
      </c>
      <c r="BY37" s="56">
        <f>($AF37-$AF38)*100</f>
        <v/>
      </c>
      <c r="BZ37" s="56">
        <f>($AG37-$AG38)*100</f>
        <v/>
      </c>
      <c r="CA37" s="56">
        <f>($AH37-$AH38)*100</f>
        <v/>
      </c>
      <c r="CB37" s="56">
        <f>($AI37-$AI38)*100</f>
        <v/>
      </c>
      <c r="CC37" s="56">
        <f>($AJ37-$AJ38)*100</f>
        <v/>
      </c>
      <c r="CD37" s="56">
        <f>($AK37-$AK38)*100</f>
        <v/>
      </c>
      <c r="CE37" s="56">
        <f>($AL37-$AL38)*100</f>
        <v/>
      </c>
      <c r="CF37" s="56">
        <f>($AM37-$AM38)*100</f>
        <v/>
      </c>
      <c r="CG37" s="56">
        <f>($AN37-$AN38)*100</f>
        <v/>
      </c>
      <c r="CH37" s="56">
        <f>($AO37-$AO38)*100</f>
        <v/>
      </c>
      <c r="CI37" s="56">
        <f>($AP37-$AP38)*100</f>
        <v/>
      </c>
      <c r="CJ37" s="56">
        <f>($AQ37-$AQ38)*100</f>
        <v/>
      </c>
      <c r="CK37" s="56">
        <f>($AR37-$AR38)*100</f>
        <v/>
      </c>
      <c r="CL37" s="56">
        <f>($AS37-$AS38)*100</f>
        <v/>
      </c>
      <c r="CM37" s="56">
        <f>($AT37-$AT38)*100</f>
        <v/>
      </c>
      <c r="CN37" s="56">
        <f>($AU37-$AU38)*100</f>
        <v/>
      </c>
      <c r="CO37" s="56">
        <f>($AV37-$AV38)*100</f>
        <v/>
      </c>
      <c r="CP37" s="56">
        <f>($AW37-$AW38)*100</f>
        <v/>
      </c>
      <c r="CQ37" s="56">
        <f>($AX37-$AX38)*100</f>
        <v/>
      </c>
      <c r="CR37" s="56">
        <f>($AY37-$AY38)*100</f>
        <v/>
      </c>
      <c r="CS37" s="57">
        <f>IFERROR($L38/$L37-1,"")</f>
        <v/>
      </c>
      <c r="CT37" s="57">
        <f>IFERROR($M38/$M37-1,"")</f>
        <v/>
      </c>
      <c r="CU37" s="57">
        <f>IFERROR($N38/$N37-1,"")</f>
        <v/>
      </c>
      <c r="CV37" s="57">
        <f>IFERROR($O38/$O37-1,"")</f>
        <v/>
      </c>
      <c r="CW37" s="57">
        <f>IFERROR($P38/$P37-1,"")</f>
        <v/>
      </c>
      <c r="CX37" s="57">
        <f>IFERROR($Q38/$Q37-1,"")</f>
        <v/>
      </c>
      <c r="CY37" s="57">
        <f>IFERROR($R38/$R37-1,"")</f>
        <v/>
      </c>
      <c r="CZ37" s="57">
        <f>IFERROR($S38/$S37-1,"")</f>
        <v/>
      </c>
      <c r="DA37" s="57">
        <f>IFERROR($T38/$T37-1,"")</f>
        <v/>
      </c>
      <c r="DB37" s="57">
        <f>IFERROR($U38/$U37-1,"")</f>
        <v/>
      </c>
      <c r="DC37" s="57">
        <f>IFERROR($V38/$V37-1,"")</f>
        <v/>
      </c>
      <c r="DD37" s="57">
        <f>IFERROR($W38/$W37-1,"")</f>
        <v/>
      </c>
      <c r="DE37" s="57">
        <f>IFERROR($X38/$X37-1,"")</f>
        <v/>
      </c>
      <c r="DF37" s="57">
        <f>IFERROR($Y38/$Y37-1,"")</f>
        <v/>
      </c>
      <c r="DG37" s="57">
        <f>IFERROR($Z38/$Z37-1,"")</f>
        <v/>
      </c>
      <c r="DH37" s="57">
        <f>IFERROR($AA38/$AA37-1,"")</f>
        <v/>
      </c>
      <c r="DI37" s="57">
        <f>IFERROR($AB38/$AB37-1,"")</f>
        <v/>
      </c>
      <c r="DJ37" s="57">
        <f>IFERROR($AC38/$AC37-1,"")</f>
        <v/>
      </c>
      <c r="DK37" s="57">
        <f>IFERROR($AD38/$AD37-1,"")</f>
        <v/>
      </c>
      <c r="DL37" s="57">
        <f>IFERROR($AE38/$AE37-1,"")</f>
        <v/>
      </c>
      <c r="DM37" s="56">
        <f>$AZ37-$AZ38</f>
        <v/>
      </c>
      <c r="DN37" s="56">
        <f>$BA37-$BA38</f>
        <v/>
      </c>
      <c r="DO37" s="56">
        <f>$BB37-$BB38</f>
        <v/>
      </c>
      <c r="DP37" s="56">
        <f>$BC37-$BC38</f>
        <v/>
      </c>
      <c r="DQ37" s="56">
        <f>$BD37-$BD38</f>
        <v/>
      </c>
      <c r="DR37" s="56">
        <f>$BE37-$BE38</f>
        <v/>
      </c>
      <c r="DS37" s="56">
        <f>$BF37-$BF38</f>
        <v/>
      </c>
      <c r="DT37" s="56">
        <f>$BG37-$BG38</f>
        <v/>
      </c>
      <c r="DU37" s="56">
        <f>$BH37-$BH38</f>
        <v/>
      </c>
      <c r="DV37" s="56">
        <f>$BI37-$BI38</f>
        <v/>
      </c>
      <c r="DW37" s="56">
        <f>$BJ37-$BJ38</f>
        <v/>
      </c>
      <c r="DX37" s="56">
        <f>$BK37-$BK38</f>
        <v/>
      </c>
      <c r="DY37" s="56">
        <f>$BL37-$BL38</f>
        <v/>
      </c>
      <c r="DZ37" s="56">
        <f>$BM37-$BM38</f>
        <v/>
      </c>
      <c r="EA37" s="56">
        <f>$BN37-$BN38</f>
        <v/>
      </c>
      <c r="EB37" s="56">
        <f>$BO37-$BO38</f>
        <v/>
      </c>
      <c r="EC37" s="56">
        <f>$BP37-$BP38</f>
        <v/>
      </c>
      <c r="ED37" s="56">
        <f>$BQ37-$BQ38</f>
        <v/>
      </c>
      <c r="EE37" s="56">
        <f>$BR37-$BR38</f>
        <v/>
      </c>
      <c r="EF37" s="56">
        <f>$BS37-$BS38</f>
        <v/>
      </c>
      <c r="EG37" s="56">
        <f>$BT37-$BT38</f>
        <v/>
      </c>
      <c r="EH37" s="56">
        <f>$BU37-$BU38</f>
        <v/>
      </c>
    </row>
    <row r="38">
      <c r="BV38" s="56">
        <f>($D38-$D39)*100</f>
        <v/>
      </c>
      <c r="BW38" s="56">
        <f>($C38-$C39)*100</f>
        <v/>
      </c>
      <c r="BX38" s="57">
        <f>IFERROR($I38/$I39-1,"")</f>
        <v/>
      </c>
      <c r="BY38" s="56">
        <f>($AF38-$AF39)*100</f>
        <v/>
      </c>
      <c r="BZ38" s="56">
        <f>($AG38-$AG39)*100</f>
        <v/>
      </c>
      <c r="CA38" s="56">
        <f>($AH38-$AH39)*100</f>
        <v/>
      </c>
      <c r="CB38" s="56">
        <f>($AI38-$AI39)*100</f>
        <v/>
      </c>
      <c r="CC38" s="56">
        <f>($AJ38-$AJ39)*100</f>
        <v/>
      </c>
      <c r="CD38" s="56">
        <f>($AK38-$AK39)*100</f>
        <v/>
      </c>
      <c r="CE38" s="56">
        <f>($AL38-$AL39)*100</f>
        <v/>
      </c>
      <c r="CF38" s="56">
        <f>($AM38-$AM39)*100</f>
        <v/>
      </c>
      <c r="CG38" s="56">
        <f>($AN38-$AN39)*100</f>
        <v/>
      </c>
      <c r="CH38" s="56">
        <f>($AO38-$AO39)*100</f>
        <v/>
      </c>
      <c r="CI38" s="56">
        <f>($AP38-$AP39)*100</f>
        <v/>
      </c>
      <c r="CJ38" s="56">
        <f>($AQ38-$AQ39)*100</f>
        <v/>
      </c>
      <c r="CK38" s="56">
        <f>($AR38-$AR39)*100</f>
        <v/>
      </c>
      <c r="CL38" s="56">
        <f>($AS38-$AS39)*100</f>
        <v/>
      </c>
      <c r="CM38" s="56">
        <f>($AT38-$AT39)*100</f>
        <v/>
      </c>
      <c r="CN38" s="56">
        <f>($AU38-$AU39)*100</f>
        <v/>
      </c>
      <c r="CO38" s="56">
        <f>($AV38-$AV39)*100</f>
        <v/>
      </c>
      <c r="CP38" s="56">
        <f>($AW38-$AW39)*100</f>
        <v/>
      </c>
      <c r="CQ38" s="56">
        <f>($AX38-$AX39)*100</f>
        <v/>
      </c>
      <c r="CR38" s="56">
        <f>($AY38-$AY39)*100</f>
        <v/>
      </c>
      <c r="CS38" s="57">
        <f>IFERROR($L39/$L38-1,"")</f>
        <v/>
      </c>
      <c r="CT38" s="57">
        <f>IFERROR($M39/$M38-1,"")</f>
        <v/>
      </c>
      <c r="CU38" s="57">
        <f>IFERROR($N39/$N38-1,"")</f>
        <v/>
      </c>
      <c r="CV38" s="57">
        <f>IFERROR($O39/$O38-1,"")</f>
        <v/>
      </c>
      <c r="CW38" s="57">
        <f>IFERROR($P39/$P38-1,"")</f>
        <v/>
      </c>
      <c r="CX38" s="57">
        <f>IFERROR($Q39/$Q38-1,"")</f>
        <v/>
      </c>
      <c r="CY38" s="57">
        <f>IFERROR($R39/$R38-1,"")</f>
        <v/>
      </c>
      <c r="CZ38" s="57">
        <f>IFERROR($S39/$S38-1,"")</f>
        <v/>
      </c>
      <c r="DA38" s="57">
        <f>IFERROR($T39/$T38-1,"")</f>
        <v/>
      </c>
      <c r="DB38" s="57">
        <f>IFERROR($U39/$U38-1,"")</f>
        <v/>
      </c>
      <c r="DC38" s="57">
        <f>IFERROR($V39/$V38-1,"")</f>
        <v/>
      </c>
      <c r="DD38" s="57">
        <f>IFERROR($W39/$W38-1,"")</f>
        <v/>
      </c>
      <c r="DE38" s="57">
        <f>IFERROR($X39/$X38-1,"")</f>
        <v/>
      </c>
      <c r="DF38" s="57">
        <f>IFERROR($Y39/$Y38-1,"")</f>
        <v/>
      </c>
      <c r="DG38" s="57">
        <f>IFERROR($Z39/$Z38-1,"")</f>
        <v/>
      </c>
      <c r="DH38" s="57">
        <f>IFERROR($AA39/$AA38-1,"")</f>
        <v/>
      </c>
      <c r="DI38" s="57">
        <f>IFERROR($AB39/$AB38-1,"")</f>
        <v/>
      </c>
      <c r="DJ38" s="57">
        <f>IFERROR($AC39/$AC38-1,"")</f>
        <v/>
      </c>
      <c r="DK38" s="57">
        <f>IFERROR($AD39/$AD38-1,"")</f>
        <v/>
      </c>
      <c r="DL38" s="57">
        <f>IFERROR($AE39/$AE38-1,"")</f>
        <v/>
      </c>
      <c r="DM38" s="56">
        <f>$AZ38-$AZ39</f>
        <v/>
      </c>
      <c r="DN38" s="56">
        <f>$BA38-$BA39</f>
        <v/>
      </c>
      <c r="DO38" s="56">
        <f>$BB38-$BB39</f>
        <v/>
      </c>
      <c r="DP38" s="56">
        <f>$BC38-$BC39</f>
        <v/>
      </c>
      <c r="DQ38" s="56">
        <f>$BD38-$BD39</f>
        <v/>
      </c>
      <c r="DR38" s="56">
        <f>$BE38-$BE39</f>
        <v/>
      </c>
      <c r="DS38" s="56">
        <f>$BF38-$BF39</f>
        <v/>
      </c>
      <c r="DT38" s="56">
        <f>$BG38-$BG39</f>
        <v/>
      </c>
      <c r="DU38" s="56">
        <f>$BH38-$BH39</f>
        <v/>
      </c>
      <c r="DV38" s="56">
        <f>$BI38-$BI39</f>
        <v/>
      </c>
      <c r="DW38" s="56">
        <f>$BJ38-$BJ39</f>
        <v/>
      </c>
      <c r="DX38" s="56">
        <f>$BK38-$BK39</f>
        <v/>
      </c>
      <c r="DY38" s="56">
        <f>$BL38-$BL39</f>
        <v/>
      </c>
      <c r="DZ38" s="56">
        <f>$BM38-$BM39</f>
        <v/>
      </c>
      <c r="EA38" s="56">
        <f>$BN38-$BN39</f>
        <v/>
      </c>
      <c r="EB38" s="56">
        <f>$BO38-$BO39</f>
        <v/>
      </c>
      <c r="EC38" s="56">
        <f>$BP38-$BP39</f>
        <v/>
      </c>
      <c r="ED38" s="56">
        <f>$BQ38-$BQ39</f>
        <v/>
      </c>
      <c r="EE38" s="56">
        <f>$BR38-$BR39</f>
        <v/>
      </c>
      <c r="EF38" s="56">
        <f>$BS38-$BS39</f>
        <v/>
      </c>
      <c r="EG38" s="56">
        <f>$BT38-$BT39</f>
        <v/>
      </c>
      <c r="EH38" s="56">
        <f>$BU38-$BU39</f>
        <v/>
      </c>
    </row>
    <row r="39">
      <c r="BV39" s="56">
        <f>($D39-$D40)*100</f>
        <v/>
      </c>
      <c r="BW39" s="56">
        <f>($C39-$C40)*100</f>
        <v/>
      </c>
      <c r="BX39" s="57">
        <f>IFERROR($I39/$I40-1,"")</f>
        <v/>
      </c>
      <c r="BY39" s="56">
        <f>($AF39-$AF40)*100</f>
        <v/>
      </c>
      <c r="BZ39" s="56">
        <f>($AG39-$AG40)*100</f>
        <v/>
      </c>
      <c r="CA39" s="56">
        <f>($AH39-$AH40)*100</f>
        <v/>
      </c>
      <c r="CB39" s="56">
        <f>($AI39-$AI40)*100</f>
        <v/>
      </c>
      <c r="CC39" s="56">
        <f>($AJ39-$AJ40)*100</f>
        <v/>
      </c>
      <c r="CD39" s="56">
        <f>($AK39-$AK40)*100</f>
        <v/>
      </c>
      <c r="CE39" s="56">
        <f>($AL39-$AL40)*100</f>
        <v/>
      </c>
      <c r="CF39" s="56">
        <f>($AM39-$AM40)*100</f>
        <v/>
      </c>
      <c r="CG39" s="56">
        <f>($AN39-$AN40)*100</f>
        <v/>
      </c>
      <c r="CH39" s="56">
        <f>($AO39-$AO40)*100</f>
        <v/>
      </c>
      <c r="CI39" s="56">
        <f>($AP39-$AP40)*100</f>
        <v/>
      </c>
      <c r="CJ39" s="56">
        <f>($AQ39-$AQ40)*100</f>
        <v/>
      </c>
      <c r="CK39" s="56">
        <f>($AR39-$AR40)*100</f>
        <v/>
      </c>
      <c r="CL39" s="56">
        <f>($AS39-$AS40)*100</f>
        <v/>
      </c>
      <c r="CM39" s="56">
        <f>($AT39-$AT40)*100</f>
        <v/>
      </c>
      <c r="CN39" s="56">
        <f>($AU39-$AU40)*100</f>
        <v/>
      </c>
      <c r="CO39" s="56">
        <f>($AV39-$AV40)*100</f>
        <v/>
      </c>
      <c r="CP39" s="56">
        <f>($AW39-$AW40)*100</f>
        <v/>
      </c>
      <c r="CQ39" s="56">
        <f>($AX39-$AX40)*100</f>
        <v/>
      </c>
      <c r="CR39" s="56">
        <f>($AY39-$AY40)*100</f>
        <v/>
      </c>
      <c r="CS39" s="57">
        <f>IFERROR($L40/$L39-1,"")</f>
        <v/>
      </c>
      <c r="CT39" s="57">
        <f>IFERROR($M40/$M39-1,"")</f>
        <v/>
      </c>
      <c r="CU39" s="57">
        <f>IFERROR($N40/$N39-1,"")</f>
        <v/>
      </c>
      <c r="CV39" s="57">
        <f>IFERROR($O40/$O39-1,"")</f>
        <v/>
      </c>
      <c r="CW39" s="57">
        <f>IFERROR($P40/$P39-1,"")</f>
        <v/>
      </c>
      <c r="CX39" s="57">
        <f>IFERROR($Q40/$Q39-1,"")</f>
        <v/>
      </c>
      <c r="CY39" s="57">
        <f>IFERROR($R40/$R39-1,"")</f>
        <v/>
      </c>
      <c r="CZ39" s="57">
        <f>IFERROR($S40/$S39-1,"")</f>
        <v/>
      </c>
      <c r="DA39" s="57">
        <f>IFERROR($T40/$T39-1,"")</f>
        <v/>
      </c>
      <c r="DB39" s="57">
        <f>IFERROR($U40/$U39-1,"")</f>
        <v/>
      </c>
      <c r="DC39" s="57">
        <f>IFERROR($V40/$V39-1,"")</f>
        <v/>
      </c>
      <c r="DD39" s="57">
        <f>IFERROR($W40/$W39-1,"")</f>
        <v/>
      </c>
      <c r="DE39" s="57">
        <f>IFERROR($X40/$X39-1,"")</f>
        <v/>
      </c>
      <c r="DF39" s="57">
        <f>IFERROR($Y40/$Y39-1,"")</f>
        <v/>
      </c>
      <c r="DG39" s="57">
        <f>IFERROR($Z40/$Z39-1,"")</f>
        <v/>
      </c>
      <c r="DH39" s="57">
        <f>IFERROR($AA40/$AA39-1,"")</f>
        <v/>
      </c>
      <c r="DI39" s="57">
        <f>IFERROR($AB40/$AB39-1,"")</f>
        <v/>
      </c>
      <c r="DJ39" s="57">
        <f>IFERROR($AC40/$AC39-1,"")</f>
        <v/>
      </c>
      <c r="DK39" s="57">
        <f>IFERROR($AD40/$AD39-1,"")</f>
        <v/>
      </c>
      <c r="DL39" s="57">
        <f>IFERROR($AE40/$AE39-1,"")</f>
        <v/>
      </c>
      <c r="DM39" s="56">
        <f>$AZ39-$AZ40</f>
        <v/>
      </c>
      <c r="DN39" s="56">
        <f>$BA39-$BA40</f>
        <v/>
      </c>
      <c r="DO39" s="56">
        <f>$BB39-$BB40</f>
        <v/>
      </c>
      <c r="DP39" s="56">
        <f>$BC39-$BC40</f>
        <v/>
      </c>
      <c r="DQ39" s="56">
        <f>$BD39-$BD40</f>
        <v/>
      </c>
      <c r="DR39" s="56">
        <f>$BE39-$BE40</f>
        <v/>
      </c>
      <c r="DS39" s="56">
        <f>$BF39-$BF40</f>
        <v/>
      </c>
      <c r="DT39" s="56">
        <f>$BG39-$BG40</f>
        <v/>
      </c>
      <c r="DU39" s="56">
        <f>$BH39-$BH40</f>
        <v/>
      </c>
      <c r="DV39" s="56">
        <f>$BI39-$BI40</f>
        <v/>
      </c>
      <c r="DW39" s="56">
        <f>$BJ39-$BJ40</f>
        <v/>
      </c>
      <c r="DX39" s="56">
        <f>$BK39-$BK40</f>
        <v/>
      </c>
      <c r="DY39" s="56">
        <f>$BL39-$BL40</f>
        <v/>
      </c>
      <c r="DZ39" s="56">
        <f>$BM39-$BM40</f>
        <v/>
      </c>
      <c r="EA39" s="56">
        <f>$BN39-$BN40</f>
        <v/>
      </c>
      <c r="EB39" s="56">
        <f>$BO39-$BO40</f>
        <v/>
      </c>
      <c r="EC39" s="56">
        <f>$BP39-$BP40</f>
        <v/>
      </c>
      <c r="ED39" s="56">
        <f>$BQ39-$BQ40</f>
        <v/>
      </c>
      <c r="EE39" s="56">
        <f>$BR39-$BR40</f>
        <v/>
      </c>
      <c r="EF39" s="56">
        <f>$BS39-$BS40</f>
        <v/>
      </c>
      <c r="EG39" s="56">
        <f>$BT39-$BT40</f>
        <v/>
      </c>
      <c r="EH39" s="56">
        <f>$BU39-$BU40</f>
        <v/>
      </c>
    </row>
    <row r="40">
      <c r="BV40" s="56">
        <f>($D40-$D41)*100</f>
        <v/>
      </c>
      <c r="BW40" s="56">
        <f>($C40-$C41)*100</f>
        <v/>
      </c>
      <c r="BX40" s="57">
        <f>IFERROR($I40/$I41-1,"")</f>
        <v/>
      </c>
      <c r="BY40" s="56">
        <f>($AF40-$AF41)*100</f>
        <v/>
      </c>
      <c r="BZ40" s="56">
        <f>($AG40-$AG41)*100</f>
        <v/>
      </c>
      <c r="CA40" s="56">
        <f>($AH40-$AH41)*100</f>
        <v/>
      </c>
      <c r="CB40" s="56">
        <f>($AI40-$AI41)*100</f>
        <v/>
      </c>
      <c r="CC40" s="56">
        <f>($AJ40-$AJ41)*100</f>
        <v/>
      </c>
      <c r="CD40" s="56">
        <f>($AK40-$AK41)*100</f>
        <v/>
      </c>
      <c r="CE40" s="56">
        <f>($AL40-$AL41)*100</f>
        <v/>
      </c>
      <c r="CF40" s="56">
        <f>($AM40-$AM41)*100</f>
        <v/>
      </c>
      <c r="CG40" s="56">
        <f>($AN40-$AN41)*100</f>
        <v/>
      </c>
      <c r="CH40" s="56">
        <f>($AO40-$AO41)*100</f>
        <v/>
      </c>
      <c r="CI40" s="56">
        <f>($AP40-$AP41)*100</f>
        <v/>
      </c>
      <c r="CJ40" s="56">
        <f>($AQ40-$AQ41)*100</f>
        <v/>
      </c>
      <c r="CK40" s="56">
        <f>($AR40-$AR41)*100</f>
        <v/>
      </c>
      <c r="CL40" s="56">
        <f>($AS40-$AS41)*100</f>
        <v/>
      </c>
      <c r="CM40" s="56">
        <f>($AT40-$AT41)*100</f>
        <v/>
      </c>
      <c r="CN40" s="56">
        <f>($AU40-$AU41)*100</f>
        <v/>
      </c>
      <c r="CO40" s="56">
        <f>($AV40-$AV41)*100</f>
        <v/>
      </c>
      <c r="CP40" s="56">
        <f>($AW40-$AW41)*100</f>
        <v/>
      </c>
      <c r="CQ40" s="56">
        <f>($AX40-$AX41)*100</f>
        <v/>
      </c>
      <c r="CR40" s="56">
        <f>($AY40-$AY41)*100</f>
        <v/>
      </c>
      <c r="CS40" s="57">
        <f>IFERROR($L41/$L40-1,"")</f>
        <v/>
      </c>
      <c r="CT40" s="57">
        <f>IFERROR($M41/$M40-1,"")</f>
        <v/>
      </c>
      <c r="CU40" s="57">
        <f>IFERROR($N41/$N40-1,"")</f>
        <v/>
      </c>
      <c r="CV40" s="57">
        <f>IFERROR($O41/$O40-1,"")</f>
        <v/>
      </c>
      <c r="CW40" s="57">
        <f>IFERROR($P41/$P40-1,"")</f>
        <v/>
      </c>
      <c r="CX40" s="57">
        <f>IFERROR($Q41/$Q40-1,"")</f>
        <v/>
      </c>
      <c r="CY40" s="57">
        <f>IFERROR($R41/$R40-1,"")</f>
        <v/>
      </c>
      <c r="CZ40" s="57">
        <f>IFERROR($S41/$S40-1,"")</f>
        <v/>
      </c>
      <c r="DA40" s="57">
        <f>IFERROR($T41/$T40-1,"")</f>
        <v/>
      </c>
      <c r="DB40" s="57">
        <f>IFERROR($U41/$U40-1,"")</f>
        <v/>
      </c>
      <c r="DC40" s="57">
        <f>IFERROR($V41/$V40-1,"")</f>
        <v/>
      </c>
      <c r="DD40" s="57">
        <f>IFERROR($W41/$W40-1,"")</f>
        <v/>
      </c>
      <c r="DE40" s="57">
        <f>IFERROR($X41/$X40-1,"")</f>
        <v/>
      </c>
      <c r="DF40" s="57">
        <f>IFERROR($Y41/$Y40-1,"")</f>
        <v/>
      </c>
      <c r="DG40" s="57">
        <f>IFERROR($Z41/$Z40-1,"")</f>
        <v/>
      </c>
      <c r="DH40" s="57">
        <f>IFERROR($AA41/$AA40-1,"")</f>
        <v/>
      </c>
      <c r="DI40" s="57">
        <f>IFERROR($AB41/$AB40-1,"")</f>
        <v/>
      </c>
      <c r="DJ40" s="57">
        <f>IFERROR($AC41/$AC40-1,"")</f>
        <v/>
      </c>
      <c r="DK40" s="57">
        <f>IFERROR($AD41/$AD40-1,"")</f>
        <v/>
      </c>
      <c r="DL40" s="57">
        <f>IFERROR($AE41/$AE40-1,"")</f>
        <v/>
      </c>
      <c r="DM40" s="56">
        <f>$AZ40-$AZ41</f>
        <v/>
      </c>
      <c r="DN40" s="56">
        <f>$BA40-$BA41</f>
        <v/>
      </c>
      <c r="DO40" s="56">
        <f>$BB40-$BB41</f>
        <v/>
      </c>
      <c r="DP40" s="56">
        <f>$BC40-$BC41</f>
        <v/>
      </c>
      <c r="DQ40" s="56">
        <f>$BD40-$BD41</f>
        <v/>
      </c>
      <c r="DR40" s="56">
        <f>$BE40-$BE41</f>
        <v/>
      </c>
      <c r="DS40" s="56">
        <f>$BF40-$BF41</f>
        <v/>
      </c>
      <c r="DT40" s="56">
        <f>$BG40-$BG41</f>
        <v/>
      </c>
      <c r="DU40" s="56">
        <f>$BH40-$BH41</f>
        <v/>
      </c>
      <c r="DV40" s="56">
        <f>$BI40-$BI41</f>
        <v/>
      </c>
      <c r="DW40" s="56">
        <f>$BJ40-$BJ41</f>
        <v/>
      </c>
      <c r="DX40" s="56">
        <f>$BK40-$BK41</f>
        <v/>
      </c>
      <c r="DY40" s="56">
        <f>$BL40-$BL41</f>
        <v/>
      </c>
      <c r="DZ40" s="56">
        <f>$BM40-$BM41</f>
        <v/>
      </c>
      <c r="EA40" s="56">
        <f>$BN40-$BN41</f>
        <v/>
      </c>
      <c r="EB40" s="56">
        <f>$BO40-$BO41</f>
        <v/>
      </c>
      <c r="EC40" s="56">
        <f>$BP40-$BP41</f>
        <v/>
      </c>
      <c r="ED40" s="56">
        <f>$BQ40-$BQ41</f>
        <v/>
      </c>
      <c r="EE40" s="56">
        <f>$BR40-$BR41</f>
        <v/>
      </c>
      <c r="EF40" s="56">
        <f>$BS40-$BS41</f>
        <v/>
      </c>
      <c r="EG40" s="56">
        <f>$BT40-$BT41</f>
        <v/>
      </c>
      <c r="EH40" s="56">
        <f>$BU40-$BU41</f>
        <v/>
      </c>
    </row>
    <row r="41">
      <c r="BV41" s="56">
        <f>($D41-$D42)*100</f>
        <v/>
      </c>
      <c r="BW41" s="56">
        <f>($C41-$C42)*100</f>
        <v/>
      </c>
      <c r="BX41" s="57">
        <f>IFERROR($I41/$I42-1,"")</f>
        <v/>
      </c>
      <c r="BY41" s="56">
        <f>($AF41-$AF42)*100</f>
        <v/>
      </c>
      <c r="BZ41" s="56">
        <f>($AG41-$AG42)*100</f>
        <v/>
      </c>
      <c r="CA41" s="56">
        <f>($AH41-$AH42)*100</f>
        <v/>
      </c>
      <c r="CB41" s="56">
        <f>($AI41-$AI42)*100</f>
        <v/>
      </c>
      <c r="CC41" s="56">
        <f>($AJ41-$AJ42)*100</f>
        <v/>
      </c>
      <c r="CD41" s="56">
        <f>($AK41-$AK42)*100</f>
        <v/>
      </c>
      <c r="CE41" s="56">
        <f>($AL41-$AL42)*100</f>
        <v/>
      </c>
      <c r="CF41" s="56">
        <f>($AM41-$AM42)*100</f>
        <v/>
      </c>
      <c r="CG41" s="56">
        <f>($AN41-$AN42)*100</f>
        <v/>
      </c>
      <c r="CH41" s="56">
        <f>($AO41-$AO42)*100</f>
        <v/>
      </c>
      <c r="CI41" s="56">
        <f>($AP41-$AP42)*100</f>
        <v/>
      </c>
      <c r="CJ41" s="56">
        <f>($AQ41-$AQ42)*100</f>
        <v/>
      </c>
      <c r="CK41" s="56">
        <f>($AR41-$AR42)*100</f>
        <v/>
      </c>
      <c r="CL41" s="56">
        <f>($AS41-$AS42)*100</f>
        <v/>
      </c>
      <c r="CM41" s="56">
        <f>($AT41-$AT42)*100</f>
        <v/>
      </c>
      <c r="CN41" s="56">
        <f>($AU41-$AU42)*100</f>
        <v/>
      </c>
      <c r="CO41" s="56">
        <f>($AV41-$AV42)*100</f>
        <v/>
      </c>
      <c r="CP41" s="56">
        <f>($AW41-$AW42)*100</f>
        <v/>
      </c>
      <c r="CQ41" s="56">
        <f>($AX41-$AX42)*100</f>
        <v/>
      </c>
      <c r="CR41" s="56">
        <f>($AY41-$AY42)*100</f>
        <v/>
      </c>
      <c r="CS41" s="57">
        <f>IFERROR($L42/$L41-1,"")</f>
        <v/>
      </c>
      <c r="CT41" s="57">
        <f>IFERROR($M42/$M41-1,"")</f>
        <v/>
      </c>
      <c r="CU41" s="57">
        <f>IFERROR($N42/$N41-1,"")</f>
        <v/>
      </c>
      <c r="CV41" s="57">
        <f>IFERROR($O42/$O41-1,"")</f>
        <v/>
      </c>
      <c r="CW41" s="57">
        <f>IFERROR($P42/$P41-1,"")</f>
        <v/>
      </c>
      <c r="CX41" s="57">
        <f>IFERROR($Q42/$Q41-1,"")</f>
        <v/>
      </c>
      <c r="CY41" s="57">
        <f>IFERROR($R42/$R41-1,"")</f>
        <v/>
      </c>
      <c r="CZ41" s="57">
        <f>IFERROR($S42/$S41-1,"")</f>
        <v/>
      </c>
      <c r="DA41" s="57">
        <f>IFERROR($T42/$T41-1,"")</f>
        <v/>
      </c>
      <c r="DB41" s="57">
        <f>IFERROR($U42/$U41-1,"")</f>
        <v/>
      </c>
      <c r="DC41" s="57">
        <f>IFERROR($V42/$V41-1,"")</f>
        <v/>
      </c>
      <c r="DD41" s="57">
        <f>IFERROR($W42/$W41-1,"")</f>
        <v/>
      </c>
      <c r="DE41" s="57">
        <f>IFERROR($X42/$X41-1,"")</f>
        <v/>
      </c>
      <c r="DF41" s="57">
        <f>IFERROR($Y42/$Y41-1,"")</f>
        <v/>
      </c>
      <c r="DG41" s="57">
        <f>IFERROR($Z42/$Z41-1,"")</f>
        <v/>
      </c>
      <c r="DH41" s="57">
        <f>IFERROR($AA42/$AA41-1,"")</f>
        <v/>
      </c>
      <c r="DI41" s="57">
        <f>IFERROR($AB42/$AB41-1,"")</f>
        <v/>
      </c>
      <c r="DJ41" s="57">
        <f>IFERROR($AC42/$AC41-1,"")</f>
        <v/>
      </c>
      <c r="DK41" s="57">
        <f>IFERROR($AD42/$AD41-1,"")</f>
        <v/>
      </c>
      <c r="DL41" s="57">
        <f>IFERROR($AE42/$AE41-1,"")</f>
        <v/>
      </c>
      <c r="DM41" s="56">
        <f>$AZ41-$AZ42</f>
        <v/>
      </c>
      <c r="DN41" s="56">
        <f>$BA41-$BA42</f>
        <v/>
      </c>
      <c r="DO41" s="56">
        <f>$BB41-$BB42</f>
        <v/>
      </c>
      <c r="DP41" s="56">
        <f>$BC41-$BC42</f>
        <v/>
      </c>
      <c r="DQ41" s="56">
        <f>$BD41-$BD42</f>
        <v/>
      </c>
      <c r="DR41" s="56">
        <f>$BE41-$BE42</f>
        <v/>
      </c>
      <c r="DS41" s="56">
        <f>$BF41-$BF42</f>
        <v/>
      </c>
      <c r="DT41" s="56">
        <f>$BG41-$BG42</f>
        <v/>
      </c>
      <c r="DU41" s="56">
        <f>$BH41-$BH42</f>
        <v/>
      </c>
      <c r="DV41" s="56">
        <f>$BI41-$BI42</f>
        <v/>
      </c>
      <c r="DW41" s="56">
        <f>$BJ41-$BJ42</f>
        <v/>
      </c>
      <c r="DX41" s="56">
        <f>$BK41-$BK42</f>
        <v/>
      </c>
      <c r="DY41" s="56">
        <f>$BL41-$BL42</f>
        <v/>
      </c>
      <c r="DZ41" s="56">
        <f>$BM41-$BM42</f>
        <v/>
      </c>
      <c r="EA41" s="56">
        <f>$BN41-$BN42</f>
        <v/>
      </c>
      <c r="EB41" s="56">
        <f>$BO41-$BO42</f>
        <v/>
      </c>
      <c r="EC41" s="56">
        <f>$BP41-$BP42</f>
        <v/>
      </c>
      <c r="ED41" s="56">
        <f>$BQ41-$BQ42</f>
        <v/>
      </c>
      <c r="EE41" s="56">
        <f>$BR41-$BR42</f>
        <v/>
      </c>
      <c r="EF41" s="56">
        <f>$BS41-$BS42</f>
        <v/>
      </c>
      <c r="EG41" s="56">
        <f>$BT41-$BT42</f>
        <v/>
      </c>
      <c r="EH41" s="56">
        <f>$BU41-$BU42</f>
        <v/>
      </c>
    </row>
    <row r="42">
      <c r="BV42" s="56">
        <f>($D42-$D43)*100</f>
        <v/>
      </c>
      <c r="BW42" s="56">
        <f>($C42-$C43)*100</f>
        <v/>
      </c>
      <c r="BX42" s="57">
        <f>IFERROR($I42/$I43-1,"")</f>
        <v/>
      </c>
      <c r="BY42" s="56">
        <f>($AF42-$AF43)*100</f>
        <v/>
      </c>
      <c r="BZ42" s="56">
        <f>($AG42-$AG43)*100</f>
        <v/>
      </c>
      <c r="CA42" s="56">
        <f>($AH42-$AH43)*100</f>
        <v/>
      </c>
      <c r="CB42" s="56">
        <f>($AI42-$AI43)*100</f>
        <v/>
      </c>
      <c r="CC42" s="56">
        <f>($AJ42-$AJ43)*100</f>
        <v/>
      </c>
      <c r="CD42" s="56">
        <f>($AK42-$AK43)*100</f>
        <v/>
      </c>
      <c r="CE42" s="56">
        <f>($AL42-$AL43)*100</f>
        <v/>
      </c>
      <c r="CF42" s="56">
        <f>($AM42-$AM43)*100</f>
        <v/>
      </c>
      <c r="CG42" s="56">
        <f>($AN42-$AN43)*100</f>
        <v/>
      </c>
      <c r="CH42" s="56">
        <f>($AO42-$AO43)*100</f>
        <v/>
      </c>
      <c r="CI42" s="56">
        <f>($AP42-$AP43)*100</f>
        <v/>
      </c>
      <c r="CJ42" s="56">
        <f>($AQ42-$AQ43)*100</f>
        <v/>
      </c>
      <c r="CK42" s="56">
        <f>($AR42-$AR43)*100</f>
        <v/>
      </c>
      <c r="CL42" s="56">
        <f>($AS42-$AS43)*100</f>
        <v/>
      </c>
      <c r="CM42" s="56">
        <f>($AT42-$AT43)*100</f>
        <v/>
      </c>
      <c r="CN42" s="56">
        <f>($AU42-$AU43)*100</f>
        <v/>
      </c>
      <c r="CO42" s="56">
        <f>($AV42-$AV43)*100</f>
        <v/>
      </c>
      <c r="CP42" s="56">
        <f>($AW42-$AW43)*100</f>
        <v/>
      </c>
      <c r="CQ42" s="56">
        <f>($AX42-$AX43)*100</f>
        <v/>
      </c>
      <c r="CR42" s="56">
        <f>($AY42-$AY43)*100</f>
        <v/>
      </c>
      <c r="CS42" s="57">
        <f>IFERROR($L43/$L42-1,"")</f>
        <v/>
      </c>
      <c r="CT42" s="57">
        <f>IFERROR($M43/$M42-1,"")</f>
        <v/>
      </c>
      <c r="CU42" s="57">
        <f>IFERROR($N43/$N42-1,"")</f>
        <v/>
      </c>
      <c r="CV42" s="57">
        <f>IFERROR($O43/$O42-1,"")</f>
        <v/>
      </c>
      <c r="CW42" s="57">
        <f>IFERROR($P43/$P42-1,"")</f>
        <v/>
      </c>
      <c r="CX42" s="57">
        <f>IFERROR($Q43/$Q42-1,"")</f>
        <v/>
      </c>
      <c r="CY42" s="57">
        <f>IFERROR($R43/$R42-1,"")</f>
        <v/>
      </c>
      <c r="CZ42" s="57">
        <f>IFERROR($S43/$S42-1,"")</f>
        <v/>
      </c>
      <c r="DA42" s="57">
        <f>IFERROR($T43/$T42-1,"")</f>
        <v/>
      </c>
      <c r="DB42" s="57">
        <f>IFERROR($U43/$U42-1,"")</f>
        <v/>
      </c>
      <c r="DC42" s="57">
        <f>IFERROR($V43/$V42-1,"")</f>
        <v/>
      </c>
      <c r="DD42" s="57">
        <f>IFERROR($W43/$W42-1,"")</f>
        <v/>
      </c>
      <c r="DE42" s="57">
        <f>IFERROR($X43/$X42-1,"")</f>
        <v/>
      </c>
      <c r="DF42" s="57">
        <f>IFERROR($Y43/$Y42-1,"")</f>
        <v/>
      </c>
      <c r="DG42" s="57">
        <f>IFERROR($Z43/$Z42-1,"")</f>
        <v/>
      </c>
      <c r="DH42" s="57">
        <f>IFERROR($AA43/$AA42-1,"")</f>
        <v/>
      </c>
      <c r="DI42" s="57">
        <f>IFERROR($AB43/$AB42-1,"")</f>
        <v/>
      </c>
      <c r="DJ42" s="57">
        <f>IFERROR($AC43/$AC42-1,"")</f>
        <v/>
      </c>
      <c r="DK42" s="57">
        <f>IFERROR($AD43/$AD42-1,"")</f>
        <v/>
      </c>
      <c r="DL42" s="57">
        <f>IFERROR($AE43/$AE42-1,"")</f>
        <v/>
      </c>
      <c r="DM42" s="56">
        <f>$AZ42-$AZ43</f>
        <v/>
      </c>
      <c r="DN42" s="56">
        <f>$BA42-$BA43</f>
        <v/>
      </c>
      <c r="DO42" s="56">
        <f>$BB42-$BB43</f>
        <v/>
      </c>
      <c r="DP42" s="56">
        <f>$BC42-$BC43</f>
        <v/>
      </c>
      <c r="DQ42" s="56">
        <f>$BD42-$BD43</f>
        <v/>
      </c>
      <c r="DR42" s="56">
        <f>$BE42-$BE43</f>
        <v/>
      </c>
      <c r="DS42" s="56">
        <f>$BF42-$BF43</f>
        <v/>
      </c>
      <c r="DT42" s="56">
        <f>$BG42-$BG43</f>
        <v/>
      </c>
      <c r="DU42" s="56">
        <f>$BH42-$BH43</f>
        <v/>
      </c>
      <c r="DV42" s="56">
        <f>$BI42-$BI43</f>
        <v/>
      </c>
      <c r="DW42" s="56">
        <f>$BJ42-$BJ43</f>
        <v/>
      </c>
      <c r="DX42" s="56">
        <f>$BK42-$BK43</f>
        <v/>
      </c>
      <c r="DY42" s="56">
        <f>$BL42-$BL43</f>
        <v/>
      </c>
      <c r="DZ42" s="56">
        <f>$BM42-$BM43</f>
        <v/>
      </c>
      <c r="EA42" s="56">
        <f>$BN42-$BN43</f>
        <v/>
      </c>
      <c r="EB42" s="56">
        <f>$BO42-$BO43</f>
        <v/>
      </c>
      <c r="EC42" s="56">
        <f>$BP42-$BP43</f>
        <v/>
      </c>
      <c r="ED42" s="56">
        <f>$BQ42-$BQ43</f>
        <v/>
      </c>
      <c r="EE42" s="56">
        <f>$BR42-$BR43</f>
        <v/>
      </c>
      <c r="EF42" s="56">
        <f>$BS42-$BS43</f>
        <v/>
      </c>
      <c r="EG42" s="56">
        <f>$BT42-$BT43</f>
        <v/>
      </c>
      <c r="EH42" s="56">
        <f>$BU42-$BU43</f>
        <v/>
      </c>
    </row>
    <row r="43">
      <c r="BV43" s="56">
        <f>($D43-$D44)*100</f>
        <v/>
      </c>
      <c r="BW43" s="56">
        <f>($C43-$C44)*100</f>
        <v/>
      </c>
      <c r="BX43" s="57">
        <f>IFERROR($I43/$I44-1,"")</f>
        <v/>
      </c>
      <c r="BY43" s="56">
        <f>($AF43-$AF44)*100</f>
        <v/>
      </c>
      <c r="BZ43" s="56">
        <f>($AG43-$AG44)*100</f>
        <v/>
      </c>
      <c r="CA43" s="56">
        <f>($AH43-$AH44)*100</f>
        <v/>
      </c>
      <c r="CB43" s="56">
        <f>($AI43-$AI44)*100</f>
        <v/>
      </c>
      <c r="CC43" s="56">
        <f>($AJ43-$AJ44)*100</f>
        <v/>
      </c>
      <c r="CD43" s="56">
        <f>($AK43-$AK44)*100</f>
        <v/>
      </c>
      <c r="CE43" s="56">
        <f>($AL43-$AL44)*100</f>
        <v/>
      </c>
      <c r="CF43" s="56">
        <f>($AM43-$AM44)*100</f>
        <v/>
      </c>
      <c r="CG43" s="56">
        <f>($AN43-$AN44)*100</f>
        <v/>
      </c>
      <c r="CH43" s="56">
        <f>($AO43-$AO44)*100</f>
        <v/>
      </c>
      <c r="CI43" s="56">
        <f>($AP43-$AP44)*100</f>
        <v/>
      </c>
      <c r="CJ43" s="56">
        <f>($AQ43-$AQ44)*100</f>
        <v/>
      </c>
      <c r="CK43" s="56">
        <f>($AR43-$AR44)*100</f>
        <v/>
      </c>
      <c r="CL43" s="56">
        <f>($AS43-$AS44)*100</f>
        <v/>
      </c>
      <c r="CM43" s="56">
        <f>($AT43-$AT44)*100</f>
        <v/>
      </c>
      <c r="CN43" s="56">
        <f>($AU43-$AU44)*100</f>
        <v/>
      </c>
      <c r="CO43" s="56">
        <f>($AV43-$AV44)*100</f>
        <v/>
      </c>
      <c r="CP43" s="56">
        <f>($AW43-$AW44)*100</f>
        <v/>
      </c>
      <c r="CQ43" s="56">
        <f>($AX43-$AX44)*100</f>
        <v/>
      </c>
      <c r="CR43" s="56">
        <f>($AY43-$AY44)*100</f>
        <v/>
      </c>
      <c r="CS43" s="57">
        <f>IFERROR($L44/$L43-1,"")</f>
        <v/>
      </c>
      <c r="CT43" s="57">
        <f>IFERROR($M44/$M43-1,"")</f>
        <v/>
      </c>
      <c r="CU43" s="57">
        <f>IFERROR($N44/$N43-1,"")</f>
        <v/>
      </c>
      <c r="CV43" s="57">
        <f>IFERROR($O44/$O43-1,"")</f>
        <v/>
      </c>
      <c r="CW43" s="57">
        <f>IFERROR($P44/$P43-1,"")</f>
        <v/>
      </c>
      <c r="CX43" s="57">
        <f>IFERROR($Q44/$Q43-1,"")</f>
        <v/>
      </c>
      <c r="CY43" s="57">
        <f>IFERROR($R44/$R43-1,"")</f>
        <v/>
      </c>
      <c r="CZ43" s="57">
        <f>IFERROR($S44/$S43-1,"")</f>
        <v/>
      </c>
      <c r="DA43" s="57">
        <f>IFERROR($T44/$T43-1,"")</f>
        <v/>
      </c>
      <c r="DB43" s="57">
        <f>IFERROR($U44/$U43-1,"")</f>
        <v/>
      </c>
      <c r="DC43" s="57">
        <f>IFERROR($V44/$V43-1,"")</f>
        <v/>
      </c>
      <c r="DD43" s="57">
        <f>IFERROR($W44/$W43-1,"")</f>
        <v/>
      </c>
      <c r="DE43" s="57">
        <f>IFERROR($X44/$X43-1,"")</f>
        <v/>
      </c>
      <c r="DF43" s="57">
        <f>IFERROR($Y44/$Y43-1,"")</f>
        <v/>
      </c>
      <c r="DG43" s="57">
        <f>IFERROR($Z44/$Z43-1,"")</f>
        <v/>
      </c>
      <c r="DH43" s="57">
        <f>IFERROR($AA44/$AA43-1,"")</f>
        <v/>
      </c>
      <c r="DI43" s="57">
        <f>IFERROR($AB44/$AB43-1,"")</f>
        <v/>
      </c>
      <c r="DJ43" s="57">
        <f>IFERROR($AC44/$AC43-1,"")</f>
        <v/>
      </c>
      <c r="DK43" s="57">
        <f>IFERROR($AD44/$AD43-1,"")</f>
        <v/>
      </c>
      <c r="DL43" s="57">
        <f>IFERROR($AE44/$AE43-1,"")</f>
        <v/>
      </c>
      <c r="DM43" s="56">
        <f>$AZ43-$AZ44</f>
        <v/>
      </c>
      <c r="DN43" s="56">
        <f>$BA43-$BA44</f>
        <v/>
      </c>
      <c r="DO43" s="56">
        <f>$BB43-$BB44</f>
        <v/>
      </c>
      <c r="DP43" s="56">
        <f>$BC43-$BC44</f>
        <v/>
      </c>
      <c r="DQ43" s="56">
        <f>$BD43-$BD44</f>
        <v/>
      </c>
      <c r="DR43" s="56">
        <f>$BE43-$BE44</f>
        <v/>
      </c>
      <c r="DS43" s="56">
        <f>$BF43-$BF44</f>
        <v/>
      </c>
      <c r="DT43" s="56">
        <f>$BG43-$BG44</f>
        <v/>
      </c>
      <c r="DU43" s="56">
        <f>$BH43-$BH44</f>
        <v/>
      </c>
      <c r="DV43" s="56">
        <f>$BI43-$BI44</f>
        <v/>
      </c>
      <c r="DW43" s="56">
        <f>$BJ43-$BJ44</f>
        <v/>
      </c>
      <c r="DX43" s="56">
        <f>$BK43-$BK44</f>
        <v/>
      </c>
      <c r="DY43" s="56">
        <f>$BL43-$BL44</f>
        <v/>
      </c>
      <c r="DZ43" s="56">
        <f>$BM43-$BM44</f>
        <v/>
      </c>
      <c r="EA43" s="56">
        <f>$BN43-$BN44</f>
        <v/>
      </c>
      <c r="EB43" s="56">
        <f>$BO43-$BO44</f>
        <v/>
      </c>
      <c r="EC43" s="56">
        <f>$BP43-$BP44</f>
        <v/>
      </c>
      <c r="ED43" s="56">
        <f>$BQ43-$BQ44</f>
        <v/>
      </c>
      <c r="EE43" s="56">
        <f>$BR43-$BR44</f>
        <v/>
      </c>
      <c r="EF43" s="56">
        <f>$BS43-$BS44</f>
        <v/>
      </c>
      <c r="EG43" s="56">
        <f>$BT43-$BT44</f>
        <v/>
      </c>
      <c r="EH43" s="56">
        <f>$BU43-$BU44</f>
        <v/>
      </c>
    </row>
    <row r="44">
      <c r="BV44" s="56">
        <f>($D44-$D45)*100</f>
        <v/>
      </c>
      <c r="BW44" s="56">
        <f>($C44-$C45)*100</f>
        <v/>
      </c>
      <c r="BX44" s="57">
        <f>IFERROR($I44/$I45-1,"")</f>
        <v/>
      </c>
      <c r="BY44" s="56">
        <f>($AF44-$AF45)*100</f>
        <v/>
      </c>
      <c r="BZ44" s="56">
        <f>($AG44-$AG45)*100</f>
        <v/>
      </c>
      <c r="CA44" s="56">
        <f>($AH44-$AH45)*100</f>
        <v/>
      </c>
      <c r="CB44" s="56">
        <f>($AI44-$AI45)*100</f>
        <v/>
      </c>
      <c r="CC44" s="56">
        <f>($AJ44-$AJ45)*100</f>
        <v/>
      </c>
      <c r="CD44" s="56">
        <f>($AK44-$AK45)*100</f>
        <v/>
      </c>
      <c r="CE44" s="56">
        <f>($AL44-$AL45)*100</f>
        <v/>
      </c>
      <c r="CF44" s="56">
        <f>($AM44-$AM45)*100</f>
        <v/>
      </c>
      <c r="CG44" s="56">
        <f>($AN44-$AN45)*100</f>
        <v/>
      </c>
      <c r="CH44" s="56">
        <f>($AO44-$AO45)*100</f>
        <v/>
      </c>
      <c r="CI44" s="56">
        <f>($AP44-$AP45)*100</f>
        <v/>
      </c>
      <c r="CJ44" s="56">
        <f>($AQ44-$AQ45)*100</f>
        <v/>
      </c>
      <c r="CK44" s="56">
        <f>($AR44-$AR45)*100</f>
        <v/>
      </c>
      <c r="CL44" s="56">
        <f>($AS44-$AS45)*100</f>
        <v/>
      </c>
      <c r="CM44" s="56">
        <f>($AT44-$AT45)*100</f>
        <v/>
      </c>
      <c r="CN44" s="56">
        <f>($AU44-$AU45)*100</f>
        <v/>
      </c>
      <c r="CO44" s="56">
        <f>($AV44-$AV45)*100</f>
        <v/>
      </c>
      <c r="CP44" s="56">
        <f>($AW44-$AW45)*100</f>
        <v/>
      </c>
      <c r="CQ44" s="56">
        <f>($AX44-$AX45)*100</f>
        <v/>
      </c>
      <c r="CR44" s="56">
        <f>($AY44-$AY45)*100</f>
        <v/>
      </c>
      <c r="CS44" s="57">
        <f>IFERROR($L45/$L44-1,"")</f>
        <v/>
      </c>
      <c r="CT44" s="57">
        <f>IFERROR($M45/$M44-1,"")</f>
        <v/>
      </c>
      <c r="CU44" s="57">
        <f>IFERROR($N45/$N44-1,"")</f>
        <v/>
      </c>
      <c r="CV44" s="57">
        <f>IFERROR($O45/$O44-1,"")</f>
        <v/>
      </c>
      <c r="CW44" s="57">
        <f>IFERROR($P45/$P44-1,"")</f>
        <v/>
      </c>
      <c r="CX44" s="57">
        <f>IFERROR($Q45/$Q44-1,"")</f>
        <v/>
      </c>
      <c r="CY44" s="57">
        <f>IFERROR($R45/$R44-1,"")</f>
        <v/>
      </c>
      <c r="CZ44" s="57">
        <f>IFERROR($S45/$S44-1,"")</f>
        <v/>
      </c>
      <c r="DA44" s="57">
        <f>IFERROR($T45/$T44-1,"")</f>
        <v/>
      </c>
      <c r="DB44" s="57">
        <f>IFERROR($U45/$U44-1,"")</f>
        <v/>
      </c>
      <c r="DC44" s="57">
        <f>IFERROR($V45/$V44-1,"")</f>
        <v/>
      </c>
      <c r="DD44" s="57">
        <f>IFERROR($W45/$W44-1,"")</f>
        <v/>
      </c>
      <c r="DE44" s="57">
        <f>IFERROR($X45/$X44-1,"")</f>
        <v/>
      </c>
      <c r="DF44" s="57">
        <f>IFERROR($Y45/$Y44-1,"")</f>
        <v/>
      </c>
      <c r="DG44" s="57">
        <f>IFERROR($Z45/$Z44-1,"")</f>
        <v/>
      </c>
      <c r="DH44" s="57">
        <f>IFERROR($AA45/$AA44-1,"")</f>
        <v/>
      </c>
      <c r="DI44" s="57">
        <f>IFERROR($AB45/$AB44-1,"")</f>
        <v/>
      </c>
      <c r="DJ44" s="57">
        <f>IFERROR($AC45/$AC44-1,"")</f>
        <v/>
      </c>
      <c r="DK44" s="57">
        <f>IFERROR($AD45/$AD44-1,"")</f>
        <v/>
      </c>
      <c r="DL44" s="57">
        <f>IFERROR($AE45/$AE44-1,"")</f>
        <v/>
      </c>
      <c r="DM44" s="56">
        <f>$AZ44-$AZ45</f>
        <v/>
      </c>
      <c r="DN44" s="56">
        <f>$BA44-$BA45</f>
        <v/>
      </c>
      <c r="DO44" s="56">
        <f>$BB44-$BB45</f>
        <v/>
      </c>
      <c r="DP44" s="56">
        <f>$BC44-$BC45</f>
        <v/>
      </c>
      <c r="DQ44" s="56">
        <f>$BD44-$BD45</f>
        <v/>
      </c>
      <c r="DR44" s="56">
        <f>$BE44-$BE45</f>
        <v/>
      </c>
      <c r="DS44" s="56">
        <f>$BF44-$BF45</f>
        <v/>
      </c>
      <c r="DT44" s="56">
        <f>$BG44-$BG45</f>
        <v/>
      </c>
      <c r="DU44" s="56">
        <f>$BH44-$BH45</f>
        <v/>
      </c>
      <c r="DV44" s="56">
        <f>$BI44-$BI45</f>
        <v/>
      </c>
      <c r="DW44" s="56">
        <f>$BJ44-$BJ45</f>
        <v/>
      </c>
      <c r="DX44" s="56">
        <f>$BK44-$BK45</f>
        <v/>
      </c>
      <c r="DY44" s="56">
        <f>$BL44-$BL45</f>
        <v/>
      </c>
      <c r="DZ44" s="56">
        <f>$BM44-$BM45</f>
        <v/>
      </c>
      <c r="EA44" s="56">
        <f>$BN44-$BN45</f>
        <v/>
      </c>
      <c r="EB44" s="56">
        <f>$BO44-$BO45</f>
        <v/>
      </c>
      <c r="EC44" s="56">
        <f>$BP44-$BP45</f>
        <v/>
      </c>
      <c r="ED44" s="56">
        <f>$BQ44-$BQ45</f>
        <v/>
      </c>
      <c r="EE44" s="56">
        <f>$BR44-$BR45</f>
        <v/>
      </c>
      <c r="EF44" s="56">
        <f>$BS44-$BS45</f>
        <v/>
      </c>
      <c r="EG44" s="56">
        <f>$BT44-$BT45</f>
        <v/>
      </c>
      <c r="EH44" s="56">
        <f>$BU44-$BU45</f>
        <v/>
      </c>
    </row>
    <row r="45">
      <c r="BV45" s="56">
        <f>($D45-$D46)*100</f>
        <v/>
      </c>
      <c r="BW45" s="56">
        <f>($C45-$C46)*100</f>
        <v/>
      </c>
      <c r="BX45" s="57">
        <f>IFERROR($I45/$I46-1,"")</f>
        <v/>
      </c>
      <c r="BY45" s="56">
        <f>($AF45-$AF46)*100</f>
        <v/>
      </c>
      <c r="BZ45" s="56">
        <f>($AG45-$AG46)*100</f>
        <v/>
      </c>
      <c r="CA45" s="56">
        <f>($AH45-$AH46)*100</f>
        <v/>
      </c>
      <c r="CB45" s="56">
        <f>($AI45-$AI46)*100</f>
        <v/>
      </c>
      <c r="CC45" s="56">
        <f>($AJ45-$AJ46)*100</f>
        <v/>
      </c>
      <c r="CD45" s="56">
        <f>($AK45-$AK46)*100</f>
        <v/>
      </c>
      <c r="CE45" s="56">
        <f>($AL45-$AL46)*100</f>
        <v/>
      </c>
      <c r="CF45" s="56">
        <f>($AM45-$AM46)*100</f>
        <v/>
      </c>
      <c r="CG45" s="56">
        <f>($AN45-$AN46)*100</f>
        <v/>
      </c>
      <c r="CH45" s="56">
        <f>($AO45-$AO46)*100</f>
        <v/>
      </c>
      <c r="CI45" s="56">
        <f>($AP45-$AP46)*100</f>
        <v/>
      </c>
      <c r="CJ45" s="56">
        <f>($AQ45-$AQ46)*100</f>
        <v/>
      </c>
      <c r="CK45" s="56">
        <f>($AR45-$AR46)*100</f>
        <v/>
      </c>
      <c r="CL45" s="56">
        <f>($AS45-$AS46)*100</f>
        <v/>
      </c>
      <c r="CM45" s="56">
        <f>($AT45-$AT46)*100</f>
        <v/>
      </c>
      <c r="CN45" s="56">
        <f>($AU45-$AU46)*100</f>
        <v/>
      </c>
      <c r="CO45" s="56">
        <f>($AV45-$AV46)*100</f>
        <v/>
      </c>
      <c r="CP45" s="56">
        <f>($AW45-$AW46)*100</f>
        <v/>
      </c>
      <c r="CQ45" s="56">
        <f>($AX45-$AX46)*100</f>
        <v/>
      </c>
      <c r="CR45" s="56">
        <f>($AY45-$AY46)*100</f>
        <v/>
      </c>
      <c r="CS45" s="57">
        <f>IFERROR($L46/$L45-1,"")</f>
        <v/>
      </c>
      <c r="CT45" s="57">
        <f>IFERROR($M46/$M45-1,"")</f>
        <v/>
      </c>
      <c r="CU45" s="57">
        <f>IFERROR($N46/$N45-1,"")</f>
        <v/>
      </c>
      <c r="CV45" s="57">
        <f>IFERROR($O46/$O45-1,"")</f>
        <v/>
      </c>
      <c r="CW45" s="57">
        <f>IFERROR($P46/$P45-1,"")</f>
        <v/>
      </c>
      <c r="CX45" s="57">
        <f>IFERROR($Q46/$Q45-1,"")</f>
        <v/>
      </c>
      <c r="CY45" s="57">
        <f>IFERROR($R46/$R45-1,"")</f>
        <v/>
      </c>
      <c r="CZ45" s="57">
        <f>IFERROR($S46/$S45-1,"")</f>
        <v/>
      </c>
      <c r="DA45" s="57">
        <f>IFERROR($T46/$T45-1,"")</f>
        <v/>
      </c>
      <c r="DB45" s="57">
        <f>IFERROR($U46/$U45-1,"")</f>
        <v/>
      </c>
      <c r="DC45" s="57">
        <f>IFERROR($V46/$V45-1,"")</f>
        <v/>
      </c>
      <c r="DD45" s="57">
        <f>IFERROR($W46/$W45-1,"")</f>
        <v/>
      </c>
      <c r="DE45" s="57">
        <f>IFERROR($X46/$X45-1,"")</f>
        <v/>
      </c>
      <c r="DF45" s="57">
        <f>IFERROR($Y46/$Y45-1,"")</f>
        <v/>
      </c>
      <c r="DG45" s="57">
        <f>IFERROR($Z46/$Z45-1,"")</f>
        <v/>
      </c>
      <c r="DH45" s="57">
        <f>IFERROR($AA46/$AA45-1,"")</f>
        <v/>
      </c>
      <c r="DI45" s="57">
        <f>IFERROR($AB46/$AB45-1,"")</f>
        <v/>
      </c>
      <c r="DJ45" s="57">
        <f>IFERROR($AC46/$AC45-1,"")</f>
        <v/>
      </c>
      <c r="DK45" s="57">
        <f>IFERROR($AD46/$AD45-1,"")</f>
        <v/>
      </c>
      <c r="DL45" s="57">
        <f>IFERROR($AE46/$AE45-1,"")</f>
        <v/>
      </c>
      <c r="DM45" s="56">
        <f>$AZ45-$AZ46</f>
        <v/>
      </c>
      <c r="DN45" s="56">
        <f>$BA45-$BA46</f>
        <v/>
      </c>
      <c r="DO45" s="56">
        <f>$BB45-$BB46</f>
        <v/>
      </c>
      <c r="DP45" s="56">
        <f>$BC45-$BC46</f>
        <v/>
      </c>
      <c r="DQ45" s="56">
        <f>$BD45-$BD46</f>
        <v/>
      </c>
      <c r="DR45" s="56">
        <f>$BE45-$BE46</f>
        <v/>
      </c>
      <c r="DS45" s="56">
        <f>$BF45-$BF46</f>
        <v/>
      </c>
      <c r="DT45" s="56">
        <f>$BG45-$BG46</f>
        <v/>
      </c>
      <c r="DU45" s="56">
        <f>$BH45-$BH46</f>
        <v/>
      </c>
      <c r="DV45" s="56">
        <f>$BI45-$BI46</f>
        <v/>
      </c>
      <c r="DW45" s="56">
        <f>$BJ45-$BJ46</f>
        <v/>
      </c>
      <c r="DX45" s="56">
        <f>$BK45-$BK46</f>
        <v/>
      </c>
      <c r="DY45" s="56">
        <f>$BL45-$BL46</f>
        <v/>
      </c>
      <c r="DZ45" s="56">
        <f>$BM45-$BM46</f>
        <v/>
      </c>
      <c r="EA45" s="56">
        <f>$BN45-$BN46</f>
        <v/>
      </c>
      <c r="EB45" s="56">
        <f>$BO45-$BO46</f>
        <v/>
      </c>
      <c r="EC45" s="56">
        <f>$BP45-$BP46</f>
        <v/>
      </c>
      <c r="ED45" s="56">
        <f>$BQ45-$BQ46</f>
        <v/>
      </c>
      <c r="EE45" s="56">
        <f>$BR45-$BR46</f>
        <v/>
      </c>
      <c r="EF45" s="56">
        <f>$BS45-$BS46</f>
        <v/>
      </c>
      <c r="EG45" s="56">
        <f>$BT45-$BT46</f>
        <v/>
      </c>
      <c r="EH45" s="56">
        <f>$BU45-$BU46</f>
        <v/>
      </c>
    </row>
    <row r="46">
      <c r="BV46" s="56">
        <f>($D46-$D47)*100</f>
        <v/>
      </c>
      <c r="BW46" s="56">
        <f>($C46-$C47)*100</f>
        <v/>
      </c>
      <c r="BX46" s="57">
        <f>IFERROR($I46/$I47-1,"")</f>
        <v/>
      </c>
      <c r="BY46" s="56">
        <f>($AF46-$AF47)*100</f>
        <v/>
      </c>
      <c r="BZ46" s="56">
        <f>($AG46-$AG47)*100</f>
        <v/>
      </c>
      <c r="CA46" s="56">
        <f>($AH46-$AH47)*100</f>
        <v/>
      </c>
      <c r="CB46" s="56">
        <f>($AI46-$AI47)*100</f>
        <v/>
      </c>
      <c r="CC46" s="56">
        <f>($AJ46-$AJ47)*100</f>
        <v/>
      </c>
      <c r="CD46" s="56">
        <f>($AK46-$AK47)*100</f>
        <v/>
      </c>
      <c r="CE46" s="56">
        <f>($AL46-$AL47)*100</f>
        <v/>
      </c>
      <c r="CF46" s="56">
        <f>($AM46-$AM47)*100</f>
        <v/>
      </c>
      <c r="CG46" s="56">
        <f>($AN46-$AN47)*100</f>
        <v/>
      </c>
      <c r="CH46" s="56">
        <f>($AO46-$AO47)*100</f>
        <v/>
      </c>
      <c r="CI46" s="56">
        <f>($AP46-$AP47)*100</f>
        <v/>
      </c>
      <c r="CJ46" s="56">
        <f>($AQ46-$AQ47)*100</f>
        <v/>
      </c>
      <c r="CK46" s="56">
        <f>($AR46-$AR47)*100</f>
        <v/>
      </c>
      <c r="CL46" s="56">
        <f>($AS46-$AS47)*100</f>
        <v/>
      </c>
      <c r="CM46" s="56">
        <f>($AT46-$AT47)*100</f>
        <v/>
      </c>
      <c r="CN46" s="56">
        <f>($AU46-$AU47)*100</f>
        <v/>
      </c>
      <c r="CO46" s="56">
        <f>($AV46-$AV47)*100</f>
        <v/>
      </c>
      <c r="CP46" s="56">
        <f>($AW46-$AW47)*100</f>
        <v/>
      </c>
      <c r="CQ46" s="56">
        <f>($AX46-$AX47)*100</f>
        <v/>
      </c>
      <c r="CR46" s="56">
        <f>($AY46-$AY47)*100</f>
        <v/>
      </c>
      <c r="CS46" s="57">
        <f>IFERROR($L47/$L46-1,"")</f>
        <v/>
      </c>
      <c r="CT46" s="57">
        <f>IFERROR($M47/$M46-1,"")</f>
        <v/>
      </c>
      <c r="CU46" s="57">
        <f>IFERROR($N47/$N46-1,"")</f>
        <v/>
      </c>
      <c r="CV46" s="57">
        <f>IFERROR($O47/$O46-1,"")</f>
        <v/>
      </c>
      <c r="CW46" s="57">
        <f>IFERROR($P47/$P46-1,"")</f>
        <v/>
      </c>
      <c r="CX46" s="57">
        <f>IFERROR($Q47/$Q46-1,"")</f>
        <v/>
      </c>
      <c r="CY46" s="57">
        <f>IFERROR($R47/$R46-1,"")</f>
        <v/>
      </c>
      <c r="CZ46" s="57">
        <f>IFERROR($S47/$S46-1,"")</f>
        <v/>
      </c>
      <c r="DA46" s="57">
        <f>IFERROR($T47/$T46-1,"")</f>
        <v/>
      </c>
      <c r="DB46" s="57">
        <f>IFERROR($U47/$U46-1,"")</f>
        <v/>
      </c>
      <c r="DC46" s="57">
        <f>IFERROR($V47/$V46-1,"")</f>
        <v/>
      </c>
      <c r="DD46" s="57">
        <f>IFERROR($W47/$W46-1,"")</f>
        <v/>
      </c>
      <c r="DE46" s="57">
        <f>IFERROR($X47/$X46-1,"")</f>
        <v/>
      </c>
      <c r="DF46" s="57">
        <f>IFERROR($Y47/$Y46-1,"")</f>
        <v/>
      </c>
      <c r="DG46" s="57">
        <f>IFERROR($Z47/$Z46-1,"")</f>
        <v/>
      </c>
      <c r="DH46" s="57">
        <f>IFERROR($AA47/$AA46-1,"")</f>
        <v/>
      </c>
      <c r="DI46" s="57">
        <f>IFERROR($AB47/$AB46-1,"")</f>
        <v/>
      </c>
      <c r="DJ46" s="57">
        <f>IFERROR($AC47/$AC46-1,"")</f>
        <v/>
      </c>
      <c r="DK46" s="57">
        <f>IFERROR($AD47/$AD46-1,"")</f>
        <v/>
      </c>
      <c r="DL46" s="57">
        <f>IFERROR($AE47/$AE46-1,"")</f>
        <v/>
      </c>
      <c r="DM46" s="56">
        <f>$AZ46-$AZ47</f>
        <v/>
      </c>
      <c r="DN46" s="56">
        <f>$BA46-$BA47</f>
        <v/>
      </c>
      <c r="DO46" s="56">
        <f>$BB46-$BB47</f>
        <v/>
      </c>
      <c r="DP46" s="56">
        <f>$BC46-$BC47</f>
        <v/>
      </c>
      <c r="DQ46" s="56">
        <f>$BD46-$BD47</f>
        <v/>
      </c>
      <c r="DR46" s="56">
        <f>$BE46-$BE47</f>
        <v/>
      </c>
      <c r="DS46" s="56">
        <f>$BF46-$BF47</f>
        <v/>
      </c>
      <c r="DT46" s="56">
        <f>$BG46-$BG47</f>
        <v/>
      </c>
      <c r="DU46" s="56">
        <f>$BH46-$BH47</f>
        <v/>
      </c>
      <c r="DV46" s="56">
        <f>$BI46-$BI47</f>
        <v/>
      </c>
      <c r="DW46" s="56">
        <f>$BJ46-$BJ47</f>
        <v/>
      </c>
      <c r="DX46" s="56">
        <f>$BK46-$BK47</f>
        <v/>
      </c>
      <c r="DY46" s="56">
        <f>$BL46-$BL47</f>
        <v/>
      </c>
      <c r="DZ46" s="56">
        <f>$BM46-$BM47</f>
        <v/>
      </c>
      <c r="EA46" s="56">
        <f>$BN46-$BN47</f>
        <v/>
      </c>
      <c r="EB46" s="56">
        <f>$BO46-$BO47</f>
        <v/>
      </c>
      <c r="EC46" s="56">
        <f>$BP46-$BP47</f>
        <v/>
      </c>
      <c r="ED46" s="56">
        <f>$BQ46-$BQ47</f>
        <v/>
      </c>
      <c r="EE46" s="56">
        <f>$BR46-$BR47</f>
        <v/>
      </c>
      <c r="EF46" s="56">
        <f>$BS46-$BS47</f>
        <v/>
      </c>
      <c r="EG46" s="56">
        <f>$BT46-$BT47</f>
        <v/>
      </c>
      <c r="EH46" s="56">
        <f>$BU46-$BU47</f>
        <v/>
      </c>
    </row>
    <row r="47">
      <c r="BV47" s="56">
        <f>($D47-$D48)*100</f>
        <v/>
      </c>
      <c r="BW47" s="56">
        <f>($C47-$C48)*100</f>
        <v/>
      </c>
      <c r="BX47" s="57">
        <f>IFERROR($I47/$I48-1,"")</f>
        <v/>
      </c>
      <c r="BY47" s="56">
        <f>($AF47-$AF48)*100</f>
        <v/>
      </c>
      <c r="BZ47" s="56">
        <f>($AG47-$AG48)*100</f>
        <v/>
      </c>
      <c r="CA47" s="56">
        <f>($AH47-$AH48)*100</f>
        <v/>
      </c>
      <c r="CB47" s="56">
        <f>($AI47-$AI48)*100</f>
        <v/>
      </c>
      <c r="CC47" s="56">
        <f>($AJ47-$AJ48)*100</f>
        <v/>
      </c>
      <c r="CD47" s="56">
        <f>($AK47-$AK48)*100</f>
        <v/>
      </c>
      <c r="CE47" s="56">
        <f>($AL47-$AL48)*100</f>
        <v/>
      </c>
      <c r="CF47" s="56">
        <f>($AM47-$AM48)*100</f>
        <v/>
      </c>
      <c r="CG47" s="56">
        <f>($AN47-$AN48)*100</f>
        <v/>
      </c>
      <c r="CH47" s="56">
        <f>($AO47-$AO48)*100</f>
        <v/>
      </c>
      <c r="CI47" s="56">
        <f>($AP47-$AP48)*100</f>
        <v/>
      </c>
      <c r="CJ47" s="56">
        <f>($AQ47-$AQ48)*100</f>
        <v/>
      </c>
      <c r="CK47" s="56">
        <f>($AR47-$AR48)*100</f>
        <v/>
      </c>
      <c r="CL47" s="56">
        <f>($AS47-$AS48)*100</f>
        <v/>
      </c>
      <c r="CM47" s="56">
        <f>($AT47-$AT48)*100</f>
        <v/>
      </c>
      <c r="CN47" s="56">
        <f>($AU47-$AU48)*100</f>
        <v/>
      </c>
      <c r="CO47" s="56">
        <f>($AV47-$AV48)*100</f>
        <v/>
      </c>
      <c r="CP47" s="56">
        <f>($AW47-$AW48)*100</f>
        <v/>
      </c>
      <c r="CQ47" s="56">
        <f>($AX47-$AX48)*100</f>
        <v/>
      </c>
      <c r="CR47" s="56">
        <f>($AY47-$AY48)*100</f>
        <v/>
      </c>
      <c r="CS47" s="57">
        <f>IFERROR($L48/$L47-1,"")</f>
        <v/>
      </c>
      <c r="CT47" s="57">
        <f>IFERROR($M48/$M47-1,"")</f>
        <v/>
      </c>
      <c r="CU47" s="57">
        <f>IFERROR($N48/$N47-1,"")</f>
        <v/>
      </c>
      <c r="CV47" s="57">
        <f>IFERROR($O48/$O47-1,"")</f>
        <v/>
      </c>
      <c r="CW47" s="57">
        <f>IFERROR($P48/$P47-1,"")</f>
        <v/>
      </c>
      <c r="CX47" s="57">
        <f>IFERROR($Q48/$Q47-1,"")</f>
        <v/>
      </c>
      <c r="CY47" s="57">
        <f>IFERROR($R48/$R47-1,"")</f>
        <v/>
      </c>
      <c r="CZ47" s="57">
        <f>IFERROR($S48/$S47-1,"")</f>
        <v/>
      </c>
      <c r="DA47" s="57">
        <f>IFERROR($T48/$T47-1,"")</f>
        <v/>
      </c>
      <c r="DB47" s="57">
        <f>IFERROR($U48/$U47-1,"")</f>
        <v/>
      </c>
      <c r="DC47" s="57">
        <f>IFERROR($V48/$V47-1,"")</f>
        <v/>
      </c>
      <c r="DD47" s="57">
        <f>IFERROR($W48/$W47-1,"")</f>
        <v/>
      </c>
      <c r="DE47" s="57">
        <f>IFERROR($X48/$X47-1,"")</f>
        <v/>
      </c>
      <c r="DF47" s="57">
        <f>IFERROR($Y48/$Y47-1,"")</f>
        <v/>
      </c>
      <c r="DG47" s="57">
        <f>IFERROR($Z48/$Z47-1,"")</f>
        <v/>
      </c>
      <c r="DH47" s="57">
        <f>IFERROR($AA48/$AA47-1,"")</f>
        <v/>
      </c>
      <c r="DI47" s="57">
        <f>IFERROR($AB48/$AB47-1,"")</f>
        <v/>
      </c>
      <c r="DJ47" s="57">
        <f>IFERROR($AC48/$AC47-1,"")</f>
        <v/>
      </c>
      <c r="DK47" s="57">
        <f>IFERROR($AD48/$AD47-1,"")</f>
        <v/>
      </c>
      <c r="DL47" s="57">
        <f>IFERROR($AE48/$AE47-1,"")</f>
        <v/>
      </c>
      <c r="DM47" s="56">
        <f>$AZ47-$AZ48</f>
        <v/>
      </c>
      <c r="DN47" s="56">
        <f>$BA47-$BA48</f>
        <v/>
      </c>
      <c r="DO47" s="56">
        <f>$BB47-$BB48</f>
        <v/>
      </c>
      <c r="DP47" s="56">
        <f>$BC47-$BC48</f>
        <v/>
      </c>
      <c r="DQ47" s="56">
        <f>$BD47-$BD48</f>
        <v/>
      </c>
      <c r="DR47" s="56">
        <f>$BE47-$BE48</f>
        <v/>
      </c>
      <c r="DS47" s="56">
        <f>$BF47-$BF48</f>
        <v/>
      </c>
      <c r="DT47" s="56">
        <f>$BG47-$BG48</f>
        <v/>
      </c>
      <c r="DU47" s="56">
        <f>$BH47-$BH48</f>
        <v/>
      </c>
      <c r="DV47" s="56">
        <f>$BI47-$BI48</f>
        <v/>
      </c>
      <c r="DW47" s="56">
        <f>$BJ47-$BJ48</f>
        <v/>
      </c>
      <c r="DX47" s="56">
        <f>$BK47-$BK48</f>
        <v/>
      </c>
      <c r="DY47" s="56">
        <f>$BL47-$BL48</f>
        <v/>
      </c>
      <c r="DZ47" s="56">
        <f>$BM47-$BM48</f>
        <v/>
      </c>
      <c r="EA47" s="56">
        <f>$BN47-$BN48</f>
        <v/>
      </c>
      <c r="EB47" s="56">
        <f>$BO47-$BO48</f>
        <v/>
      </c>
      <c r="EC47" s="56">
        <f>$BP47-$BP48</f>
        <v/>
      </c>
      <c r="ED47" s="56">
        <f>$BQ47-$BQ48</f>
        <v/>
      </c>
      <c r="EE47" s="56">
        <f>$BR47-$BR48</f>
        <v/>
      </c>
      <c r="EF47" s="56">
        <f>$BS47-$BS48</f>
        <v/>
      </c>
      <c r="EG47" s="56">
        <f>$BT47-$BT48</f>
        <v/>
      </c>
      <c r="EH47" s="56">
        <f>$BU47-$BU48</f>
        <v/>
      </c>
    </row>
    <row r="48">
      <c r="BV48" s="56">
        <f>($D48-$D49)*100</f>
        <v/>
      </c>
      <c r="BW48" s="56">
        <f>($C48-$C49)*100</f>
        <v/>
      </c>
      <c r="BX48" s="57">
        <f>IFERROR($I48/$I49-1,"")</f>
        <v/>
      </c>
      <c r="BY48" s="56">
        <f>($AF48-$AF49)*100</f>
        <v/>
      </c>
      <c r="BZ48" s="56">
        <f>($AG48-$AG49)*100</f>
        <v/>
      </c>
      <c r="CA48" s="56">
        <f>($AH48-$AH49)*100</f>
        <v/>
      </c>
      <c r="CB48" s="56">
        <f>($AI48-$AI49)*100</f>
        <v/>
      </c>
      <c r="CC48" s="56">
        <f>($AJ48-$AJ49)*100</f>
        <v/>
      </c>
      <c r="CD48" s="56">
        <f>($AK48-$AK49)*100</f>
        <v/>
      </c>
      <c r="CE48" s="56">
        <f>($AL48-$AL49)*100</f>
        <v/>
      </c>
      <c r="CF48" s="56">
        <f>($AM48-$AM49)*100</f>
        <v/>
      </c>
      <c r="CG48" s="56">
        <f>($AN48-$AN49)*100</f>
        <v/>
      </c>
      <c r="CH48" s="56">
        <f>($AO48-$AO49)*100</f>
        <v/>
      </c>
      <c r="CI48" s="56">
        <f>($AP48-$AP49)*100</f>
        <v/>
      </c>
      <c r="CJ48" s="56">
        <f>($AQ48-$AQ49)*100</f>
        <v/>
      </c>
      <c r="CK48" s="56">
        <f>($AR48-$AR49)*100</f>
        <v/>
      </c>
      <c r="CL48" s="56">
        <f>($AS48-$AS49)*100</f>
        <v/>
      </c>
      <c r="CM48" s="56">
        <f>($AT48-$AT49)*100</f>
        <v/>
      </c>
      <c r="CN48" s="56">
        <f>($AU48-$AU49)*100</f>
        <v/>
      </c>
      <c r="CO48" s="56">
        <f>($AV48-$AV49)*100</f>
        <v/>
      </c>
      <c r="CP48" s="56">
        <f>($AW48-$AW49)*100</f>
        <v/>
      </c>
      <c r="CQ48" s="56">
        <f>($AX48-$AX49)*100</f>
        <v/>
      </c>
      <c r="CR48" s="56">
        <f>($AY48-$AY49)*100</f>
        <v/>
      </c>
      <c r="CS48" s="57">
        <f>IFERROR($L49/$L48-1,"")</f>
        <v/>
      </c>
      <c r="CT48" s="57">
        <f>IFERROR($M49/$M48-1,"")</f>
        <v/>
      </c>
      <c r="CU48" s="57">
        <f>IFERROR($N49/$N48-1,"")</f>
        <v/>
      </c>
      <c r="CV48" s="57">
        <f>IFERROR($O49/$O48-1,"")</f>
        <v/>
      </c>
      <c r="CW48" s="57">
        <f>IFERROR($P49/$P48-1,"")</f>
        <v/>
      </c>
      <c r="CX48" s="57">
        <f>IFERROR($Q49/$Q48-1,"")</f>
        <v/>
      </c>
      <c r="CY48" s="57">
        <f>IFERROR($R49/$R48-1,"")</f>
        <v/>
      </c>
      <c r="CZ48" s="57">
        <f>IFERROR($S49/$S48-1,"")</f>
        <v/>
      </c>
      <c r="DA48" s="57">
        <f>IFERROR($T49/$T48-1,"")</f>
        <v/>
      </c>
      <c r="DB48" s="57">
        <f>IFERROR($U49/$U48-1,"")</f>
        <v/>
      </c>
      <c r="DC48" s="57">
        <f>IFERROR($V49/$V48-1,"")</f>
        <v/>
      </c>
      <c r="DD48" s="57">
        <f>IFERROR($W49/$W48-1,"")</f>
        <v/>
      </c>
      <c r="DE48" s="57">
        <f>IFERROR($X49/$X48-1,"")</f>
        <v/>
      </c>
      <c r="DF48" s="57">
        <f>IFERROR($Y49/$Y48-1,"")</f>
        <v/>
      </c>
      <c r="DG48" s="57">
        <f>IFERROR($Z49/$Z48-1,"")</f>
        <v/>
      </c>
      <c r="DH48" s="57">
        <f>IFERROR($AA49/$AA48-1,"")</f>
        <v/>
      </c>
      <c r="DI48" s="57">
        <f>IFERROR($AB49/$AB48-1,"")</f>
        <v/>
      </c>
      <c r="DJ48" s="57">
        <f>IFERROR($AC49/$AC48-1,"")</f>
        <v/>
      </c>
      <c r="DK48" s="57">
        <f>IFERROR($AD49/$AD48-1,"")</f>
        <v/>
      </c>
      <c r="DL48" s="57">
        <f>IFERROR($AE49/$AE48-1,"")</f>
        <v/>
      </c>
      <c r="DM48" s="56">
        <f>$AZ48-$AZ49</f>
        <v/>
      </c>
      <c r="DN48" s="56">
        <f>$BA48-$BA49</f>
        <v/>
      </c>
      <c r="DO48" s="56">
        <f>$BB48-$BB49</f>
        <v/>
      </c>
      <c r="DP48" s="56">
        <f>$BC48-$BC49</f>
        <v/>
      </c>
      <c r="DQ48" s="56">
        <f>$BD48-$BD49</f>
        <v/>
      </c>
      <c r="DR48" s="56">
        <f>$BE48-$BE49</f>
        <v/>
      </c>
      <c r="DS48" s="56">
        <f>$BF48-$BF49</f>
        <v/>
      </c>
      <c r="DT48" s="56">
        <f>$BG48-$BG49</f>
        <v/>
      </c>
      <c r="DU48" s="56">
        <f>$BH48-$BH49</f>
        <v/>
      </c>
      <c r="DV48" s="56">
        <f>$BI48-$BI49</f>
        <v/>
      </c>
      <c r="DW48" s="56">
        <f>$BJ48-$BJ49</f>
        <v/>
      </c>
      <c r="DX48" s="56">
        <f>$BK48-$BK49</f>
        <v/>
      </c>
      <c r="DY48" s="56">
        <f>$BL48-$BL49</f>
        <v/>
      </c>
      <c r="DZ48" s="56">
        <f>$BM48-$BM49</f>
        <v/>
      </c>
      <c r="EA48" s="56">
        <f>$BN48-$BN49</f>
        <v/>
      </c>
      <c r="EB48" s="56">
        <f>$BO48-$BO49</f>
        <v/>
      </c>
      <c r="EC48" s="56">
        <f>$BP48-$BP49</f>
        <v/>
      </c>
      <c r="ED48" s="56">
        <f>$BQ48-$BQ49</f>
        <v/>
      </c>
      <c r="EE48" s="56">
        <f>$BR48-$BR49</f>
        <v/>
      </c>
      <c r="EF48" s="56">
        <f>$BS48-$BS49</f>
        <v/>
      </c>
      <c r="EG48" s="56">
        <f>$BT48-$BT49</f>
        <v/>
      </c>
      <c r="EH48" s="56">
        <f>$BU48-$BU49</f>
        <v/>
      </c>
    </row>
    <row r="49">
      <c r="BV49" s="56">
        <f>($D49-$D50)*100</f>
        <v/>
      </c>
      <c r="BW49" s="56">
        <f>($C49-$C50)*100</f>
        <v/>
      </c>
      <c r="BX49" s="57">
        <f>IFERROR($I49/$I50-1,"")</f>
        <v/>
      </c>
      <c r="BY49" s="56">
        <f>($AF49-$AF50)*100</f>
        <v/>
      </c>
      <c r="BZ49" s="56">
        <f>($AG49-$AG50)*100</f>
        <v/>
      </c>
      <c r="CA49" s="56">
        <f>($AH49-$AH50)*100</f>
        <v/>
      </c>
      <c r="CB49" s="56">
        <f>($AI49-$AI50)*100</f>
        <v/>
      </c>
      <c r="CC49" s="56">
        <f>($AJ49-$AJ50)*100</f>
        <v/>
      </c>
      <c r="CD49" s="56">
        <f>($AK49-$AK50)*100</f>
        <v/>
      </c>
      <c r="CE49" s="56">
        <f>($AL49-$AL50)*100</f>
        <v/>
      </c>
      <c r="CF49" s="56">
        <f>($AM49-$AM50)*100</f>
        <v/>
      </c>
      <c r="CG49" s="56">
        <f>($AN49-$AN50)*100</f>
        <v/>
      </c>
      <c r="CH49" s="56">
        <f>($AO49-$AO50)*100</f>
        <v/>
      </c>
      <c r="CI49" s="56">
        <f>($AP49-$AP50)*100</f>
        <v/>
      </c>
      <c r="CJ49" s="56">
        <f>($AQ49-$AQ50)*100</f>
        <v/>
      </c>
      <c r="CK49" s="56">
        <f>($AR49-$AR50)*100</f>
        <v/>
      </c>
      <c r="CL49" s="56">
        <f>($AS49-$AS50)*100</f>
        <v/>
      </c>
      <c r="CM49" s="56">
        <f>($AT49-$AT50)*100</f>
        <v/>
      </c>
      <c r="CN49" s="56">
        <f>($AU49-$AU50)*100</f>
        <v/>
      </c>
      <c r="CO49" s="56">
        <f>($AV49-$AV50)*100</f>
        <v/>
      </c>
      <c r="CP49" s="56">
        <f>($AW49-$AW50)*100</f>
        <v/>
      </c>
      <c r="CQ49" s="56">
        <f>($AX49-$AX50)*100</f>
        <v/>
      </c>
      <c r="CR49" s="56">
        <f>($AY49-$AY50)*100</f>
        <v/>
      </c>
      <c r="CS49" s="57">
        <f>IFERROR($L50/$L49-1,"")</f>
        <v/>
      </c>
      <c r="CT49" s="57">
        <f>IFERROR($M50/$M49-1,"")</f>
        <v/>
      </c>
      <c r="CU49" s="57">
        <f>IFERROR($N50/$N49-1,"")</f>
        <v/>
      </c>
      <c r="CV49" s="57">
        <f>IFERROR($O50/$O49-1,"")</f>
        <v/>
      </c>
      <c r="CW49" s="57">
        <f>IFERROR($P50/$P49-1,"")</f>
        <v/>
      </c>
      <c r="CX49" s="57">
        <f>IFERROR($Q50/$Q49-1,"")</f>
        <v/>
      </c>
      <c r="CY49" s="57">
        <f>IFERROR($R50/$R49-1,"")</f>
        <v/>
      </c>
      <c r="CZ49" s="57">
        <f>IFERROR($S50/$S49-1,"")</f>
        <v/>
      </c>
      <c r="DA49" s="57">
        <f>IFERROR($T50/$T49-1,"")</f>
        <v/>
      </c>
      <c r="DB49" s="57">
        <f>IFERROR($U50/$U49-1,"")</f>
        <v/>
      </c>
      <c r="DC49" s="57">
        <f>IFERROR($V50/$V49-1,"")</f>
        <v/>
      </c>
      <c r="DD49" s="57">
        <f>IFERROR($W50/$W49-1,"")</f>
        <v/>
      </c>
      <c r="DE49" s="57">
        <f>IFERROR($X50/$X49-1,"")</f>
        <v/>
      </c>
      <c r="DF49" s="57">
        <f>IFERROR($Y50/$Y49-1,"")</f>
        <v/>
      </c>
      <c r="DG49" s="57">
        <f>IFERROR($Z50/$Z49-1,"")</f>
        <v/>
      </c>
      <c r="DH49" s="57">
        <f>IFERROR($AA50/$AA49-1,"")</f>
        <v/>
      </c>
      <c r="DI49" s="57">
        <f>IFERROR($AB50/$AB49-1,"")</f>
        <v/>
      </c>
      <c r="DJ49" s="57">
        <f>IFERROR($AC50/$AC49-1,"")</f>
        <v/>
      </c>
      <c r="DK49" s="57">
        <f>IFERROR($AD50/$AD49-1,"")</f>
        <v/>
      </c>
      <c r="DL49" s="57">
        <f>IFERROR($AE50/$AE49-1,"")</f>
        <v/>
      </c>
      <c r="DM49" s="56">
        <f>$AZ49-$AZ50</f>
        <v/>
      </c>
      <c r="DN49" s="56">
        <f>$BA49-$BA50</f>
        <v/>
      </c>
      <c r="DO49" s="56">
        <f>$BB49-$BB50</f>
        <v/>
      </c>
      <c r="DP49" s="56">
        <f>$BC49-$BC50</f>
        <v/>
      </c>
      <c r="DQ49" s="56">
        <f>$BD49-$BD50</f>
        <v/>
      </c>
      <c r="DR49" s="56">
        <f>$BE49-$BE50</f>
        <v/>
      </c>
      <c r="DS49" s="56">
        <f>$BF49-$BF50</f>
        <v/>
      </c>
      <c r="DT49" s="56">
        <f>$BG49-$BG50</f>
        <v/>
      </c>
      <c r="DU49" s="56">
        <f>$BH49-$BH50</f>
        <v/>
      </c>
      <c r="DV49" s="56">
        <f>$BI49-$BI50</f>
        <v/>
      </c>
      <c r="DW49" s="56">
        <f>$BJ49-$BJ50</f>
        <v/>
      </c>
      <c r="DX49" s="56">
        <f>$BK49-$BK50</f>
        <v/>
      </c>
      <c r="DY49" s="56">
        <f>$BL49-$BL50</f>
        <v/>
      </c>
      <c r="DZ49" s="56">
        <f>$BM49-$BM50</f>
        <v/>
      </c>
      <c r="EA49" s="56">
        <f>$BN49-$BN50</f>
        <v/>
      </c>
      <c r="EB49" s="56">
        <f>$BO49-$BO50</f>
        <v/>
      </c>
      <c r="EC49" s="56">
        <f>$BP49-$BP50</f>
        <v/>
      </c>
      <c r="ED49" s="56">
        <f>$BQ49-$BQ50</f>
        <v/>
      </c>
      <c r="EE49" s="56">
        <f>$BR49-$BR50</f>
        <v/>
      </c>
      <c r="EF49" s="56">
        <f>$BS49-$BS50</f>
        <v/>
      </c>
      <c r="EG49" s="56">
        <f>$BT49-$BT50</f>
        <v/>
      </c>
      <c r="EH49" s="56">
        <f>$BU49-$BU50</f>
        <v/>
      </c>
    </row>
    <row r="50">
      <c r="BV50" s="56">
        <f>($D50-$D51)*100</f>
        <v/>
      </c>
      <c r="BW50" s="56">
        <f>($C50-$C51)*100</f>
        <v/>
      </c>
      <c r="BX50" s="57">
        <f>IFERROR($I50/$I51-1,"")</f>
        <v/>
      </c>
      <c r="BY50" s="56">
        <f>($AF50-$AF51)*100</f>
        <v/>
      </c>
      <c r="BZ50" s="56">
        <f>($AG50-$AG51)*100</f>
        <v/>
      </c>
      <c r="CA50" s="56">
        <f>($AH50-$AH51)*100</f>
        <v/>
      </c>
      <c r="CB50" s="56">
        <f>($AI50-$AI51)*100</f>
        <v/>
      </c>
      <c r="CC50" s="56">
        <f>($AJ50-$AJ51)*100</f>
        <v/>
      </c>
      <c r="CD50" s="56">
        <f>($AK50-$AK51)*100</f>
        <v/>
      </c>
      <c r="CE50" s="56">
        <f>($AL50-$AL51)*100</f>
        <v/>
      </c>
      <c r="CF50" s="56">
        <f>($AM50-$AM51)*100</f>
        <v/>
      </c>
      <c r="CG50" s="56">
        <f>($AN50-$AN51)*100</f>
        <v/>
      </c>
      <c r="CH50" s="56">
        <f>($AO50-$AO51)*100</f>
        <v/>
      </c>
      <c r="CI50" s="56">
        <f>($AP50-$AP51)*100</f>
        <v/>
      </c>
      <c r="CJ50" s="56">
        <f>($AQ50-$AQ51)*100</f>
        <v/>
      </c>
      <c r="CK50" s="56">
        <f>($AR50-$AR51)*100</f>
        <v/>
      </c>
      <c r="CL50" s="56">
        <f>($AS50-$AS51)*100</f>
        <v/>
      </c>
      <c r="CM50" s="56">
        <f>($AT50-$AT51)*100</f>
        <v/>
      </c>
      <c r="CN50" s="56">
        <f>($AU50-$AU51)*100</f>
        <v/>
      </c>
      <c r="CO50" s="56">
        <f>($AV50-$AV51)*100</f>
        <v/>
      </c>
      <c r="CP50" s="56">
        <f>($AW50-$AW51)*100</f>
        <v/>
      </c>
      <c r="CQ50" s="56">
        <f>($AX50-$AX51)*100</f>
        <v/>
      </c>
      <c r="CR50" s="56">
        <f>($AY50-$AY51)*100</f>
        <v/>
      </c>
      <c r="CS50" s="57">
        <f>IFERROR($L51/$L50-1,"")</f>
        <v/>
      </c>
      <c r="CT50" s="57">
        <f>IFERROR($M51/$M50-1,"")</f>
        <v/>
      </c>
      <c r="CU50" s="57">
        <f>IFERROR($N51/$N50-1,"")</f>
        <v/>
      </c>
      <c r="CV50" s="57">
        <f>IFERROR($O51/$O50-1,"")</f>
        <v/>
      </c>
      <c r="CW50" s="57">
        <f>IFERROR($P51/$P50-1,"")</f>
        <v/>
      </c>
      <c r="CX50" s="57">
        <f>IFERROR($Q51/$Q50-1,"")</f>
        <v/>
      </c>
      <c r="CY50" s="57">
        <f>IFERROR($R51/$R50-1,"")</f>
        <v/>
      </c>
      <c r="CZ50" s="57">
        <f>IFERROR($S51/$S50-1,"")</f>
        <v/>
      </c>
      <c r="DA50" s="57">
        <f>IFERROR($T51/$T50-1,"")</f>
        <v/>
      </c>
      <c r="DB50" s="57">
        <f>IFERROR($U51/$U50-1,"")</f>
        <v/>
      </c>
      <c r="DC50" s="57">
        <f>IFERROR($V51/$V50-1,"")</f>
        <v/>
      </c>
      <c r="DD50" s="57">
        <f>IFERROR($W51/$W50-1,"")</f>
        <v/>
      </c>
      <c r="DE50" s="57">
        <f>IFERROR($X51/$X50-1,"")</f>
        <v/>
      </c>
      <c r="DF50" s="57">
        <f>IFERROR($Y51/$Y50-1,"")</f>
        <v/>
      </c>
      <c r="DG50" s="57">
        <f>IFERROR($Z51/$Z50-1,"")</f>
        <v/>
      </c>
      <c r="DH50" s="57">
        <f>IFERROR($AA51/$AA50-1,"")</f>
        <v/>
      </c>
      <c r="DI50" s="57">
        <f>IFERROR($AB51/$AB50-1,"")</f>
        <v/>
      </c>
      <c r="DJ50" s="57">
        <f>IFERROR($AC51/$AC50-1,"")</f>
        <v/>
      </c>
      <c r="DK50" s="57">
        <f>IFERROR($AD51/$AD50-1,"")</f>
        <v/>
      </c>
      <c r="DL50" s="57">
        <f>IFERROR($AE51/$AE50-1,"")</f>
        <v/>
      </c>
      <c r="DM50" s="56">
        <f>$AZ50-$AZ51</f>
        <v/>
      </c>
      <c r="DN50" s="56">
        <f>$BA50-$BA51</f>
        <v/>
      </c>
      <c r="DO50" s="56">
        <f>$BB50-$BB51</f>
        <v/>
      </c>
      <c r="DP50" s="56">
        <f>$BC50-$BC51</f>
        <v/>
      </c>
      <c r="DQ50" s="56">
        <f>$BD50-$BD51</f>
        <v/>
      </c>
      <c r="DR50" s="56">
        <f>$BE50-$BE51</f>
        <v/>
      </c>
      <c r="DS50" s="56">
        <f>$BF50-$BF51</f>
        <v/>
      </c>
      <c r="DT50" s="56">
        <f>$BG50-$BG51</f>
        <v/>
      </c>
      <c r="DU50" s="56">
        <f>$BH50-$BH51</f>
        <v/>
      </c>
      <c r="DV50" s="56">
        <f>$BI50-$BI51</f>
        <v/>
      </c>
      <c r="DW50" s="56">
        <f>$BJ50-$BJ51</f>
        <v/>
      </c>
      <c r="DX50" s="56">
        <f>$BK50-$BK51</f>
        <v/>
      </c>
      <c r="DY50" s="56">
        <f>$BL50-$BL51</f>
        <v/>
      </c>
      <c r="DZ50" s="56">
        <f>$BM50-$BM51</f>
        <v/>
      </c>
      <c r="EA50" s="56">
        <f>$BN50-$BN51</f>
        <v/>
      </c>
      <c r="EB50" s="56">
        <f>$BO50-$BO51</f>
        <v/>
      </c>
      <c r="EC50" s="56">
        <f>$BP50-$BP51</f>
        <v/>
      </c>
      <c r="ED50" s="56">
        <f>$BQ50-$BQ51</f>
        <v/>
      </c>
      <c r="EE50" s="56">
        <f>$BR50-$BR51</f>
        <v/>
      </c>
      <c r="EF50" s="56">
        <f>$BS50-$BS51</f>
        <v/>
      </c>
      <c r="EG50" s="56">
        <f>$BT50-$BT51</f>
        <v/>
      </c>
      <c r="EH50" s="56">
        <f>$BU50-$BU51</f>
        <v/>
      </c>
    </row>
    <row r="51">
      <c r="BV51" s="56">
        <f>($D51-$D52)*100</f>
        <v/>
      </c>
      <c r="BW51" s="56">
        <f>($C51-$C52)*100</f>
        <v/>
      </c>
      <c r="BX51" s="57">
        <f>IFERROR($I51/$I52-1,"")</f>
        <v/>
      </c>
      <c r="BY51" s="56">
        <f>($AF51-$AF52)*100</f>
        <v/>
      </c>
      <c r="BZ51" s="56">
        <f>($AG51-$AG52)*100</f>
        <v/>
      </c>
      <c r="CA51" s="56">
        <f>($AH51-$AH52)*100</f>
        <v/>
      </c>
      <c r="CB51" s="56">
        <f>($AI51-$AI52)*100</f>
        <v/>
      </c>
      <c r="CC51" s="56">
        <f>($AJ51-$AJ52)*100</f>
        <v/>
      </c>
      <c r="CD51" s="56">
        <f>($AK51-$AK52)*100</f>
        <v/>
      </c>
      <c r="CE51" s="56">
        <f>($AL51-$AL52)*100</f>
        <v/>
      </c>
      <c r="CF51" s="56">
        <f>($AM51-$AM52)*100</f>
        <v/>
      </c>
      <c r="CG51" s="56">
        <f>($AN51-$AN52)*100</f>
        <v/>
      </c>
      <c r="CH51" s="56">
        <f>($AO51-$AO52)*100</f>
        <v/>
      </c>
      <c r="CI51" s="56">
        <f>($AP51-$AP52)*100</f>
        <v/>
      </c>
      <c r="CJ51" s="56">
        <f>($AQ51-$AQ52)*100</f>
        <v/>
      </c>
      <c r="CK51" s="56">
        <f>($AR51-$AR52)*100</f>
        <v/>
      </c>
      <c r="CL51" s="56">
        <f>($AS51-$AS52)*100</f>
        <v/>
      </c>
      <c r="CM51" s="56">
        <f>($AT51-$AT52)*100</f>
        <v/>
      </c>
      <c r="CN51" s="56">
        <f>($AU51-$AU52)*100</f>
        <v/>
      </c>
      <c r="CO51" s="56">
        <f>($AV51-$AV52)*100</f>
        <v/>
      </c>
      <c r="CP51" s="56">
        <f>($AW51-$AW52)*100</f>
        <v/>
      </c>
      <c r="CQ51" s="56">
        <f>($AX51-$AX52)*100</f>
        <v/>
      </c>
      <c r="CR51" s="56">
        <f>($AY51-$AY52)*100</f>
        <v/>
      </c>
      <c r="CS51" s="57">
        <f>IFERROR($L52/$L51-1,"")</f>
        <v/>
      </c>
      <c r="CT51" s="57">
        <f>IFERROR($M52/$M51-1,"")</f>
        <v/>
      </c>
      <c r="CU51" s="57">
        <f>IFERROR($N52/$N51-1,"")</f>
        <v/>
      </c>
      <c r="CV51" s="57">
        <f>IFERROR($O52/$O51-1,"")</f>
        <v/>
      </c>
      <c r="CW51" s="57">
        <f>IFERROR($P52/$P51-1,"")</f>
        <v/>
      </c>
      <c r="CX51" s="57">
        <f>IFERROR($Q52/$Q51-1,"")</f>
        <v/>
      </c>
      <c r="CY51" s="57">
        <f>IFERROR($R52/$R51-1,"")</f>
        <v/>
      </c>
      <c r="CZ51" s="57">
        <f>IFERROR($S52/$S51-1,"")</f>
        <v/>
      </c>
      <c r="DA51" s="57">
        <f>IFERROR($T52/$T51-1,"")</f>
        <v/>
      </c>
      <c r="DB51" s="57">
        <f>IFERROR($U52/$U51-1,"")</f>
        <v/>
      </c>
      <c r="DC51" s="57">
        <f>IFERROR($V52/$V51-1,"")</f>
        <v/>
      </c>
      <c r="DD51" s="57">
        <f>IFERROR($W52/$W51-1,"")</f>
        <v/>
      </c>
      <c r="DE51" s="57">
        <f>IFERROR($X52/$X51-1,"")</f>
        <v/>
      </c>
      <c r="DF51" s="57">
        <f>IFERROR($Y52/$Y51-1,"")</f>
        <v/>
      </c>
      <c r="DG51" s="57">
        <f>IFERROR($Z52/$Z51-1,"")</f>
        <v/>
      </c>
      <c r="DH51" s="57">
        <f>IFERROR($AA52/$AA51-1,"")</f>
        <v/>
      </c>
      <c r="DI51" s="57">
        <f>IFERROR($AB52/$AB51-1,"")</f>
        <v/>
      </c>
      <c r="DJ51" s="57">
        <f>IFERROR($AC52/$AC51-1,"")</f>
        <v/>
      </c>
      <c r="DK51" s="57">
        <f>IFERROR($AD52/$AD51-1,"")</f>
        <v/>
      </c>
      <c r="DL51" s="57">
        <f>IFERROR($AE52/$AE51-1,"")</f>
        <v/>
      </c>
      <c r="DM51" s="56">
        <f>$AZ51-$AZ52</f>
        <v/>
      </c>
      <c r="DN51" s="56">
        <f>$BA51-$BA52</f>
        <v/>
      </c>
      <c r="DO51" s="56">
        <f>$BB51-$BB52</f>
        <v/>
      </c>
      <c r="DP51" s="56">
        <f>$BC51-$BC52</f>
        <v/>
      </c>
      <c r="DQ51" s="56">
        <f>$BD51-$BD52</f>
        <v/>
      </c>
      <c r="DR51" s="56">
        <f>$BE51-$BE52</f>
        <v/>
      </c>
      <c r="DS51" s="56">
        <f>$BF51-$BF52</f>
        <v/>
      </c>
      <c r="DT51" s="56">
        <f>$BG51-$BG52</f>
        <v/>
      </c>
      <c r="DU51" s="56">
        <f>$BH51-$BH52</f>
        <v/>
      </c>
      <c r="DV51" s="56">
        <f>$BI51-$BI52</f>
        <v/>
      </c>
      <c r="DW51" s="56">
        <f>$BJ51-$BJ52</f>
        <v/>
      </c>
      <c r="DX51" s="56">
        <f>$BK51-$BK52</f>
        <v/>
      </c>
      <c r="DY51" s="56">
        <f>$BL51-$BL52</f>
        <v/>
      </c>
      <c r="DZ51" s="56">
        <f>$BM51-$BM52</f>
        <v/>
      </c>
      <c r="EA51" s="56">
        <f>$BN51-$BN52</f>
        <v/>
      </c>
      <c r="EB51" s="56">
        <f>$BO51-$BO52</f>
        <v/>
      </c>
      <c r="EC51" s="56">
        <f>$BP51-$BP52</f>
        <v/>
      </c>
      <c r="ED51" s="56">
        <f>$BQ51-$BQ52</f>
        <v/>
      </c>
      <c r="EE51" s="56">
        <f>$BR51-$BR52</f>
        <v/>
      </c>
      <c r="EF51" s="56">
        <f>$BS51-$BS52</f>
        <v/>
      </c>
      <c r="EG51" s="56">
        <f>$BT51-$BT52</f>
        <v/>
      </c>
      <c r="EH51" s="56">
        <f>$BU51-$BU52</f>
        <v/>
      </c>
    </row>
    <row r="52">
      <c r="BV52" s="56">
        <f>($D52-$D53)*100</f>
        <v/>
      </c>
      <c r="BW52" s="56">
        <f>($C52-$C53)*100</f>
        <v/>
      </c>
      <c r="BX52" s="57">
        <f>IFERROR($I52/$I53-1,"")</f>
        <v/>
      </c>
      <c r="BY52" s="56">
        <f>($AF52-$AF53)*100</f>
        <v/>
      </c>
      <c r="BZ52" s="56">
        <f>($AG52-$AG53)*100</f>
        <v/>
      </c>
      <c r="CA52" s="56">
        <f>($AH52-$AH53)*100</f>
        <v/>
      </c>
      <c r="CB52" s="56">
        <f>($AI52-$AI53)*100</f>
        <v/>
      </c>
      <c r="CC52" s="56">
        <f>($AJ52-$AJ53)*100</f>
        <v/>
      </c>
      <c r="CD52" s="56">
        <f>($AK52-$AK53)*100</f>
        <v/>
      </c>
      <c r="CE52" s="56">
        <f>($AL52-$AL53)*100</f>
        <v/>
      </c>
      <c r="CF52" s="56">
        <f>($AM52-$AM53)*100</f>
        <v/>
      </c>
      <c r="CG52" s="56">
        <f>($AN52-$AN53)*100</f>
        <v/>
      </c>
      <c r="CH52" s="56">
        <f>($AO52-$AO53)*100</f>
        <v/>
      </c>
      <c r="CI52" s="56">
        <f>($AP52-$AP53)*100</f>
        <v/>
      </c>
      <c r="CJ52" s="56">
        <f>($AQ52-$AQ53)*100</f>
        <v/>
      </c>
      <c r="CK52" s="56">
        <f>($AR52-$AR53)*100</f>
        <v/>
      </c>
      <c r="CL52" s="56">
        <f>($AS52-$AS53)*100</f>
        <v/>
      </c>
      <c r="CM52" s="56">
        <f>($AT52-$AT53)*100</f>
        <v/>
      </c>
      <c r="CN52" s="56">
        <f>($AU52-$AU53)*100</f>
        <v/>
      </c>
      <c r="CO52" s="56">
        <f>($AV52-$AV53)*100</f>
        <v/>
      </c>
      <c r="CP52" s="56">
        <f>($AW52-$AW53)*100</f>
        <v/>
      </c>
      <c r="CQ52" s="56">
        <f>($AX52-$AX53)*100</f>
        <v/>
      </c>
      <c r="CR52" s="56">
        <f>($AY52-$AY53)*100</f>
        <v/>
      </c>
      <c r="CS52" s="57">
        <f>IFERROR($L53/$L52-1,"")</f>
        <v/>
      </c>
      <c r="CT52" s="57">
        <f>IFERROR($M53/$M52-1,"")</f>
        <v/>
      </c>
      <c r="CU52" s="57">
        <f>IFERROR($N53/$N52-1,"")</f>
        <v/>
      </c>
      <c r="CV52" s="57">
        <f>IFERROR($O53/$O52-1,"")</f>
        <v/>
      </c>
      <c r="CW52" s="57">
        <f>IFERROR($P53/$P52-1,"")</f>
        <v/>
      </c>
      <c r="CX52" s="57">
        <f>IFERROR($Q53/$Q52-1,"")</f>
        <v/>
      </c>
      <c r="CY52" s="57">
        <f>IFERROR($R53/$R52-1,"")</f>
        <v/>
      </c>
      <c r="CZ52" s="57">
        <f>IFERROR($S53/$S52-1,"")</f>
        <v/>
      </c>
      <c r="DA52" s="57">
        <f>IFERROR($T53/$T52-1,"")</f>
        <v/>
      </c>
      <c r="DB52" s="57">
        <f>IFERROR($U53/$U52-1,"")</f>
        <v/>
      </c>
      <c r="DC52" s="57">
        <f>IFERROR($V53/$V52-1,"")</f>
        <v/>
      </c>
      <c r="DD52" s="57">
        <f>IFERROR($W53/$W52-1,"")</f>
        <v/>
      </c>
      <c r="DE52" s="57">
        <f>IFERROR($X53/$X52-1,"")</f>
        <v/>
      </c>
      <c r="DF52" s="57">
        <f>IFERROR($Y53/$Y52-1,"")</f>
        <v/>
      </c>
      <c r="DG52" s="57">
        <f>IFERROR($Z53/$Z52-1,"")</f>
        <v/>
      </c>
      <c r="DH52" s="57">
        <f>IFERROR($AA53/$AA52-1,"")</f>
        <v/>
      </c>
      <c r="DI52" s="57">
        <f>IFERROR($AB53/$AB52-1,"")</f>
        <v/>
      </c>
      <c r="DJ52" s="57">
        <f>IFERROR($AC53/$AC52-1,"")</f>
        <v/>
      </c>
      <c r="DK52" s="57">
        <f>IFERROR($AD53/$AD52-1,"")</f>
        <v/>
      </c>
      <c r="DL52" s="57">
        <f>IFERROR($AE53/$AE52-1,"")</f>
        <v/>
      </c>
      <c r="DM52" s="56">
        <f>$AZ52-$AZ53</f>
        <v/>
      </c>
      <c r="DN52" s="56">
        <f>$BA52-$BA53</f>
        <v/>
      </c>
      <c r="DO52" s="56">
        <f>$BB52-$BB53</f>
        <v/>
      </c>
      <c r="DP52" s="56">
        <f>$BC52-$BC53</f>
        <v/>
      </c>
      <c r="DQ52" s="56">
        <f>$BD52-$BD53</f>
        <v/>
      </c>
      <c r="DR52" s="56">
        <f>$BE52-$BE53</f>
        <v/>
      </c>
      <c r="DS52" s="56">
        <f>$BF52-$BF53</f>
        <v/>
      </c>
      <c r="DT52" s="56">
        <f>$BG52-$BG53</f>
        <v/>
      </c>
      <c r="DU52" s="56">
        <f>$BH52-$BH53</f>
        <v/>
      </c>
      <c r="DV52" s="56">
        <f>$BI52-$BI53</f>
        <v/>
      </c>
      <c r="DW52" s="56">
        <f>$BJ52-$BJ53</f>
        <v/>
      </c>
      <c r="DX52" s="56">
        <f>$BK52-$BK53</f>
        <v/>
      </c>
      <c r="DY52" s="56">
        <f>$BL52-$BL53</f>
        <v/>
      </c>
      <c r="DZ52" s="56">
        <f>$BM52-$BM53</f>
        <v/>
      </c>
      <c r="EA52" s="56">
        <f>$BN52-$BN53</f>
        <v/>
      </c>
      <c r="EB52" s="56">
        <f>$BO52-$BO53</f>
        <v/>
      </c>
      <c r="EC52" s="56">
        <f>$BP52-$BP53</f>
        <v/>
      </c>
      <c r="ED52" s="56">
        <f>$BQ52-$BQ53</f>
        <v/>
      </c>
      <c r="EE52" s="56">
        <f>$BR52-$BR53</f>
        <v/>
      </c>
      <c r="EF52" s="56">
        <f>$BS52-$BS53</f>
        <v/>
      </c>
      <c r="EG52" s="56">
        <f>$BT52-$BT53</f>
        <v/>
      </c>
      <c r="EH52" s="56">
        <f>$BU52-$BU53</f>
        <v/>
      </c>
    </row>
    <row r="53">
      <c r="BV53" s="56">
        <f>($D53-$D54)*100</f>
        <v/>
      </c>
      <c r="BW53" s="56">
        <f>($C53-$C54)*100</f>
        <v/>
      </c>
      <c r="BX53" s="57">
        <f>IFERROR($I53/$I54-1,"")</f>
        <v/>
      </c>
      <c r="BY53" s="56">
        <f>($AF53-$AF54)*100</f>
        <v/>
      </c>
      <c r="BZ53" s="56">
        <f>($AG53-$AG54)*100</f>
        <v/>
      </c>
      <c r="CA53" s="56">
        <f>($AH53-$AH54)*100</f>
        <v/>
      </c>
      <c r="CB53" s="56">
        <f>($AI53-$AI54)*100</f>
        <v/>
      </c>
      <c r="CC53" s="56">
        <f>($AJ53-$AJ54)*100</f>
        <v/>
      </c>
      <c r="CD53" s="56">
        <f>($AK53-$AK54)*100</f>
        <v/>
      </c>
      <c r="CE53" s="56">
        <f>($AL53-$AL54)*100</f>
        <v/>
      </c>
      <c r="CF53" s="56">
        <f>($AM53-$AM54)*100</f>
        <v/>
      </c>
      <c r="CG53" s="56">
        <f>($AN53-$AN54)*100</f>
        <v/>
      </c>
      <c r="CH53" s="56">
        <f>($AO53-$AO54)*100</f>
        <v/>
      </c>
      <c r="CI53" s="56">
        <f>($AP53-$AP54)*100</f>
        <v/>
      </c>
      <c r="CJ53" s="56">
        <f>($AQ53-$AQ54)*100</f>
        <v/>
      </c>
      <c r="CK53" s="56">
        <f>($AR53-$AR54)*100</f>
        <v/>
      </c>
      <c r="CL53" s="56">
        <f>($AS53-$AS54)*100</f>
        <v/>
      </c>
      <c r="CM53" s="56">
        <f>($AT53-$AT54)*100</f>
        <v/>
      </c>
      <c r="CN53" s="56">
        <f>($AU53-$AU54)*100</f>
        <v/>
      </c>
      <c r="CO53" s="56">
        <f>($AV53-$AV54)*100</f>
        <v/>
      </c>
      <c r="CP53" s="56">
        <f>($AW53-$AW54)*100</f>
        <v/>
      </c>
      <c r="CQ53" s="56">
        <f>($AX53-$AX54)*100</f>
        <v/>
      </c>
      <c r="CR53" s="56">
        <f>($AY53-$AY54)*100</f>
        <v/>
      </c>
      <c r="CS53" s="57">
        <f>IFERROR($L54/$L53-1,"")</f>
        <v/>
      </c>
      <c r="CT53" s="57">
        <f>IFERROR($M54/$M53-1,"")</f>
        <v/>
      </c>
      <c r="CU53" s="57">
        <f>IFERROR($N54/$N53-1,"")</f>
        <v/>
      </c>
      <c r="CV53" s="57">
        <f>IFERROR($O54/$O53-1,"")</f>
        <v/>
      </c>
      <c r="CW53" s="57">
        <f>IFERROR($P54/$P53-1,"")</f>
        <v/>
      </c>
      <c r="CX53" s="57">
        <f>IFERROR($Q54/$Q53-1,"")</f>
        <v/>
      </c>
      <c r="CY53" s="57">
        <f>IFERROR($R54/$R53-1,"")</f>
        <v/>
      </c>
      <c r="CZ53" s="57">
        <f>IFERROR($S54/$S53-1,"")</f>
        <v/>
      </c>
      <c r="DA53" s="57">
        <f>IFERROR($T54/$T53-1,"")</f>
        <v/>
      </c>
      <c r="DB53" s="57">
        <f>IFERROR($U54/$U53-1,"")</f>
        <v/>
      </c>
      <c r="DC53" s="57">
        <f>IFERROR($V54/$V53-1,"")</f>
        <v/>
      </c>
      <c r="DD53" s="57">
        <f>IFERROR($W54/$W53-1,"")</f>
        <v/>
      </c>
      <c r="DE53" s="57">
        <f>IFERROR($X54/$X53-1,"")</f>
        <v/>
      </c>
      <c r="DF53" s="57">
        <f>IFERROR($Y54/$Y53-1,"")</f>
        <v/>
      </c>
      <c r="DG53" s="57">
        <f>IFERROR($Z54/$Z53-1,"")</f>
        <v/>
      </c>
      <c r="DH53" s="57">
        <f>IFERROR($AA54/$AA53-1,"")</f>
        <v/>
      </c>
      <c r="DI53" s="57">
        <f>IFERROR($AB54/$AB53-1,"")</f>
        <v/>
      </c>
      <c r="DJ53" s="57">
        <f>IFERROR($AC54/$AC53-1,"")</f>
        <v/>
      </c>
      <c r="DK53" s="57">
        <f>IFERROR($AD54/$AD53-1,"")</f>
        <v/>
      </c>
      <c r="DL53" s="57">
        <f>IFERROR($AE54/$AE53-1,"")</f>
        <v/>
      </c>
      <c r="DM53" s="56">
        <f>$AZ53-$AZ54</f>
        <v/>
      </c>
      <c r="DN53" s="56">
        <f>$BA53-$BA54</f>
        <v/>
      </c>
      <c r="DO53" s="56">
        <f>$BB53-$BB54</f>
        <v/>
      </c>
      <c r="DP53" s="56">
        <f>$BC53-$BC54</f>
        <v/>
      </c>
      <c r="DQ53" s="56">
        <f>$BD53-$BD54</f>
        <v/>
      </c>
      <c r="DR53" s="56">
        <f>$BE53-$BE54</f>
        <v/>
      </c>
      <c r="DS53" s="56">
        <f>$BF53-$BF54</f>
        <v/>
      </c>
      <c r="DT53" s="56">
        <f>$BG53-$BG54</f>
        <v/>
      </c>
      <c r="DU53" s="56">
        <f>$BH53-$BH54</f>
        <v/>
      </c>
      <c r="DV53" s="56">
        <f>$BI53-$BI54</f>
        <v/>
      </c>
      <c r="DW53" s="56">
        <f>$BJ53-$BJ54</f>
        <v/>
      </c>
      <c r="DX53" s="56">
        <f>$BK53-$BK54</f>
        <v/>
      </c>
      <c r="DY53" s="56">
        <f>$BL53-$BL54</f>
        <v/>
      </c>
      <c r="DZ53" s="56">
        <f>$BM53-$BM54</f>
        <v/>
      </c>
      <c r="EA53" s="56">
        <f>$BN53-$BN54</f>
        <v/>
      </c>
      <c r="EB53" s="56">
        <f>$BO53-$BO54</f>
        <v/>
      </c>
      <c r="EC53" s="56">
        <f>$BP53-$BP54</f>
        <v/>
      </c>
      <c r="ED53" s="56">
        <f>$BQ53-$BQ54</f>
        <v/>
      </c>
      <c r="EE53" s="56">
        <f>$BR53-$BR54</f>
        <v/>
      </c>
      <c r="EF53" s="56">
        <f>$BS53-$BS54</f>
        <v/>
      </c>
      <c r="EG53" s="56">
        <f>$BT53-$BT54</f>
        <v/>
      </c>
      <c r="EH53" s="56">
        <f>$BU53-$BU54</f>
        <v/>
      </c>
    </row>
    <row r="54">
      <c r="BV54" s="56">
        <f>($D54-$D55)*100</f>
        <v/>
      </c>
      <c r="BW54" s="56">
        <f>($C54-$C55)*100</f>
        <v/>
      </c>
      <c r="BX54" s="57">
        <f>IFERROR($I54/$I55-1,"")</f>
        <v/>
      </c>
      <c r="BY54" s="56">
        <f>($AF54-$AF55)*100</f>
        <v/>
      </c>
      <c r="BZ54" s="56">
        <f>($AG54-$AG55)*100</f>
        <v/>
      </c>
      <c r="CA54" s="56">
        <f>($AH54-$AH55)*100</f>
        <v/>
      </c>
      <c r="CB54" s="56">
        <f>($AI54-$AI55)*100</f>
        <v/>
      </c>
      <c r="CC54" s="56">
        <f>($AJ54-$AJ55)*100</f>
        <v/>
      </c>
      <c r="CD54" s="56">
        <f>($AK54-$AK55)*100</f>
        <v/>
      </c>
      <c r="CE54" s="56">
        <f>($AL54-$AL55)*100</f>
        <v/>
      </c>
      <c r="CF54" s="56">
        <f>($AM54-$AM55)*100</f>
        <v/>
      </c>
      <c r="CG54" s="56">
        <f>($AN54-$AN55)*100</f>
        <v/>
      </c>
      <c r="CH54" s="56">
        <f>($AO54-$AO55)*100</f>
        <v/>
      </c>
      <c r="CI54" s="56">
        <f>($AP54-$AP55)*100</f>
        <v/>
      </c>
      <c r="CJ54" s="56">
        <f>($AQ54-$AQ55)*100</f>
        <v/>
      </c>
      <c r="CK54" s="56">
        <f>($AR54-$AR55)*100</f>
        <v/>
      </c>
      <c r="CL54" s="56">
        <f>($AS54-$AS55)*100</f>
        <v/>
      </c>
      <c r="CM54" s="56">
        <f>($AT54-$AT55)*100</f>
        <v/>
      </c>
      <c r="CN54" s="56">
        <f>($AU54-$AU55)*100</f>
        <v/>
      </c>
      <c r="CO54" s="56">
        <f>($AV54-$AV55)*100</f>
        <v/>
      </c>
      <c r="CP54" s="56">
        <f>($AW54-$AW55)*100</f>
        <v/>
      </c>
      <c r="CQ54" s="56">
        <f>($AX54-$AX55)*100</f>
        <v/>
      </c>
      <c r="CR54" s="56">
        <f>($AY54-$AY55)*100</f>
        <v/>
      </c>
      <c r="CS54" s="57">
        <f>IFERROR($L55/$L54-1,"")</f>
        <v/>
      </c>
      <c r="CT54" s="57">
        <f>IFERROR($M55/$M54-1,"")</f>
        <v/>
      </c>
      <c r="CU54" s="57">
        <f>IFERROR($N55/$N54-1,"")</f>
        <v/>
      </c>
      <c r="CV54" s="57">
        <f>IFERROR($O55/$O54-1,"")</f>
        <v/>
      </c>
      <c r="CW54" s="57">
        <f>IFERROR($P55/$P54-1,"")</f>
        <v/>
      </c>
      <c r="CX54" s="57">
        <f>IFERROR($Q55/$Q54-1,"")</f>
        <v/>
      </c>
      <c r="CY54" s="57">
        <f>IFERROR($R55/$R54-1,"")</f>
        <v/>
      </c>
      <c r="CZ54" s="57">
        <f>IFERROR($S55/$S54-1,"")</f>
        <v/>
      </c>
      <c r="DA54" s="57">
        <f>IFERROR($T55/$T54-1,"")</f>
        <v/>
      </c>
      <c r="DB54" s="57">
        <f>IFERROR($U55/$U54-1,"")</f>
        <v/>
      </c>
      <c r="DC54" s="57">
        <f>IFERROR($V55/$V54-1,"")</f>
        <v/>
      </c>
      <c r="DD54" s="57">
        <f>IFERROR($W55/$W54-1,"")</f>
        <v/>
      </c>
      <c r="DE54" s="57">
        <f>IFERROR($X55/$X54-1,"")</f>
        <v/>
      </c>
      <c r="DF54" s="57">
        <f>IFERROR($Y55/$Y54-1,"")</f>
        <v/>
      </c>
      <c r="DG54" s="57">
        <f>IFERROR($Z55/$Z54-1,"")</f>
        <v/>
      </c>
      <c r="DH54" s="57">
        <f>IFERROR($AA55/$AA54-1,"")</f>
        <v/>
      </c>
      <c r="DI54" s="57">
        <f>IFERROR($AB55/$AB54-1,"")</f>
        <v/>
      </c>
      <c r="DJ54" s="57">
        <f>IFERROR($AC55/$AC54-1,"")</f>
        <v/>
      </c>
      <c r="DK54" s="57">
        <f>IFERROR($AD55/$AD54-1,"")</f>
        <v/>
      </c>
      <c r="DL54" s="57">
        <f>IFERROR($AE55/$AE54-1,"")</f>
        <v/>
      </c>
      <c r="DM54" s="56">
        <f>$AZ54-$AZ55</f>
        <v/>
      </c>
      <c r="DN54" s="56">
        <f>$BA54-$BA55</f>
        <v/>
      </c>
      <c r="DO54" s="56">
        <f>$BB54-$BB55</f>
        <v/>
      </c>
      <c r="DP54" s="56">
        <f>$BC54-$BC55</f>
        <v/>
      </c>
      <c r="DQ54" s="56">
        <f>$BD54-$BD55</f>
        <v/>
      </c>
      <c r="DR54" s="56">
        <f>$BE54-$BE55</f>
        <v/>
      </c>
      <c r="DS54" s="56">
        <f>$BF54-$BF55</f>
        <v/>
      </c>
      <c r="DT54" s="56">
        <f>$BG54-$BG55</f>
        <v/>
      </c>
      <c r="DU54" s="56">
        <f>$BH54-$BH55</f>
        <v/>
      </c>
      <c r="DV54" s="56">
        <f>$BI54-$BI55</f>
        <v/>
      </c>
      <c r="DW54" s="56">
        <f>$BJ54-$BJ55</f>
        <v/>
      </c>
      <c r="DX54" s="56">
        <f>$BK54-$BK55</f>
        <v/>
      </c>
      <c r="DY54" s="56">
        <f>$BL54-$BL55</f>
        <v/>
      </c>
      <c r="DZ54" s="56">
        <f>$BM54-$BM55</f>
        <v/>
      </c>
      <c r="EA54" s="56">
        <f>$BN54-$BN55</f>
        <v/>
      </c>
      <c r="EB54" s="56">
        <f>$BO54-$BO55</f>
        <v/>
      </c>
      <c r="EC54" s="56">
        <f>$BP54-$BP55</f>
        <v/>
      </c>
      <c r="ED54" s="56">
        <f>$BQ54-$BQ55</f>
        <v/>
      </c>
      <c r="EE54" s="56">
        <f>$BR54-$BR55</f>
        <v/>
      </c>
      <c r="EF54" s="56">
        <f>$BS54-$BS55</f>
        <v/>
      </c>
      <c r="EG54" s="56">
        <f>$BT54-$BT55</f>
        <v/>
      </c>
      <c r="EH54" s="56">
        <f>$BU54-$BU55</f>
        <v/>
      </c>
    </row>
    <row r="55">
      <c r="BV55" s="56">
        <f>($D55-$D56)*100</f>
        <v/>
      </c>
      <c r="BW55" s="56">
        <f>($C55-$C56)*100</f>
        <v/>
      </c>
      <c r="BX55" s="57">
        <f>IFERROR($I55/$I56-1,"")</f>
        <v/>
      </c>
      <c r="BY55" s="56">
        <f>($AF55-$AF56)*100</f>
        <v/>
      </c>
      <c r="BZ55" s="56">
        <f>($AG55-$AG56)*100</f>
        <v/>
      </c>
      <c r="CA55" s="56">
        <f>($AH55-$AH56)*100</f>
        <v/>
      </c>
      <c r="CB55" s="56">
        <f>($AI55-$AI56)*100</f>
        <v/>
      </c>
      <c r="CC55" s="56">
        <f>($AJ55-$AJ56)*100</f>
        <v/>
      </c>
      <c r="CD55" s="56">
        <f>($AK55-$AK56)*100</f>
        <v/>
      </c>
      <c r="CE55" s="56">
        <f>($AL55-$AL56)*100</f>
        <v/>
      </c>
      <c r="CF55" s="56">
        <f>($AM55-$AM56)*100</f>
        <v/>
      </c>
      <c r="CG55" s="56">
        <f>($AN55-$AN56)*100</f>
        <v/>
      </c>
      <c r="CH55" s="56">
        <f>($AO55-$AO56)*100</f>
        <v/>
      </c>
      <c r="CI55" s="56">
        <f>($AP55-$AP56)*100</f>
        <v/>
      </c>
      <c r="CJ55" s="56">
        <f>($AQ55-$AQ56)*100</f>
        <v/>
      </c>
      <c r="CK55" s="56">
        <f>($AR55-$AR56)*100</f>
        <v/>
      </c>
      <c r="CL55" s="56">
        <f>($AS55-$AS56)*100</f>
        <v/>
      </c>
      <c r="CM55" s="56">
        <f>($AT55-$AT56)*100</f>
        <v/>
      </c>
      <c r="CN55" s="56">
        <f>($AU55-$AU56)*100</f>
        <v/>
      </c>
      <c r="CO55" s="56">
        <f>($AV55-$AV56)*100</f>
        <v/>
      </c>
      <c r="CP55" s="56">
        <f>($AW55-$AW56)*100</f>
        <v/>
      </c>
      <c r="CQ55" s="56">
        <f>($AX55-$AX56)*100</f>
        <v/>
      </c>
      <c r="CR55" s="56">
        <f>($AY55-$AY56)*100</f>
        <v/>
      </c>
      <c r="CS55" s="57">
        <f>IFERROR($L56/$L55-1,"")</f>
        <v/>
      </c>
      <c r="CT55" s="57">
        <f>IFERROR($M56/$M55-1,"")</f>
        <v/>
      </c>
      <c r="CU55" s="57">
        <f>IFERROR($N56/$N55-1,"")</f>
        <v/>
      </c>
      <c r="CV55" s="57">
        <f>IFERROR($O56/$O55-1,"")</f>
        <v/>
      </c>
      <c r="CW55" s="57">
        <f>IFERROR($P56/$P55-1,"")</f>
        <v/>
      </c>
      <c r="CX55" s="57">
        <f>IFERROR($Q56/$Q55-1,"")</f>
        <v/>
      </c>
      <c r="CY55" s="57">
        <f>IFERROR($R56/$R55-1,"")</f>
        <v/>
      </c>
      <c r="CZ55" s="57">
        <f>IFERROR($S56/$S55-1,"")</f>
        <v/>
      </c>
      <c r="DA55" s="57">
        <f>IFERROR($T56/$T55-1,"")</f>
        <v/>
      </c>
      <c r="DB55" s="57">
        <f>IFERROR($U56/$U55-1,"")</f>
        <v/>
      </c>
      <c r="DC55" s="57">
        <f>IFERROR($V56/$V55-1,"")</f>
        <v/>
      </c>
      <c r="DD55" s="57">
        <f>IFERROR($W56/$W55-1,"")</f>
        <v/>
      </c>
      <c r="DE55" s="57">
        <f>IFERROR($X56/$X55-1,"")</f>
        <v/>
      </c>
      <c r="DF55" s="57">
        <f>IFERROR($Y56/$Y55-1,"")</f>
        <v/>
      </c>
      <c r="DG55" s="57">
        <f>IFERROR($Z56/$Z55-1,"")</f>
        <v/>
      </c>
      <c r="DH55" s="57">
        <f>IFERROR($AA56/$AA55-1,"")</f>
        <v/>
      </c>
      <c r="DI55" s="57">
        <f>IFERROR($AB56/$AB55-1,"")</f>
        <v/>
      </c>
      <c r="DJ55" s="57">
        <f>IFERROR($AC56/$AC55-1,"")</f>
        <v/>
      </c>
      <c r="DK55" s="57">
        <f>IFERROR($AD56/$AD55-1,"")</f>
        <v/>
      </c>
      <c r="DL55" s="57">
        <f>IFERROR($AE56/$AE55-1,"")</f>
        <v/>
      </c>
      <c r="DM55" s="56">
        <f>$AZ55-$AZ56</f>
        <v/>
      </c>
      <c r="DN55" s="56">
        <f>$BA55-$BA56</f>
        <v/>
      </c>
      <c r="DO55" s="56">
        <f>$BB55-$BB56</f>
        <v/>
      </c>
      <c r="DP55" s="56">
        <f>$BC55-$BC56</f>
        <v/>
      </c>
      <c r="DQ55" s="56">
        <f>$BD55-$BD56</f>
        <v/>
      </c>
      <c r="DR55" s="56">
        <f>$BE55-$BE56</f>
        <v/>
      </c>
      <c r="DS55" s="56">
        <f>$BF55-$BF56</f>
        <v/>
      </c>
      <c r="DT55" s="56">
        <f>$BG55-$BG56</f>
        <v/>
      </c>
      <c r="DU55" s="56">
        <f>$BH55-$BH56</f>
        <v/>
      </c>
      <c r="DV55" s="56">
        <f>$BI55-$BI56</f>
        <v/>
      </c>
      <c r="DW55" s="56">
        <f>$BJ55-$BJ56</f>
        <v/>
      </c>
      <c r="DX55" s="56">
        <f>$BK55-$BK56</f>
        <v/>
      </c>
      <c r="DY55" s="56">
        <f>$BL55-$BL56</f>
        <v/>
      </c>
      <c r="DZ55" s="56">
        <f>$BM55-$BM56</f>
        <v/>
      </c>
      <c r="EA55" s="56">
        <f>$BN55-$BN56</f>
        <v/>
      </c>
      <c r="EB55" s="56">
        <f>$BO55-$BO56</f>
        <v/>
      </c>
      <c r="EC55" s="56">
        <f>$BP55-$BP56</f>
        <v/>
      </c>
      <c r="ED55" s="56">
        <f>$BQ55-$BQ56</f>
        <v/>
      </c>
      <c r="EE55" s="56">
        <f>$BR55-$BR56</f>
        <v/>
      </c>
      <c r="EF55" s="56">
        <f>$BS55-$BS56</f>
        <v/>
      </c>
      <c r="EG55" s="56">
        <f>$BT55-$BT56</f>
        <v/>
      </c>
      <c r="EH55" s="56">
        <f>$BU55-$BU56</f>
        <v/>
      </c>
    </row>
    <row r="56">
      <c r="BV56" s="56">
        <f>($D56-$D57)*100</f>
        <v/>
      </c>
      <c r="BW56" s="56">
        <f>($C56-$C57)*100</f>
        <v/>
      </c>
      <c r="BX56" s="57">
        <f>IFERROR($I56/$I57-1,"")</f>
        <v/>
      </c>
      <c r="BY56" s="56">
        <f>($AF56-$AF57)*100</f>
        <v/>
      </c>
      <c r="BZ56" s="56">
        <f>($AG56-$AG57)*100</f>
        <v/>
      </c>
      <c r="CA56" s="56">
        <f>($AH56-$AH57)*100</f>
        <v/>
      </c>
      <c r="CB56" s="56">
        <f>($AI56-$AI57)*100</f>
        <v/>
      </c>
      <c r="CC56" s="56">
        <f>($AJ56-$AJ57)*100</f>
        <v/>
      </c>
      <c r="CD56" s="56">
        <f>($AK56-$AK57)*100</f>
        <v/>
      </c>
      <c r="CE56" s="56">
        <f>($AL56-$AL57)*100</f>
        <v/>
      </c>
      <c r="CF56" s="56">
        <f>($AM56-$AM57)*100</f>
        <v/>
      </c>
      <c r="CG56" s="56">
        <f>($AN56-$AN57)*100</f>
        <v/>
      </c>
      <c r="CH56" s="56">
        <f>($AO56-$AO57)*100</f>
        <v/>
      </c>
      <c r="CI56" s="56">
        <f>($AP56-$AP57)*100</f>
        <v/>
      </c>
      <c r="CJ56" s="56">
        <f>($AQ56-$AQ57)*100</f>
        <v/>
      </c>
      <c r="CK56" s="56">
        <f>($AR56-$AR57)*100</f>
        <v/>
      </c>
      <c r="CL56" s="56">
        <f>($AS56-$AS57)*100</f>
        <v/>
      </c>
      <c r="CM56" s="56">
        <f>($AT56-$AT57)*100</f>
        <v/>
      </c>
      <c r="CN56" s="56">
        <f>($AU56-$AU57)*100</f>
        <v/>
      </c>
      <c r="CO56" s="56">
        <f>($AV56-$AV57)*100</f>
        <v/>
      </c>
      <c r="CP56" s="56">
        <f>($AW56-$AW57)*100</f>
        <v/>
      </c>
      <c r="CQ56" s="56">
        <f>($AX56-$AX57)*100</f>
        <v/>
      </c>
      <c r="CR56" s="56">
        <f>($AY56-$AY57)*100</f>
        <v/>
      </c>
      <c r="CS56" s="57">
        <f>IFERROR($L57/$L56-1,"")</f>
        <v/>
      </c>
      <c r="CT56" s="57">
        <f>IFERROR($M57/$M56-1,"")</f>
        <v/>
      </c>
      <c r="CU56" s="57">
        <f>IFERROR($N57/$N56-1,"")</f>
        <v/>
      </c>
      <c r="CV56" s="57">
        <f>IFERROR($O57/$O56-1,"")</f>
        <v/>
      </c>
      <c r="CW56" s="57">
        <f>IFERROR($P57/$P56-1,"")</f>
        <v/>
      </c>
      <c r="CX56" s="57">
        <f>IFERROR($Q57/$Q56-1,"")</f>
        <v/>
      </c>
      <c r="CY56" s="57">
        <f>IFERROR($R57/$R56-1,"")</f>
        <v/>
      </c>
      <c r="CZ56" s="57">
        <f>IFERROR($S57/$S56-1,"")</f>
        <v/>
      </c>
      <c r="DA56" s="57">
        <f>IFERROR($T57/$T56-1,"")</f>
        <v/>
      </c>
      <c r="DB56" s="57">
        <f>IFERROR($U57/$U56-1,"")</f>
        <v/>
      </c>
      <c r="DC56" s="57">
        <f>IFERROR($V57/$V56-1,"")</f>
        <v/>
      </c>
      <c r="DD56" s="57">
        <f>IFERROR($W57/$W56-1,"")</f>
        <v/>
      </c>
      <c r="DE56" s="57">
        <f>IFERROR($X57/$X56-1,"")</f>
        <v/>
      </c>
      <c r="DF56" s="57">
        <f>IFERROR($Y57/$Y56-1,"")</f>
        <v/>
      </c>
      <c r="DG56" s="57">
        <f>IFERROR($Z57/$Z56-1,"")</f>
        <v/>
      </c>
      <c r="DH56" s="57">
        <f>IFERROR($AA57/$AA56-1,"")</f>
        <v/>
      </c>
      <c r="DI56" s="57">
        <f>IFERROR($AB57/$AB56-1,"")</f>
        <v/>
      </c>
      <c r="DJ56" s="57">
        <f>IFERROR($AC57/$AC56-1,"")</f>
        <v/>
      </c>
      <c r="DK56" s="57">
        <f>IFERROR($AD57/$AD56-1,"")</f>
        <v/>
      </c>
      <c r="DL56" s="57">
        <f>IFERROR($AE57/$AE56-1,"")</f>
        <v/>
      </c>
      <c r="DM56" s="56">
        <f>$AZ56-$AZ57</f>
        <v/>
      </c>
      <c r="DN56" s="56">
        <f>$BA56-$BA57</f>
        <v/>
      </c>
      <c r="DO56" s="56">
        <f>$BB56-$BB57</f>
        <v/>
      </c>
      <c r="DP56" s="56">
        <f>$BC56-$BC57</f>
        <v/>
      </c>
      <c r="DQ56" s="56">
        <f>$BD56-$BD57</f>
        <v/>
      </c>
      <c r="DR56" s="56">
        <f>$BE56-$BE57</f>
        <v/>
      </c>
      <c r="DS56" s="56">
        <f>$BF56-$BF57</f>
        <v/>
      </c>
      <c r="DT56" s="56">
        <f>$BG56-$BG57</f>
        <v/>
      </c>
      <c r="DU56" s="56">
        <f>$BH56-$BH57</f>
        <v/>
      </c>
      <c r="DV56" s="56">
        <f>$BI56-$BI57</f>
        <v/>
      </c>
      <c r="DW56" s="56">
        <f>$BJ56-$BJ57</f>
        <v/>
      </c>
      <c r="DX56" s="56">
        <f>$BK56-$BK57</f>
        <v/>
      </c>
      <c r="DY56" s="56">
        <f>$BL56-$BL57</f>
        <v/>
      </c>
      <c r="DZ56" s="56">
        <f>$BM56-$BM57</f>
        <v/>
      </c>
      <c r="EA56" s="56">
        <f>$BN56-$BN57</f>
        <v/>
      </c>
      <c r="EB56" s="56">
        <f>$BO56-$BO57</f>
        <v/>
      </c>
      <c r="EC56" s="56">
        <f>$BP56-$BP57</f>
        <v/>
      </c>
      <c r="ED56" s="56">
        <f>$BQ56-$BQ57</f>
        <v/>
      </c>
      <c r="EE56" s="56">
        <f>$BR56-$BR57</f>
        <v/>
      </c>
      <c r="EF56" s="56">
        <f>$BS56-$BS57</f>
        <v/>
      </c>
      <c r="EG56" s="56">
        <f>$BT56-$BT57</f>
        <v/>
      </c>
      <c r="EH56" s="56">
        <f>$BU56-$BU57</f>
        <v/>
      </c>
    </row>
    <row r="57">
      <c r="BV57" s="56">
        <f>($D57-$D58)*100</f>
        <v/>
      </c>
      <c r="BW57" s="56">
        <f>($C57-$C58)*100</f>
        <v/>
      </c>
      <c r="BX57" s="57">
        <f>IFERROR($I57/$I58-1,"")</f>
        <v/>
      </c>
      <c r="BY57" s="56">
        <f>($AF57-$AF58)*100</f>
        <v/>
      </c>
      <c r="BZ57" s="56">
        <f>($AG57-$AG58)*100</f>
        <v/>
      </c>
      <c r="CA57" s="56">
        <f>($AH57-$AH58)*100</f>
        <v/>
      </c>
      <c r="CB57" s="56">
        <f>($AI57-$AI58)*100</f>
        <v/>
      </c>
      <c r="CC57" s="56">
        <f>($AJ57-$AJ58)*100</f>
        <v/>
      </c>
      <c r="CD57" s="56">
        <f>($AK57-$AK58)*100</f>
        <v/>
      </c>
      <c r="CE57" s="56">
        <f>($AL57-$AL58)*100</f>
        <v/>
      </c>
      <c r="CF57" s="56">
        <f>($AM57-$AM58)*100</f>
        <v/>
      </c>
      <c r="CG57" s="56">
        <f>($AN57-$AN58)*100</f>
        <v/>
      </c>
      <c r="CH57" s="56">
        <f>($AO57-$AO58)*100</f>
        <v/>
      </c>
      <c r="CI57" s="56">
        <f>($AP57-$AP58)*100</f>
        <v/>
      </c>
      <c r="CJ57" s="56">
        <f>($AQ57-$AQ58)*100</f>
        <v/>
      </c>
      <c r="CK57" s="56">
        <f>($AR57-$AR58)*100</f>
        <v/>
      </c>
      <c r="CL57" s="56">
        <f>($AS57-$AS58)*100</f>
        <v/>
      </c>
      <c r="CM57" s="56">
        <f>($AT57-$AT58)*100</f>
        <v/>
      </c>
      <c r="CN57" s="56">
        <f>($AU57-$AU58)*100</f>
        <v/>
      </c>
      <c r="CO57" s="56">
        <f>($AV57-$AV58)*100</f>
        <v/>
      </c>
      <c r="CP57" s="56">
        <f>($AW57-$AW58)*100</f>
        <v/>
      </c>
      <c r="CQ57" s="56">
        <f>($AX57-$AX58)*100</f>
        <v/>
      </c>
      <c r="CR57" s="56">
        <f>($AY57-$AY58)*100</f>
        <v/>
      </c>
      <c r="CS57" s="57">
        <f>IFERROR($L58/$L57-1,"")</f>
        <v/>
      </c>
      <c r="CT57" s="57">
        <f>IFERROR($M58/$M57-1,"")</f>
        <v/>
      </c>
      <c r="CU57" s="57">
        <f>IFERROR($N58/$N57-1,"")</f>
        <v/>
      </c>
      <c r="CV57" s="57">
        <f>IFERROR($O58/$O57-1,"")</f>
        <v/>
      </c>
      <c r="CW57" s="57">
        <f>IFERROR($P58/$P57-1,"")</f>
        <v/>
      </c>
      <c r="CX57" s="57">
        <f>IFERROR($Q58/$Q57-1,"")</f>
        <v/>
      </c>
      <c r="CY57" s="57">
        <f>IFERROR($R58/$R57-1,"")</f>
        <v/>
      </c>
      <c r="CZ57" s="57">
        <f>IFERROR($S58/$S57-1,"")</f>
        <v/>
      </c>
      <c r="DA57" s="57">
        <f>IFERROR($T58/$T57-1,"")</f>
        <v/>
      </c>
      <c r="DB57" s="57">
        <f>IFERROR($U58/$U57-1,"")</f>
        <v/>
      </c>
      <c r="DC57" s="57">
        <f>IFERROR($V58/$V57-1,"")</f>
        <v/>
      </c>
      <c r="DD57" s="57">
        <f>IFERROR($W58/$W57-1,"")</f>
        <v/>
      </c>
      <c r="DE57" s="57">
        <f>IFERROR($X58/$X57-1,"")</f>
        <v/>
      </c>
      <c r="DF57" s="57">
        <f>IFERROR($Y58/$Y57-1,"")</f>
        <v/>
      </c>
      <c r="DG57" s="57">
        <f>IFERROR($Z58/$Z57-1,"")</f>
        <v/>
      </c>
      <c r="DH57" s="57">
        <f>IFERROR($AA58/$AA57-1,"")</f>
        <v/>
      </c>
      <c r="DI57" s="57">
        <f>IFERROR($AB58/$AB57-1,"")</f>
        <v/>
      </c>
      <c r="DJ57" s="57">
        <f>IFERROR($AC58/$AC57-1,"")</f>
        <v/>
      </c>
      <c r="DK57" s="57">
        <f>IFERROR($AD58/$AD57-1,"")</f>
        <v/>
      </c>
      <c r="DL57" s="57">
        <f>IFERROR($AE58/$AE57-1,"")</f>
        <v/>
      </c>
      <c r="DM57" s="56">
        <f>$AZ57-$AZ58</f>
        <v/>
      </c>
      <c r="DN57" s="56">
        <f>$BA57-$BA58</f>
        <v/>
      </c>
      <c r="DO57" s="56">
        <f>$BB57-$BB58</f>
        <v/>
      </c>
      <c r="DP57" s="56">
        <f>$BC57-$BC58</f>
        <v/>
      </c>
      <c r="DQ57" s="56">
        <f>$BD57-$BD58</f>
        <v/>
      </c>
      <c r="DR57" s="56">
        <f>$BE57-$BE58</f>
        <v/>
      </c>
      <c r="DS57" s="56">
        <f>$BF57-$BF58</f>
        <v/>
      </c>
      <c r="DT57" s="56">
        <f>$BG57-$BG58</f>
        <v/>
      </c>
      <c r="DU57" s="56">
        <f>$BH57-$BH58</f>
        <v/>
      </c>
      <c r="DV57" s="56">
        <f>$BI57-$BI58</f>
        <v/>
      </c>
      <c r="DW57" s="56">
        <f>$BJ57-$BJ58</f>
        <v/>
      </c>
      <c r="DX57" s="56">
        <f>$BK57-$BK58</f>
        <v/>
      </c>
      <c r="DY57" s="56">
        <f>$BL57-$BL58</f>
        <v/>
      </c>
      <c r="DZ57" s="56">
        <f>$BM57-$BM58</f>
        <v/>
      </c>
      <c r="EA57" s="56">
        <f>$BN57-$BN58</f>
        <v/>
      </c>
      <c r="EB57" s="56">
        <f>$BO57-$BO58</f>
        <v/>
      </c>
      <c r="EC57" s="56">
        <f>$BP57-$BP58</f>
        <v/>
      </c>
      <c r="ED57" s="56">
        <f>$BQ57-$BQ58</f>
        <v/>
      </c>
      <c r="EE57" s="56">
        <f>$BR57-$BR58</f>
        <v/>
      </c>
      <c r="EF57" s="56">
        <f>$BS57-$BS58</f>
        <v/>
      </c>
      <c r="EG57" s="56">
        <f>$BT57-$BT58</f>
        <v/>
      </c>
      <c r="EH57" s="56">
        <f>$BU57-$BU58</f>
        <v/>
      </c>
    </row>
    <row r="58">
      <c r="BV58" s="56">
        <f>($D58-$D59)*100</f>
        <v/>
      </c>
      <c r="BW58" s="56">
        <f>($C58-$C59)*100</f>
        <v/>
      </c>
      <c r="BX58" s="57">
        <f>IFERROR($I58/$I59-1,"")</f>
        <v/>
      </c>
      <c r="BY58" s="56">
        <f>($AF58-$AF59)*100</f>
        <v/>
      </c>
      <c r="BZ58" s="56">
        <f>($AG58-$AG59)*100</f>
        <v/>
      </c>
      <c r="CA58" s="56">
        <f>($AH58-$AH59)*100</f>
        <v/>
      </c>
      <c r="CB58" s="56">
        <f>($AI58-$AI59)*100</f>
        <v/>
      </c>
      <c r="CC58" s="56">
        <f>($AJ58-$AJ59)*100</f>
        <v/>
      </c>
      <c r="CD58" s="56">
        <f>($AK58-$AK59)*100</f>
        <v/>
      </c>
      <c r="CE58" s="56">
        <f>($AL58-$AL59)*100</f>
        <v/>
      </c>
      <c r="CF58" s="56">
        <f>($AM58-$AM59)*100</f>
        <v/>
      </c>
      <c r="CG58" s="56">
        <f>($AN58-$AN59)*100</f>
        <v/>
      </c>
      <c r="CH58" s="56">
        <f>($AO58-$AO59)*100</f>
        <v/>
      </c>
      <c r="CI58" s="56">
        <f>($AP58-$AP59)*100</f>
        <v/>
      </c>
      <c r="CJ58" s="56">
        <f>($AQ58-$AQ59)*100</f>
        <v/>
      </c>
      <c r="CK58" s="56">
        <f>($AR58-$AR59)*100</f>
        <v/>
      </c>
      <c r="CL58" s="56">
        <f>($AS58-$AS59)*100</f>
        <v/>
      </c>
      <c r="CM58" s="56">
        <f>($AT58-$AT59)*100</f>
        <v/>
      </c>
      <c r="CN58" s="56">
        <f>($AU58-$AU59)*100</f>
        <v/>
      </c>
      <c r="CO58" s="56">
        <f>($AV58-$AV59)*100</f>
        <v/>
      </c>
      <c r="CP58" s="56">
        <f>($AW58-$AW59)*100</f>
        <v/>
      </c>
      <c r="CQ58" s="56">
        <f>($AX58-$AX59)*100</f>
        <v/>
      </c>
      <c r="CR58" s="56">
        <f>($AY58-$AY59)*100</f>
        <v/>
      </c>
      <c r="CS58" s="57">
        <f>IFERROR($L59/$L58-1,"")</f>
        <v/>
      </c>
      <c r="CT58" s="57">
        <f>IFERROR($M59/$M58-1,"")</f>
        <v/>
      </c>
      <c r="CU58" s="57">
        <f>IFERROR($N59/$N58-1,"")</f>
        <v/>
      </c>
      <c r="CV58" s="57">
        <f>IFERROR($O59/$O58-1,"")</f>
        <v/>
      </c>
      <c r="CW58" s="57">
        <f>IFERROR($P59/$P58-1,"")</f>
        <v/>
      </c>
      <c r="CX58" s="57">
        <f>IFERROR($Q59/$Q58-1,"")</f>
        <v/>
      </c>
      <c r="CY58" s="57">
        <f>IFERROR($R59/$R58-1,"")</f>
        <v/>
      </c>
      <c r="CZ58" s="57">
        <f>IFERROR($S59/$S58-1,"")</f>
        <v/>
      </c>
      <c r="DA58" s="57">
        <f>IFERROR($T59/$T58-1,"")</f>
        <v/>
      </c>
      <c r="DB58" s="57">
        <f>IFERROR($U59/$U58-1,"")</f>
        <v/>
      </c>
      <c r="DC58" s="57">
        <f>IFERROR($V59/$V58-1,"")</f>
        <v/>
      </c>
      <c r="DD58" s="57">
        <f>IFERROR($W59/$W58-1,"")</f>
        <v/>
      </c>
      <c r="DE58" s="57">
        <f>IFERROR($X59/$X58-1,"")</f>
        <v/>
      </c>
      <c r="DF58" s="57">
        <f>IFERROR($Y59/$Y58-1,"")</f>
        <v/>
      </c>
      <c r="DG58" s="57">
        <f>IFERROR($Z59/$Z58-1,"")</f>
        <v/>
      </c>
      <c r="DH58" s="57">
        <f>IFERROR($AA59/$AA58-1,"")</f>
        <v/>
      </c>
      <c r="DI58" s="57">
        <f>IFERROR($AB59/$AB58-1,"")</f>
        <v/>
      </c>
      <c r="DJ58" s="57">
        <f>IFERROR($AC59/$AC58-1,"")</f>
        <v/>
      </c>
      <c r="DK58" s="57">
        <f>IFERROR($AD59/$AD58-1,"")</f>
        <v/>
      </c>
      <c r="DL58" s="57">
        <f>IFERROR($AE59/$AE58-1,"")</f>
        <v/>
      </c>
      <c r="DM58" s="56">
        <f>$AZ58-$AZ59</f>
        <v/>
      </c>
      <c r="DN58" s="56">
        <f>$BA58-$BA59</f>
        <v/>
      </c>
      <c r="DO58" s="56">
        <f>$BB58-$BB59</f>
        <v/>
      </c>
      <c r="DP58" s="56">
        <f>$BC58-$BC59</f>
        <v/>
      </c>
      <c r="DQ58" s="56">
        <f>$BD58-$BD59</f>
        <v/>
      </c>
      <c r="DR58" s="56">
        <f>$BE58-$BE59</f>
        <v/>
      </c>
      <c r="DS58" s="56">
        <f>$BF58-$BF59</f>
        <v/>
      </c>
      <c r="DT58" s="56">
        <f>$BG58-$BG59</f>
        <v/>
      </c>
      <c r="DU58" s="56">
        <f>$BH58-$BH59</f>
        <v/>
      </c>
      <c r="DV58" s="56">
        <f>$BI58-$BI59</f>
        <v/>
      </c>
      <c r="DW58" s="56">
        <f>$BJ58-$BJ59</f>
        <v/>
      </c>
      <c r="DX58" s="56">
        <f>$BK58-$BK59</f>
        <v/>
      </c>
      <c r="DY58" s="56">
        <f>$BL58-$BL59</f>
        <v/>
      </c>
      <c r="DZ58" s="56">
        <f>$BM58-$BM59</f>
        <v/>
      </c>
      <c r="EA58" s="56">
        <f>$BN58-$BN59</f>
        <v/>
      </c>
      <c r="EB58" s="56">
        <f>$BO58-$BO59</f>
        <v/>
      </c>
      <c r="EC58" s="56">
        <f>$BP58-$BP59</f>
        <v/>
      </c>
      <c r="ED58" s="56">
        <f>$BQ58-$BQ59</f>
        <v/>
      </c>
      <c r="EE58" s="56">
        <f>$BR58-$BR59</f>
        <v/>
      </c>
      <c r="EF58" s="56">
        <f>$BS58-$BS59</f>
        <v/>
      </c>
      <c r="EG58" s="56">
        <f>$BT58-$BT59</f>
        <v/>
      </c>
      <c r="EH58" s="56">
        <f>$BU58-$BU59</f>
        <v/>
      </c>
    </row>
    <row r="59">
      <c r="BV59" s="56">
        <f>($D59-$D60)*100</f>
        <v/>
      </c>
      <c r="BW59" s="56">
        <f>($C59-$C60)*100</f>
        <v/>
      </c>
      <c r="BX59" s="57">
        <f>IFERROR($I59/$I60-1,"")</f>
        <v/>
      </c>
      <c r="BY59" s="56">
        <f>($AF59-$AF60)*100</f>
        <v/>
      </c>
      <c r="BZ59" s="56">
        <f>($AG59-$AG60)*100</f>
        <v/>
      </c>
      <c r="CA59" s="56">
        <f>($AH59-$AH60)*100</f>
        <v/>
      </c>
      <c r="CB59" s="56">
        <f>($AI59-$AI60)*100</f>
        <v/>
      </c>
      <c r="CC59" s="56">
        <f>($AJ59-$AJ60)*100</f>
        <v/>
      </c>
      <c r="CD59" s="56">
        <f>($AK59-$AK60)*100</f>
        <v/>
      </c>
      <c r="CE59" s="56">
        <f>($AL59-$AL60)*100</f>
        <v/>
      </c>
      <c r="CF59" s="56">
        <f>($AM59-$AM60)*100</f>
        <v/>
      </c>
      <c r="CG59" s="56">
        <f>($AN59-$AN60)*100</f>
        <v/>
      </c>
      <c r="CH59" s="56">
        <f>($AO59-$AO60)*100</f>
        <v/>
      </c>
      <c r="CI59" s="56">
        <f>($AP59-$AP60)*100</f>
        <v/>
      </c>
      <c r="CJ59" s="56">
        <f>($AQ59-$AQ60)*100</f>
        <v/>
      </c>
      <c r="CK59" s="56">
        <f>($AR59-$AR60)*100</f>
        <v/>
      </c>
      <c r="CL59" s="56">
        <f>($AS59-$AS60)*100</f>
        <v/>
      </c>
      <c r="CM59" s="56">
        <f>($AT59-$AT60)*100</f>
        <v/>
      </c>
      <c r="CN59" s="56">
        <f>($AU59-$AU60)*100</f>
        <v/>
      </c>
      <c r="CO59" s="56">
        <f>($AV59-$AV60)*100</f>
        <v/>
      </c>
      <c r="CP59" s="56">
        <f>($AW59-$AW60)*100</f>
        <v/>
      </c>
      <c r="CQ59" s="56">
        <f>($AX59-$AX60)*100</f>
        <v/>
      </c>
      <c r="CR59" s="56">
        <f>($AY59-$AY60)*100</f>
        <v/>
      </c>
      <c r="CS59" s="57">
        <f>IFERROR($L60/$L59-1,"")</f>
        <v/>
      </c>
      <c r="CT59" s="57">
        <f>IFERROR($M60/$M59-1,"")</f>
        <v/>
      </c>
      <c r="CU59" s="57">
        <f>IFERROR($N60/$N59-1,"")</f>
        <v/>
      </c>
      <c r="CV59" s="57">
        <f>IFERROR($O60/$O59-1,"")</f>
        <v/>
      </c>
      <c r="CW59" s="57">
        <f>IFERROR($P60/$P59-1,"")</f>
        <v/>
      </c>
      <c r="CX59" s="57">
        <f>IFERROR($Q60/$Q59-1,"")</f>
        <v/>
      </c>
      <c r="CY59" s="57">
        <f>IFERROR($R60/$R59-1,"")</f>
        <v/>
      </c>
      <c r="CZ59" s="57">
        <f>IFERROR($S60/$S59-1,"")</f>
        <v/>
      </c>
      <c r="DA59" s="57">
        <f>IFERROR($T60/$T59-1,"")</f>
        <v/>
      </c>
      <c r="DB59" s="57">
        <f>IFERROR($U60/$U59-1,"")</f>
        <v/>
      </c>
      <c r="DC59" s="57">
        <f>IFERROR($V60/$V59-1,"")</f>
        <v/>
      </c>
      <c r="DD59" s="57">
        <f>IFERROR($W60/$W59-1,"")</f>
        <v/>
      </c>
      <c r="DE59" s="57">
        <f>IFERROR($X60/$X59-1,"")</f>
        <v/>
      </c>
      <c r="DF59" s="57">
        <f>IFERROR($Y60/$Y59-1,"")</f>
        <v/>
      </c>
      <c r="DG59" s="57">
        <f>IFERROR($Z60/$Z59-1,"")</f>
        <v/>
      </c>
      <c r="DH59" s="57">
        <f>IFERROR($AA60/$AA59-1,"")</f>
        <v/>
      </c>
      <c r="DI59" s="57">
        <f>IFERROR($AB60/$AB59-1,"")</f>
        <v/>
      </c>
      <c r="DJ59" s="57">
        <f>IFERROR($AC60/$AC59-1,"")</f>
        <v/>
      </c>
      <c r="DK59" s="57">
        <f>IFERROR($AD60/$AD59-1,"")</f>
        <v/>
      </c>
      <c r="DL59" s="57">
        <f>IFERROR($AE60/$AE59-1,"")</f>
        <v/>
      </c>
      <c r="DM59" s="56">
        <f>$AZ59-$AZ60</f>
        <v/>
      </c>
      <c r="DN59" s="56">
        <f>$BA59-$BA60</f>
        <v/>
      </c>
      <c r="DO59" s="56">
        <f>$BB59-$BB60</f>
        <v/>
      </c>
      <c r="DP59" s="56">
        <f>$BC59-$BC60</f>
        <v/>
      </c>
      <c r="DQ59" s="56">
        <f>$BD59-$BD60</f>
        <v/>
      </c>
      <c r="DR59" s="56">
        <f>$BE59-$BE60</f>
        <v/>
      </c>
      <c r="DS59" s="56">
        <f>$BF59-$BF60</f>
        <v/>
      </c>
      <c r="DT59" s="56">
        <f>$BG59-$BG60</f>
        <v/>
      </c>
      <c r="DU59" s="56">
        <f>$BH59-$BH60</f>
        <v/>
      </c>
      <c r="DV59" s="56">
        <f>$BI59-$BI60</f>
        <v/>
      </c>
      <c r="DW59" s="56">
        <f>$BJ59-$BJ60</f>
        <v/>
      </c>
      <c r="DX59" s="56">
        <f>$BK59-$BK60</f>
        <v/>
      </c>
      <c r="DY59" s="56">
        <f>$BL59-$BL60</f>
        <v/>
      </c>
      <c r="DZ59" s="56">
        <f>$BM59-$BM60</f>
        <v/>
      </c>
      <c r="EA59" s="56">
        <f>$BN59-$BN60</f>
        <v/>
      </c>
      <c r="EB59" s="56">
        <f>$BO59-$BO60</f>
        <v/>
      </c>
      <c r="EC59" s="56">
        <f>$BP59-$BP60</f>
        <v/>
      </c>
      <c r="ED59" s="56">
        <f>$BQ59-$BQ60</f>
        <v/>
      </c>
      <c r="EE59" s="56">
        <f>$BR59-$BR60</f>
        <v/>
      </c>
      <c r="EF59" s="56">
        <f>$BS59-$BS60</f>
        <v/>
      </c>
      <c r="EG59" s="56">
        <f>$BT59-$BT60</f>
        <v/>
      </c>
      <c r="EH59" s="56">
        <f>$BU59-$BU60</f>
        <v/>
      </c>
    </row>
    <row r="60">
      <c r="BV60" s="56">
        <f>($D60-$D61)*100</f>
        <v/>
      </c>
      <c r="BW60" s="56">
        <f>($C60-$C61)*100</f>
        <v/>
      </c>
      <c r="BX60" s="57">
        <f>IFERROR($I60/$I61-1,"")</f>
        <v/>
      </c>
      <c r="BY60" s="56">
        <f>($AF60-$AF61)*100</f>
        <v/>
      </c>
      <c r="BZ60" s="56">
        <f>($AG60-$AG61)*100</f>
        <v/>
      </c>
      <c r="CA60" s="56">
        <f>($AH60-$AH61)*100</f>
        <v/>
      </c>
      <c r="CB60" s="56">
        <f>($AI60-$AI61)*100</f>
        <v/>
      </c>
      <c r="CC60" s="56">
        <f>($AJ60-$AJ61)*100</f>
        <v/>
      </c>
      <c r="CD60" s="56">
        <f>($AK60-$AK61)*100</f>
        <v/>
      </c>
      <c r="CE60" s="56">
        <f>($AL60-$AL61)*100</f>
        <v/>
      </c>
      <c r="CF60" s="56">
        <f>($AM60-$AM61)*100</f>
        <v/>
      </c>
      <c r="CG60" s="56">
        <f>($AN60-$AN61)*100</f>
        <v/>
      </c>
      <c r="CH60" s="56">
        <f>($AO60-$AO61)*100</f>
        <v/>
      </c>
      <c r="CI60" s="56">
        <f>($AP60-$AP61)*100</f>
        <v/>
      </c>
      <c r="CJ60" s="56">
        <f>($AQ60-$AQ61)*100</f>
        <v/>
      </c>
      <c r="CK60" s="56">
        <f>($AR60-$AR61)*100</f>
        <v/>
      </c>
      <c r="CL60" s="56">
        <f>($AS60-$AS61)*100</f>
        <v/>
      </c>
      <c r="CM60" s="56">
        <f>($AT60-$AT61)*100</f>
        <v/>
      </c>
      <c r="CN60" s="56">
        <f>($AU60-$AU61)*100</f>
        <v/>
      </c>
      <c r="CO60" s="56">
        <f>($AV60-$AV61)*100</f>
        <v/>
      </c>
      <c r="CP60" s="56">
        <f>($AW60-$AW61)*100</f>
        <v/>
      </c>
      <c r="CQ60" s="56">
        <f>($AX60-$AX61)*100</f>
        <v/>
      </c>
      <c r="CR60" s="56">
        <f>($AY60-$AY61)*100</f>
        <v/>
      </c>
      <c r="CS60" s="57">
        <f>IFERROR($L61/$L60-1,"")</f>
        <v/>
      </c>
      <c r="CT60" s="57">
        <f>IFERROR($M61/$M60-1,"")</f>
        <v/>
      </c>
      <c r="CU60" s="57">
        <f>IFERROR($N61/$N60-1,"")</f>
        <v/>
      </c>
      <c r="CV60" s="57">
        <f>IFERROR($O61/$O60-1,"")</f>
        <v/>
      </c>
      <c r="CW60" s="57">
        <f>IFERROR($P61/$P60-1,"")</f>
        <v/>
      </c>
      <c r="CX60" s="57">
        <f>IFERROR($Q61/$Q60-1,"")</f>
        <v/>
      </c>
      <c r="CY60" s="57">
        <f>IFERROR($R61/$R60-1,"")</f>
        <v/>
      </c>
      <c r="CZ60" s="57">
        <f>IFERROR($S61/$S60-1,"")</f>
        <v/>
      </c>
      <c r="DA60" s="57">
        <f>IFERROR($T61/$T60-1,"")</f>
        <v/>
      </c>
      <c r="DB60" s="57">
        <f>IFERROR($U61/$U60-1,"")</f>
        <v/>
      </c>
      <c r="DC60" s="57">
        <f>IFERROR($V61/$V60-1,"")</f>
        <v/>
      </c>
      <c r="DD60" s="57">
        <f>IFERROR($W61/$W60-1,"")</f>
        <v/>
      </c>
      <c r="DE60" s="57">
        <f>IFERROR($X61/$X60-1,"")</f>
        <v/>
      </c>
      <c r="DF60" s="57">
        <f>IFERROR($Y61/$Y60-1,"")</f>
        <v/>
      </c>
      <c r="DG60" s="57">
        <f>IFERROR($Z61/$Z60-1,"")</f>
        <v/>
      </c>
      <c r="DH60" s="57">
        <f>IFERROR($AA61/$AA60-1,"")</f>
        <v/>
      </c>
      <c r="DI60" s="57">
        <f>IFERROR($AB61/$AB60-1,"")</f>
        <v/>
      </c>
      <c r="DJ60" s="57">
        <f>IFERROR($AC61/$AC60-1,"")</f>
        <v/>
      </c>
      <c r="DK60" s="57">
        <f>IFERROR($AD61/$AD60-1,"")</f>
        <v/>
      </c>
      <c r="DL60" s="57">
        <f>IFERROR($AE61/$AE60-1,"")</f>
        <v/>
      </c>
      <c r="DM60" s="56">
        <f>$AZ60-$AZ61</f>
        <v/>
      </c>
      <c r="DN60" s="56">
        <f>$BA60-$BA61</f>
        <v/>
      </c>
      <c r="DO60" s="56">
        <f>$BB60-$BB61</f>
        <v/>
      </c>
      <c r="DP60" s="56">
        <f>$BC60-$BC61</f>
        <v/>
      </c>
      <c r="DQ60" s="56">
        <f>$BD60-$BD61</f>
        <v/>
      </c>
      <c r="DR60" s="56">
        <f>$BE60-$BE61</f>
        <v/>
      </c>
      <c r="DS60" s="56">
        <f>$BF60-$BF61</f>
        <v/>
      </c>
      <c r="DT60" s="56">
        <f>$BG60-$BG61</f>
        <v/>
      </c>
      <c r="DU60" s="56">
        <f>$BH60-$BH61</f>
        <v/>
      </c>
      <c r="DV60" s="56">
        <f>$BI60-$BI61</f>
        <v/>
      </c>
      <c r="DW60" s="56">
        <f>$BJ60-$BJ61</f>
        <v/>
      </c>
      <c r="DX60" s="56">
        <f>$BK60-$BK61</f>
        <v/>
      </c>
      <c r="DY60" s="56">
        <f>$BL60-$BL61</f>
        <v/>
      </c>
      <c r="DZ60" s="56">
        <f>$BM60-$BM61</f>
        <v/>
      </c>
      <c r="EA60" s="56">
        <f>$BN60-$BN61</f>
        <v/>
      </c>
      <c r="EB60" s="56">
        <f>$BO60-$BO61</f>
        <v/>
      </c>
      <c r="EC60" s="56">
        <f>$BP60-$BP61</f>
        <v/>
      </c>
      <c r="ED60" s="56">
        <f>$BQ60-$BQ61</f>
        <v/>
      </c>
      <c r="EE60" s="56">
        <f>$BR60-$BR61</f>
        <v/>
      </c>
      <c r="EF60" s="56">
        <f>$BS60-$BS61</f>
        <v/>
      </c>
      <c r="EG60" s="56">
        <f>$BT60-$BT61</f>
        <v/>
      </c>
      <c r="EH60" s="56">
        <f>$BU60-$BU61</f>
        <v/>
      </c>
    </row>
    <row r="61">
      <c r="BV61" s="56">
        <f>($D61-$D62)*100</f>
        <v/>
      </c>
      <c r="BW61" s="56">
        <f>($C61-$C62)*100</f>
        <v/>
      </c>
      <c r="BX61" s="57">
        <f>IFERROR($I61/$I62-1,"")</f>
        <v/>
      </c>
      <c r="BY61" s="56">
        <f>($AF61-$AF62)*100</f>
        <v/>
      </c>
      <c r="BZ61" s="56">
        <f>($AG61-$AG62)*100</f>
        <v/>
      </c>
      <c r="CA61" s="56">
        <f>($AH61-$AH62)*100</f>
        <v/>
      </c>
      <c r="CB61" s="56">
        <f>($AI61-$AI62)*100</f>
        <v/>
      </c>
      <c r="CC61" s="56">
        <f>($AJ61-$AJ62)*100</f>
        <v/>
      </c>
      <c r="CD61" s="56">
        <f>($AK61-$AK62)*100</f>
        <v/>
      </c>
      <c r="CE61" s="56">
        <f>($AL61-$AL62)*100</f>
        <v/>
      </c>
      <c r="CF61" s="56">
        <f>($AM61-$AM62)*100</f>
        <v/>
      </c>
      <c r="CG61" s="56">
        <f>($AN61-$AN62)*100</f>
        <v/>
      </c>
      <c r="CH61" s="56">
        <f>($AO61-$AO62)*100</f>
        <v/>
      </c>
      <c r="CI61" s="56">
        <f>($AP61-$AP62)*100</f>
        <v/>
      </c>
      <c r="CJ61" s="56">
        <f>($AQ61-$AQ62)*100</f>
        <v/>
      </c>
      <c r="CK61" s="56">
        <f>($AR61-$AR62)*100</f>
        <v/>
      </c>
      <c r="CL61" s="56">
        <f>($AS61-$AS62)*100</f>
        <v/>
      </c>
      <c r="CM61" s="56">
        <f>($AT61-$AT62)*100</f>
        <v/>
      </c>
      <c r="CN61" s="56">
        <f>($AU61-$AU62)*100</f>
        <v/>
      </c>
      <c r="CO61" s="56">
        <f>($AV61-$AV62)*100</f>
        <v/>
      </c>
      <c r="CP61" s="56">
        <f>($AW61-$AW62)*100</f>
        <v/>
      </c>
      <c r="CQ61" s="56">
        <f>($AX61-$AX62)*100</f>
        <v/>
      </c>
      <c r="CR61" s="56">
        <f>($AY61-$AY62)*100</f>
        <v/>
      </c>
      <c r="CS61" s="57">
        <f>IFERROR($L62/$L61-1,"")</f>
        <v/>
      </c>
      <c r="CT61" s="57">
        <f>IFERROR($M62/$M61-1,"")</f>
        <v/>
      </c>
      <c r="CU61" s="57">
        <f>IFERROR($N62/$N61-1,"")</f>
        <v/>
      </c>
      <c r="CV61" s="57">
        <f>IFERROR($O62/$O61-1,"")</f>
        <v/>
      </c>
      <c r="CW61" s="57">
        <f>IFERROR($P62/$P61-1,"")</f>
        <v/>
      </c>
      <c r="CX61" s="57">
        <f>IFERROR($Q62/$Q61-1,"")</f>
        <v/>
      </c>
      <c r="CY61" s="57">
        <f>IFERROR($R62/$R61-1,"")</f>
        <v/>
      </c>
      <c r="CZ61" s="57">
        <f>IFERROR($S62/$S61-1,"")</f>
        <v/>
      </c>
      <c r="DA61" s="57">
        <f>IFERROR($T62/$T61-1,"")</f>
        <v/>
      </c>
      <c r="DB61" s="57">
        <f>IFERROR($U62/$U61-1,"")</f>
        <v/>
      </c>
      <c r="DC61" s="57">
        <f>IFERROR($V62/$V61-1,"")</f>
        <v/>
      </c>
      <c r="DD61" s="57">
        <f>IFERROR($W62/$W61-1,"")</f>
        <v/>
      </c>
      <c r="DE61" s="57">
        <f>IFERROR($X62/$X61-1,"")</f>
        <v/>
      </c>
      <c r="DF61" s="57">
        <f>IFERROR($Y62/$Y61-1,"")</f>
        <v/>
      </c>
      <c r="DG61" s="57">
        <f>IFERROR($Z62/$Z61-1,"")</f>
        <v/>
      </c>
      <c r="DH61" s="57">
        <f>IFERROR($AA62/$AA61-1,"")</f>
        <v/>
      </c>
      <c r="DI61" s="57">
        <f>IFERROR($AB62/$AB61-1,"")</f>
        <v/>
      </c>
      <c r="DJ61" s="57">
        <f>IFERROR($AC62/$AC61-1,"")</f>
        <v/>
      </c>
      <c r="DK61" s="57">
        <f>IFERROR($AD62/$AD61-1,"")</f>
        <v/>
      </c>
      <c r="DL61" s="57">
        <f>IFERROR($AE62/$AE61-1,"")</f>
        <v/>
      </c>
      <c r="DM61" s="56">
        <f>$AZ61-$AZ62</f>
        <v/>
      </c>
      <c r="DN61" s="56">
        <f>$BA61-$BA62</f>
        <v/>
      </c>
      <c r="DO61" s="56">
        <f>$BB61-$BB62</f>
        <v/>
      </c>
      <c r="DP61" s="56">
        <f>$BC61-$BC62</f>
        <v/>
      </c>
      <c r="DQ61" s="56">
        <f>$BD61-$BD62</f>
        <v/>
      </c>
      <c r="DR61" s="56">
        <f>$BE61-$BE62</f>
        <v/>
      </c>
      <c r="DS61" s="56">
        <f>$BF61-$BF62</f>
        <v/>
      </c>
      <c r="DT61" s="56">
        <f>$BG61-$BG62</f>
        <v/>
      </c>
      <c r="DU61" s="56">
        <f>$BH61-$BH62</f>
        <v/>
      </c>
      <c r="DV61" s="56">
        <f>$BI61-$BI62</f>
        <v/>
      </c>
      <c r="DW61" s="56">
        <f>$BJ61-$BJ62</f>
        <v/>
      </c>
      <c r="DX61" s="56">
        <f>$BK61-$BK62</f>
        <v/>
      </c>
      <c r="DY61" s="56">
        <f>$BL61-$BL62</f>
        <v/>
      </c>
      <c r="DZ61" s="56">
        <f>$BM61-$BM62</f>
        <v/>
      </c>
      <c r="EA61" s="56">
        <f>$BN61-$BN62</f>
        <v/>
      </c>
      <c r="EB61" s="56">
        <f>$BO61-$BO62</f>
        <v/>
      </c>
      <c r="EC61" s="56">
        <f>$BP61-$BP62</f>
        <v/>
      </c>
      <c r="ED61" s="56">
        <f>$BQ61-$BQ62</f>
        <v/>
      </c>
      <c r="EE61" s="56">
        <f>$BR61-$BR62</f>
        <v/>
      </c>
      <c r="EF61" s="56">
        <f>$BS61-$BS62</f>
        <v/>
      </c>
      <c r="EG61" s="56">
        <f>$BT61-$BT62</f>
        <v/>
      </c>
      <c r="EH61" s="56">
        <f>$BU61-$BU62</f>
        <v/>
      </c>
    </row>
    <row r="62">
      <c r="BV62" s="56">
        <f>($D62-$D63)*100</f>
        <v/>
      </c>
      <c r="BW62" s="56">
        <f>($C62-$C63)*100</f>
        <v/>
      </c>
      <c r="BX62" s="57">
        <f>IFERROR($I62/$I63-1,"")</f>
        <v/>
      </c>
      <c r="BY62" s="56">
        <f>($AF62-$AF63)*100</f>
        <v/>
      </c>
      <c r="BZ62" s="56">
        <f>($AG62-$AG63)*100</f>
        <v/>
      </c>
      <c r="CA62" s="56">
        <f>($AH62-$AH63)*100</f>
        <v/>
      </c>
      <c r="CB62" s="56">
        <f>($AI62-$AI63)*100</f>
        <v/>
      </c>
      <c r="CC62" s="56">
        <f>($AJ62-$AJ63)*100</f>
        <v/>
      </c>
      <c r="CD62" s="56">
        <f>($AK62-$AK63)*100</f>
        <v/>
      </c>
      <c r="CE62" s="56">
        <f>($AL62-$AL63)*100</f>
        <v/>
      </c>
      <c r="CF62" s="56">
        <f>($AM62-$AM63)*100</f>
        <v/>
      </c>
      <c r="CG62" s="56">
        <f>($AN62-$AN63)*100</f>
        <v/>
      </c>
      <c r="CH62" s="56">
        <f>($AO62-$AO63)*100</f>
        <v/>
      </c>
      <c r="CI62" s="56">
        <f>($AP62-$AP63)*100</f>
        <v/>
      </c>
      <c r="CJ62" s="56">
        <f>($AQ62-$AQ63)*100</f>
        <v/>
      </c>
      <c r="CK62" s="56">
        <f>($AR62-$AR63)*100</f>
        <v/>
      </c>
      <c r="CL62" s="56">
        <f>($AS62-$AS63)*100</f>
        <v/>
      </c>
      <c r="CM62" s="56">
        <f>($AT62-$AT63)*100</f>
        <v/>
      </c>
      <c r="CN62" s="56">
        <f>($AU62-$AU63)*100</f>
        <v/>
      </c>
      <c r="CO62" s="56">
        <f>($AV62-$AV63)*100</f>
        <v/>
      </c>
      <c r="CP62" s="56">
        <f>($AW62-$AW63)*100</f>
        <v/>
      </c>
      <c r="CQ62" s="56">
        <f>($AX62-$AX63)*100</f>
        <v/>
      </c>
      <c r="CR62" s="56">
        <f>($AY62-$AY63)*100</f>
        <v/>
      </c>
      <c r="CS62" s="57">
        <f>IFERROR($L63/$L62-1,"")</f>
        <v/>
      </c>
      <c r="CT62" s="57">
        <f>IFERROR($M63/$M62-1,"")</f>
        <v/>
      </c>
      <c r="CU62" s="57">
        <f>IFERROR($N63/$N62-1,"")</f>
        <v/>
      </c>
      <c r="CV62" s="57">
        <f>IFERROR($O63/$O62-1,"")</f>
        <v/>
      </c>
      <c r="CW62" s="57">
        <f>IFERROR($P63/$P62-1,"")</f>
        <v/>
      </c>
      <c r="CX62" s="57">
        <f>IFERROR($Q63/$Q62-1,"")</f>
        <v/>
      </c>
      <c r="CY62" s="57">
        <f>IFERROR($R63/$R62-1,"")</f>
        <v/>
      </c>
      <c r="CZ62" s="57">
        <f>IFERROR($S63/$S62-1,"")</f>
        <v/>
      </c>
      <c r="DA62" s="57">
        <f>IFERROR($T63/$T62-1,"")</f>
        <v/>
      </c>
      <c r="DB62" s="57">
        <f>IFERROR($U63/$U62-1,"")</f>
        <v/>
      </c>
      <c r="DC62" s="57">
        <f>IFERROR($V63/$V62-1,"")</f>
        <v/>
      </c>
      <c r="DD62" s="57">
        <f>IFERROR($W63/$W62-1,"")</f>
        <v/>
      </c>
      <c r="DE62" s="57">
        <f>IFERROR($X63/$X62-1,"")</f>
        <v/>
      </c>
      <c r="DF62" s="57">
        <f>IFERROR($Y63/$Y62-1,"")</f>
        <v/>
      </c>
      <c r="DG62" s="57">
        <f>IFERROR($Z63/$Z62-1,"")</f>
        <v/>
      </c>
      <c r="DH62" s="57">
        <f>IFERROR($AA63/$AA62-1,"")</f>
        <v/>
      </c>
      <c r="DI62" s="57">
        <f>IFERROR($AB63/$AB62-1,"")</f>
        <v/>
      </c>
      <c r="DJ62" s="57">
        <f>IFERROR($AC63/$AC62-1,"")</f>
        <v/>
      </c>
      <c r="DK62" s="57">
        <f>IFERROR($AD63/$AD62-1,"")</f>
        <v/>
      </c>
      <c r="DL62" s="57">
        <f>IFERROR($AE63/$AE62-1,"")</f>
        <v/>
      </c>
      <c r="DM62" s="56">
        <f>$AZ62-$AZ63</f>
        <v/>
      </c>
      <c r="DN62" s="56">
        <f>$BA62-$BA63</f>
        <v/>
      </c>
      <c r="DO62" s="56">
        <f>$BB62-$BB63</f>
        <v/>
      </c>
      <c r="DP62" s="56">
        <f>$BC62-$BC63</f>
        <v/>
      </c>
      <c r="DQ62" s="56">
        <f>$BD62-$BD63</f>
        <v/>
      </c>
      <c r="DR62" s="56">
        <f>$BE62-$BE63</f>
        <v/>
      </c>
      <c r="DS62" s="56">
        <f>$BF62-$BF63</f>
        <v/>
      </c>
      <c r="DT62" s="56">
        <f>$BG62-$BG63</f>
        <v/>
      </c>
      <c r="DU62" s="56">
        <f>$BH62-$BH63</f>
        <v/>
      </c>
      <c r="DV62" s="56">
        <f>$BI62-$BI63</f>
        <v/>
      </c>
      <c r="DW62" s="56">
        <f>$BJ62-$BJ63</f>
        <v/>
      </c>
      <c r="DX62" s="56">
        <f>$BK62-$BK63</f>
        <v/>
      </c>
      <c r="DY62" s="56">
        <f>$BL62-$BL63</f>
        <v/>
      </c>
      <c r="DZ62" s="56">
        <f>$BM62-$BM63</f>
        <v/>
      </c>
      <c r="EA62" s="56">
        <f>$BN62-$BN63</f>
        <v/>
      </c>
      <c r="EB62" s="56">
        <f>$BO62-$BO63</f>
        <v/>
      </c>
      <c r="EC62" s="56">
        <f>$BP62-$BP63</f>
        <v/>
      </c>
      <c r="ED62" s="56">
        <f>$BQ62-$BQ63</f>
        <v/>
      </c>
      <c r="EE62" s="56">
        <f>$BR62-$BR63</f>
        <v/>
      </c>
      <c r="EF62" s="56">
        <f>$BS62-$BS63</f>
        <v/>
      </c>
      <c r="EG62" s="56">
        <f>$BT62-$BT63</f>
        <v/>
      </c>
      <c r="EH62" s="56">
        <f>$BU62-$BU63</f>
        <v/>
      </c>
    </row>
    <row r="63">
      <c r="BV63" s="56">
        <f>($D63-$D64)*100</f>
        <v/>
      </c>
      <c r="BW63" s="56">
        <f>($C63-$C64)*100</f>
        <v/>
      </c>
      <c r="BX63" s="57">
        <f>IFERROR($I63/$I64-1,"")</f>
        <v/>
      </c>
      <c r="BY63" s="56">
        <f>($AF63-$AF64)*100</f>
        <v/>
      </c>
      <c r="BZ63" s="56">
        <f>($AG63-$AG64)*100</f>
        <v/>
      </c>
      <c r="CA63" s="56">
        <f>($AH63-$AH64)*100</f>
        <v/>
      </c>
      <c r="CB63" s="56">
        <f>($AI63-$AI64)*100</f>
        <v/>
      </c>
      <c r="CC63" s="56">
        <f>($AJ63-$AJ64)*100</f>
        <v/>
      </c>
      <c r="CD63" s="56">
        <f>($AK63-$AK64)*100</f>
        <v/>
      </c>
      <c r="CE63" s="56">
        <f>($AL63-$AL64)*100</f>
        <v/>
      </c>
      <c r="CF63" s="56">
        <f>($AM63-$AM64)*100</f>
        <v/>
      </c>
      <c r="CG63" s="56">
        <f>($AN63-$AN64)*100</f>
        <v/>
      </c>
      <c r="CH63" s="56">
        <f>($AO63-$AO64)*100</f>
        <v/>
      </c>
      <c r="CI63" s="56">
        <f>($AP63-$AP64)*100</f>
        <v/>
      </c>
      <c r="CJ63" s="56">
        <f>($AQ63-$AQ64)*100</f>
        <v/>
      </c>
      <c r="CK63" s="56">
        <f>($AR63-$AR64)*100</f>
        <v/>
      </c>
      <c r="CL63" s="56">
        <f>($AS63-$AS64)*100</f>
        <v/>
      </c>
      <c r="CM63" s="56">
        <f>($AT63-$AT64)*100</f>
        <v/>
      </c>
      <c r="CN63" s="56">
        <f>($AU63-$AU64)*100</f>
        <v/>
      </c>
      <c r="CO63" s="56">
        <f>($AV63-$AV64)*100</f>
        <v/>
      </c>
      <c r="CP63" s="56">
        <f>($AW63-$AW64)*100</f>
        <v/>
      </c>
      <c r="CQ63" s="56">
        <f>($AX63-$AX64)*100</f>
        <v/>
      </c>
      <c r="CR63" s="56">
        <f>($AY63-$AY64)*100</f>
        <v/>
      </c>
      <c r="CS63" s="57">
        <f>IFERROR($L64/$L63-1,"")</f>
        <v/>
      </c>
      <c r="CT63" s="57">
        <f>IFERROR($M64/$M63-1,"")</f>
        <v/>
      </c>
      <c r="CU63" s="57">
        <f>IFERROR($N64/$N63-1,"")</f>
        <v/>
      </c>
      <c r="CV63" s="57">
        <f>IFERROR($O64/$O63-1,"")</f>
        <v/>
      </c>
      <c r="CW63" s="57">
        <f>IFERROR($P64/$P63-1,"")</f>
        <v/>
      </c>
      <c r="CX63" s="57">
        <f>IFERROR($Q64/$Q63-1,"")</f>
        <v/>
      </c>
      <c r="CY63" s="57">
        <f>IFERROR($R64/$R63-1,"")</f>
        <v/>
      </c>
      <c r="CZ63" s="57">
        <f>IFERROR($S64/$S63-1,"")</f>
        <v/>
      </c>
      <c r="DA63" s="57">
        <f>IFERROR($T64/$T63-1,"")</f>
        <v/>
      </c>
      <c r="DB63" s="57">
        <f>IFERROR($U64/$U63-1,"")</f>
        <v/>
      </c>
      <c r="DC63" s="57">
        <f>IFERROR($V64/$V63-1,"")</f>
        <v/>
      </c>
      <c r="DD63" s="57">
        <f>IFERROR($W64/$W63-1,"")</f>
        <v/>
      </c>
      <c r="DE63" s="57">
        <f>IFERROR($X64/$X63-1,"")</f>
        <v/>
      </c>
      <c r="DF63" s="57">
        <f>IFERROR($Y64/$Y63-1,"")</f>
        <v/>
      </c>
      <c r="DG63" s="57">
        <f>IFERROR($Z64/$Z63-1,"")</f>
        <v/>
      </c>
      <c r="DH63" s="57">
        <f>IFERROR($AA64/$AA63-1,"")</f>
        <v/>
      </c>
      <c r="DI63" s="57">
        <f>IFERROR($AB64/$AB63-1,"")</f>
        <v/>
      </c>
      <c r="DJ63" s="57">
        <f>IFERROR($AC64/$AC63-1,"")</f>
        <v/>
      </c>
      <c r="DK63" s="57">
        <f>IFERROR($AD64/$AD63-1,"")</f>
        <v/>
      </c>
      <c r="DL63" s="57">
        <f>IFERROR($AE64/$AE63-1,"")</f>
        <v/>
      </c>
      <c r="DM63" s="56">
        <f>$AZ63-$AZ64</f>
        <v/>
      </c>
      <c r="DN63" s="56">
        <f>$BA63-$BA64</f>
        <v/>
      </c>
      <c r="DO63" s="56">
        <f>$BB63-$BB64</f>
        <v/>
      </c>
      <c r="DP63" s="56">
        <f>$BC63-$BC64</f>
        <v/>
      </c>
      <c r="DQ63" s="56">
        <f>$BD63-$BD64</f>
        <v/>
      </c>
      <c r="DR63" s="56">
        <f>$BE63-$BE64</f>
        <v/>
      </c>
      <c r="DS63" s="56">
        <f>$BF63-$BF64</f>
        <v/>
      </c>
      <c r="DT63" s="56">
        <f>$BG63-$BG64</f>
        <v/>
      </c>
      <c r="DU63" s="56">
        <f>$BH63-$BH64</f>
        <v/>
      </c>
      <c r="DV63" s="56">
        <f>$BI63-$BI64</f>
        <v/>
      </c>
      <c r="DW63" s="56">
        <f>$BJ63-$BJ64</f>
        <v/>
      </c>
      <c r="DX63" s="56">
        <f>$BK63-$BK64</f>
        <v/>
      </c>
      <c r="DY63" s="56">
        <f>$BL63-$BL64</f>
        <v/>
      </c>
      <c r="DZ63" s="56">
        <f>$BM63-$BM64</f>
        <v/>
      </c>
      <c r="EA63" s="56">
        <f>$BN63-$BN64</f>
        <v/>
      </c>
      <c r="EB63" s="56">
        <f>$BO63-$BO64</f>
        <v/>
      </c>
      <c r="EC63" s="56">
        <f>$BP63-$BP64</f>
        <v/>
      </c>
      <c r="ED63" s="56">
        <f>$BQ63-$BQ64</f>
        <v/>
      </c>
      <c r="EE63" s="56">
        <f>$BR63-$BR64</f>
        <v/>
      </c>
      <c r="EF63" s="56">
        <f>$BS63-$BS64</f>
        <v/>
      </c>
      <c r="EG63" s="56">
        <f>$BT63-$BT64</f>
        <v/>
      </c>
      <c r="EH63" s="56">
        <f>$BU63-$BU64</f>
        <v/>
      </c>
    </row>
    <row r="64">
      <c r="BV64" s="56">
        <f>($D64-$D65)*100</f>
        <v/>
      </c>
      <c r="BW64" s="56">
        <f>($C64-$C65)*100</f>
        <v/>
      </c>
      <c r="BX64" s="57">
        <f>IFERROR($I64/$I65-1,"")</f>
        <v/>
      </c>
      <c r="BY64" s="56">
        <f>($AF64-$AF65)*100</f>
        <v/>
      </c>
      <c r="BZ64" s="56">
        <f>($AG64-$AG65)*100</f>
        <v/>
      </c>
      <c r="CA64" s="56">
        <f>($AH64-$AH65)*100</f>
        <v/>
      </c>
      <c r="CB64" s="56">
        <f>($AI64-$AI65)*100</f>
        <v/>
      </c>
      <c r="CC64" s="56">
        <f>($AJ64-$AJ65)*100</f>
        <v/>
      </c>
      <c r="CD64" s="56">
        <f>($AK64-$AK65)*100</f>
        <v/>
      </c>
      <c r="CE64" s="56">
        <f>($AL64-$AL65)*100</f>
        <v/>
      </c>
      <c r="CF64" s="56">
        <f>($AM64-$AM65)*100</f>
        <v/>
      </c>
      <c r="CG64" s="56">
        <f>($AN64-$AN65)*100</f>
        <v/>
      </c>
      <c r="CH64" s="56">
        <f>($AO64-$AO65)*100</f>
        <v/>
      </c>
      <c r="CI64" s="56">
        <f>($AP64-$AP65)*100</f>
        <v/>
      </c>
      <c r="CJ64" s="56">
        <f>($AQ64-$AQ65)*100</f>
        <v/>
      </c>
      <c r="CK64" s="56">
        <f>($AR64-$AR65)*100</f>
        <v/>
      </c>
      <c r="CL64" s="56">
        <f>($AS64-$AS65)*100</f>
        <v/>
      </c>
      <c r="CM64" s="56">
        <f>($AT64-$AT65)*100</f>
        <v/>
      </c>
      <c r="CN64" s="56">
        <f>($AU64-$AU65)*100</f>
        <v/>
      </c>
      <c r="CO64" s="56">
        <f>($AV64-$AV65)*100</f>
        <v/>
      </c>
      <c r="CP64" s="56">
        <f>($AW64-$AW65)*100</f>
        <v/>
      </c>
      <c r="CQ64" s="56">
        <f>($AX64-$AX65)*100</f>
        <v/>
      </c>
      <c r="CR64" s="56">
        <f>($AY64-$AY65)*100</f>
        <v/>
      </c>
      <c r="CS64" s="57">
        <f>IFERROR($L65/$L64-1,"")</f>
        <v/>
      </c>
      <c r="CT64" s="57">
        <f>IFERROR($M65/$M64-1,"")</f>
        <v/>
      </c>
      <c r="CU64" s="57">
        <f>IFERROR($N65/$N64-1,"")</f>
        <v/>
      </c>
      <c r="CV64" s="57">
        <f>IFERROR($O65/$O64-1,"")</f>
        <v/>
      </c>
      <c r="CW64" s="57">
        <f>IFERROR($P65/$P64-1,"")</f>
        <v/>
      </c>
      <c r="CX64" s="57">
        <f>IFERROR($Q65/$Q64-1,"")</f>
        <v/>
      </c>
      <c r="CY64" s="57">
        <f>IFERROR($R65/$R64-1,"")</f>
        <v/>
      </c>
      <c r="CZ64" s="57">
        <f>IFERROR($S65/$S64-1,"")</f>
        <v/>
      </c>
      <c r="DA64" s="57">
        <f>IFERROR($T65/$T64-1,"")</f>
        <v/>
      </c>
      <c r="DB64" s="57">
        <f>IFERROR($U65/$U64-1,"")</f>
        <v/>
      </c>
      <c r="DC64" s="57">
        <f>IFERROR($V65/$V64-1,"")</f>
        <v/>
      </c>
      <c r="DD64" s="57">
        <f>IFERROR($W65/$W64-1,"")</f>
        <v/>
      </c>
      <c r="DE64" s="57">
        <f>IFERROR($X65/$X64-1,"")</f>
        <v/>
      </c>
      <c r="DF64" s="57">
        <f>IFERROR($Y65/$Y64-1,"")</f>
        <v/>
      </c>
      <c r="DG64" s="57">
        <f>IFERROR($Z65/$Z64-1,"")</f>
        <v/>
      </c>
      <c r="DH64" s="57">
        <f>IFERROR($AA65/$AA64-1,"")</f>
        <v/>
      </c>
      <c r="DI64" s="57">
        <f>IFERROR($AB65/$AB64-1,"")</f>
        <v/>
      </c>
      <c r="DJ64" s="57">
        <f>IFERROR($AC65/$AC64-1,"")</f>
        <v/>
      </c>
      <c r="DK64" s="57">
        <f>IFERROR($AD65/$AD64-1,"")</f>
        <v/>
      </c>
      <c r="DL64" s="57">
        <f>IFERROR($AE65/$AE64-1,"")</f>
        <v/>
      </c>
      <c r="DM64" s="56">
        <f>$AZ64-$AZ65</f>
        <v/>
      </c>
      <c r="DN64" s="56">
        <f>$BA64-$BA65</f>
        <v/>
      </c>
      <c r="DO64" s="56">
        <f>$BB64-$BB65</f>
        <v/>
      </c>
      <c r="DP64" s="56">
        <f>$BC64-$BC65</f>
        <v/>
      </c>
      <c r="DQ64" s="56">
        <f>$BD64-$BD65</f>
        <v/>
      </c>
      <c r="DR64" s="56">
        <f>$BE64-$BE65</f>
        <v/>
      </c>
      <c r="DS64" s="56">
        <f>$BF64-$BF65</f>
        <v/>
      </c>
      <c r="DT64" s="56">
        <f>$BG64-$BG65</f>
        <v/>
      </c>
      <c r="DU64" s="56">
        <f>$BH64-$BH65</f>
        <v/>
      </c>
      <c r="DV64" s="56">
        <f>$BI64-$BI65</f>
        <v/>
      </c>
      <c r="DW64" s="56">
        <f>$BJ64-$BJ65</f>
        <v/>
      </c>
      <c r="DX64" s="56">
        <f>$BK64-$BK65</f>
        <v/>
      </c>
      <c r="DY64" s="56">
        <f>$BL64-$BL65</f>
        <v/>
      </c>
      <c r="DZ64" s="56">
        <f>$BM64-$BM65</f>
        <v/>
      </c>
      <c r="EA64" s="56">
        <f>$BN64-$BN65</f>
        <v/>
      </c>
      <c r="EB64" s="56">
        <f>$BO64-$BO65</f>
        <v/>
      </c>
      <c r="EC64" s="56">
        <f>$BP64-$BP65</f>
        <v/>
      </c>
      <c r="ED64" s="56">
        <f>$BQ64-$BQ65</f>
        <v/>
      </c>
      <c r="EE64" s="56">
        <f>$BR64-$BR65</f>
        <v/>
      </c>
      <c r="EF64" s="56">
        <f>$BS64-$BS65</f>
        <v/>
      </c>
      <c r="EG64" s="56">
        <f>$BT64-$BT65</f>
        <v/>
      </c>
      <c r="EH64" s="56">
        <f>$BU64-$BU65</f>
        <v/>
      </c>
    </row>
    <row r="65">
      <c r="BV65" s="56">
        <f>($D65-$D66)*100</f>
        <v/>
      </c>
      <c r="BW65" s="56">
        <f>($C65-$C66)*100</f>
        <v/>
      </c>
      <c r="BX65" s="57">
        <f>IFERROR($I65/$I66-1,"")</f>
        <v/>
      </c>
      <c r="BY65" s="56">
        <f>($AF65-$AF66)*100</f>
        <v/>
      </c>
      <c r="BZ65" s="56">
        <f>($AG65-$AG66)*100</f>
        <v/>
      </c>
      <c r="CA65" s="56">
        <f>($AH65-$AH66)*100</f>
        <v/>
      </c>
      <c r="CB65" s="56">
        <f>($AI65-$AI66)*100</f>
        <v/>
      </c>
      <c r="CC65" s="56">
        <f>($AJ65-$AJ66)*100</f>
        <v/>
      </c>
      <c r="CD65" s="56">
        <f>($AK65-$AK66)*100</f>
        <v/>
      </c>
      <c r="CE65" s="56">
        <f>($AL65-$AL66)*100</f>
        <v/>
      </c>
      <c r="CF65" s="56">
        <f>($AM65-$AM66)*100</f>
        <v/>
      </c>
      <c r="CG65" s="56">
        <f>($AN65-$AN66)*100</f>
        <v/>
      </c>
      <c r="CH65" s="56">
        <f>($AO65-$AO66)*100</f>
        <v/>
      </c>
      <c r="CI65" s="56">
        <f>($AP65-$AP66)*100</f>
        <v/>
      </c>
      <c r="CJ65" s="56">
        <f>($AQ65-$AQ66)*100</f>
        <v/>
      </c>
      <c r="CK65" s="56">
        <f>($AR65-$AR66)*100</f>
        <v/>
      </c>
      <c r="CL65" s="56">
        <f>($AS65-$AS66)*100</f>
        <v/>
      </c>
      <c r="CM65" s="56">
        <f>($AT65-$AT66)*100</f>
        <v/>
      </c>
      <c r="CN65" s="56">
        <f>($AU65-$AU66)*100</f>
        <v/>
      </c>
      <c r="CO65" s="56">
        <f>($AV65-$AV66)*100</f>
        <v/>
      </c>
      <c r="CP65" s="56">
        <f>($AW65-$AW66)*100</f>
        <v/>
      </c>
      <c r="CQ65" s="56">
        <f>($AX65-$AX66)*100</f>
        <v/>
      </c>
      <c r="CR65" s="56">
        <f>($AY65-$AY66)*100</f>
        <v/>
      </c>
      <c r="CS65" s="57">
        <f>IFERROR($L66/$L65-1,"")</f>
        <v/>
      </c>
      <c r="CT65" s="57">
        <f>IFERROR($M66/$M65-1,"")</f>
        <v/>
      </c>
      <c r="CU65" s="57">
        <f>IFERROR($N66/$N65-1,"")</f>
        <v/>
      </c>
      <c r="CV65" s="57">
        <f>IFERROR($O66/$O65-1,"")</f>
        <v/>
      </c>
      <c r="CW65" s="57">
        <f>IFERROR($P66/$P65-1,"")</f>
        <v/>
      </c>
      <c r="CX65" s="57">
        <f>IFERROR($Q66/$Q65-1,"")</f>
        <v/>
      </c>
      <c r="CY65" s="57">
        <f>IFERROR($R66/$R65-1,"")</f>
        <v/>
      </c>
      <c r="CZ65" s="57">
        <f>IFERROR($S66/$S65-1,"")</f>
        <v/>
      </c>
      <c r="DA65" s="57">
        <f>IFERROR($T66/$T65-1,"")</f>
        <v/>
      </c>
      <c r="DB65" s="57">
        <f>IFERROR($U66/$U65-1,"")</f>
        <v/>
      </c>
      <c r="DC65" s="57">
        <f>IFERROR($V66/$V65-1,"")</f>
        <v/>
      </c>
      <c r="DD65" s="57">
        <f>IFERROR($W66/$W65-1,"")</f>
        <v/>
      </c>
      <c r="DE65" s="57">
        <f>IFERROR($X66/$X65-1,"")</f>
        <v/>
      </c>
      <c r="DF65" s="57">
        <f>IFERROR($Y66/$Y65-1,"")</f>
        <v/>
      </c>
      <c r="DG65" s="57">
        <f>IFERROR($Z66/$Z65-1,"")</f>
        <v/>
      </c>
      <c r="DH65" s="57">
        <f>IFERROR($AA66/$AA65-1,"")</f>
        <v/>
      </c>
      <c r="DI65" s="57">
        <f>IFERROR($AB66/$AB65-1,"")</f>
        <v/>
      </c>
      <c r="DJ65" s="57">
        <f>IFERROR($AC66/$AC65-1,"")</f>
        <v/>
      </c>
      <c r="DK65" s="57">
        <f>IFERROR($AD66/$AD65-1,"")</f>
        <v/>
      </c>
      <c r="DL65" s="57">
        <f>IFERROR($AE66/$AE65-1,"")</f>
        <v/>
      </c>
      <c r="DM65" s="56">
        <f>$AZ65-$AZ66</f>
        <v/>
      </c>
      <c r="DN65" s="56">
        <f>$BA65-$BA66</f>
        <v/>
      </c>
      <c r="DO65" s="56">
        <f>$BB65-$BB66</f>
        <v/>
      </c>
      <c r="DP65" s="56">
        <f>$BC65-$BC66</f>
        <v/>
      </c>
      <c r="DQ65" s="56">
        <f>$BD65-$BD66</f>
        <v/>
      </c>
      <c r="DR65" s="56">
        <f>$BE65-$BE66</f>
        <v/>
      </c>
      <c r="DS65" s="56">
        <f>$BF65-$BF66</f>
        <v/>
      </c>
      <c r="DT65" s="56">
        <f>$BG65-$BG66</f>
        <v/>
      </c>
      <c r="DU65" s="56">
        <f>$BH65-$BH66</f>
        <v/>
      </c>
      <c r="DV65" s="56">
        <f>$BI65-$BI66</f>
        <v/>
      </c>
      <c r="DW65" s="56">
        <f>$BJ65-$BJ66</f>
        <v/>
      </c>
      <c r="DX65" s="56">
        <f>$BK65-$BK66</f>
        <v/>
      </c>
      <c r="DY65" s="56">
        <f>$BL65-$BL66</f>
        <v/>
      </c>
      <c r="DZ65" s="56">
        <f>$BM65-$BM66</f>
        <v/>
      </c>
      <c r="EA65" s="56">
        <f>$BN65-$BN66</f>
        <v/>
      </c>
      <c r="EB65" s="56">
        <f>$BO65-$BO66</f>
        <v/>
      </c>
      <c r="EC65" s="56">
        <f>$BP65-$BP66</f>
        <v/>
      </c>
      <c r="ED65" s="56">
        <f>$BQ65-$BQ66</f>
        <v/>
      </c>
      <c r="EE65" s="56">
        <f>$BR65-$BR66</f>
        <v/>
      </c>
      <c r="EF65" s="56">
        <f>$BS65-$BS66</f>
        <v/>
      </c>
      <c r="EG65" s="56">
        <f>$BT65-$BT66</f>
        <v/>
      </c>
      <c r="EH65" s="56">
        <f>$BU65-$BU66</f>
        <v/>
      </c>
    </row>
    <row r="66">
      <c r="BV66" s="56">
        <f>($D66-$D67)*100</f>
        <v/>
      </c>
      <c r="BW66" s="56">
        <f>($C66-$C67)*100</f>
        <v/>
      </c>
      <c r="BX66" s="57">
        <f>IFERROR($I66/$I67-1,"")</f>
        <v/>
      </c>
      <c r="BY66" s="56">
        <f>($AF66-$AF67)*100</f>
        <v/>
      </c>
      <c r="BZ66" s="56">
        <f>($AG66-$AG67)*100</f>
        <v/>
      </c>
      <c r="CA66" s="56">
        <f>($AH66-$AH67)*100</f>
        <v/>
      </c>
      <c r="CB66" s="56">
        <f>($AI66-$AI67)*100</f>
        <v/>
      </c>
      <c r="CC66" s="56">
        <f>($AJ66-$AJ67)*100</f>
        <v/>
      </c>
      <c r="CD66" s="56">
        <f>($AK66-$AK67)*100</f>
        <v/>
      </c>
      <c r="CE66" s="56">
        <f>($AL66-$AL67)*100</f>
        <v/>
      </c>
      <c r="CF66" s="56">
        <f>($AM66-$AM67)*100</f>
        <v/>
      </c>
      <c r="CG66" s="56">
        <f>($AN66-$AN67)*100</f>
        <v/>
      </c>
      <c r="CH66" s="56">
        <f>($AO66-$AO67)*100</f>
        <v/>
      </c>
      <c r="CI66" s="56">
        <f>($AP66-$AP67)*100</f>
        <v/>
      </c>
      <c r="CJ66" s="56">
        <f>($AQ66-$AQ67)*100</f>
        <v/>
      </c>
      <c r="CK66" s="56">
        <f>($AR66-$AR67)*100</f>
        <v/>
      </c>
      <c r="CL66" s="56">
        <f>($AS66-$AS67)*100</f>
        <v/>
      </c>
      <c r="CM66" s="56">
        <f>($AT66-$AT67)*100</f>
        <v/>
      </c>
      <c r="CN66" s="56">
        <f>($AU66-$AU67)*100</f>
        <v/>
      </c>
      <c r="CO66" s="56">
        <f>($AV66-$AV67)*100</f>
        <v/>
      </c>
      <c r="CP66" s="56">
        <f>($AW66-$AW67)*100</f>
        <v/>
      </c>
      <c r="CQ66" s="56">
        <f>($AX66-$AX67)*100</f>
        <v/>
      </c>
      <c r="CR66" s="56">
        <f>($AY66-$AY67)*100</f>
        <v/>
      </c>
      <c r="CS66" s="57">
        <f>IFERROR($L67/$L66-1,"")</f>
        <v/>
      </c>
      <c r="CT66" s="57">
        <f>IFERROR($M67/$M66-1,"")</f>
        <v/>
      </c>
      <c r="CU66" s="57">
        <f>IFERROR($N67/$N66-1,"")</f>
        <v/>
      </c>
      <c r="CV66" s="57">
        <f>IFERROR($O67/$O66-1,"")</f>
        <v/>
      </c>
      <c r="CW66" s="57">
        <f>IFERROR($P67/$P66-1,"")</f>
        <v/>
      </c>
      <c r="CX66" s="57">
        <f>IFERROR($Q67/$Q66-1,"")</f>
        <v/>
      </c>
      <c r="CY66" s="57">
        <f>IFERROR($R67/$R66-1,"")</f>
        <v/>
      </c>
      <c r="CZ66" s="57">
        <f>IFERROR($S67/$S66-1,"")</f>
        <v/>
      </c>
      <c r="DA66" s="57">
        <f>IFERROR($T67/$T66-1,"")</f>
        <v/>
      </c>
      <c r="DB66" s="57">
        <f>IFERROR($U67/$U66-1,"")</f>
        <v/>
      </c>
      <c r="DC66" s="57">
        <f>IFERROR($V67/$V66-1,"")</f>
        <v/>
      </c>
      <c r="DD66" s="57">
        <f>IFERROR($W67/$W66-1,"")</f>
        <v/>
      </c>
      <c r="DE66" s="57">
        <f>IFERROR($X67/$X66-1,"")</f>
        <v/>
      </c>
      <c r="DF66" s="57">
        <f>IFERROR($Y67/$Y66-1,"")</f>
        <v/>
      </c>
      <c r="DG66" s="57">
        <f>IFERROR($Z67/$Z66-1,"")</f>
        <v/>
      </c>
      <c r="DH66" s="57">
        <f>IFERROR($AA67/$AA66-1,"")</f>
        <v/>
      </c>
      <c r="DI66" s="57">
        <f>IFERROR($AB67/$AB66-1,"")</f>
        <v/>
      </c>
      <c r="DJ66" s="57">
        <f>IFERROR($AC67/$AC66-1,"")</f>
        <v/>
      </c>
      <c r="DK66" s="57">
        <f>IFERROR($AD67/$AD66-1,"")</f>
        <v/>
      </c>
      <c r="DL66" s="57">
        <f>IFERROR($AE67/$AE66-1,"")</f>
        <v/>
      </c>
      <c r="DM66" s="56">
        <f>$AZ66-$AZ67</f>
        <v/>
      </c>
      <c r="DN66" s="56">
        <f>$BA66-$BA67</f>
        <v/>
      </c>
      <c r="DO66" s="56">
        <f>$BB66-$BB67</f>
        <v/>
      </c>
      <c r="DP66" s="56">
        <f>$BC66-$BC67</f>
        <v/>
      </c>
      <c r="DQ66" s="56">
        <f>$BD66-$BD67</f>
        <v/>
      </c>
      <c r="DR66" s="56">
        <f>$BE66-$BE67</f>
        <v/>
      </c>
      <c r="DS66" s="56">
        <f>$BF66-$BF67</f>
        <v/>
      </c>
      <c r="DT66" s="56">
        <f>$BG66-$BG67</f>
        <v/>
      </c>
      <c r="DU66" s="56">
        <f>$BH66-$BH67</f>
        <v/>
      </c>
      <c r="DV66" s="56">
        <f>$BI66-$BI67</f>
        <v/>
      </c>
      <c r="DW66" s="56">
        <f>$BJ66-$BJ67</f>
        <v/>
      </c>
      <c r="DX66" s="56">
        <f>$BK66-$BK67</f>
        <v/>
      </c>
      <c r="DY66" s="56">
        <f>$BL66-$BL67</f>
        <v/>
      </c>
      <c r="DZ66" s="56">
        <f>$BM66-$BM67</f>
        <v/>
      </c>
      <c r="EA66" s="56">
        <f>$BN66-$BN67</f>
        <v/>
      </c>
      <c r="EB66" s="56">
        <f>$BO66-$BO67</f>
        <v/>
      </c>
      <c r="EC66" s="56">
        <f>$BP66-$BP67</f>
        <v/>
      </c>
      <c r="ED66" s="56">
        <f>$BQ66-$BQ67</f>
        <v/>
      </c>
      <c r="EE66" s="56">
        <f>$BR66-$BR67</f>
        <v/>
      </c>
      <c r="EF66" s="56">
        <f>$BS66-$BS67</f>
        <v/>
      </c>
      <c r="EG66" s="56">
        <f>$BT66-$BT67</f>
        <v/>
      </c>
      <c r="EH66" s="56">
        <f>$BU66-$BU67</f>
        <v/>
      </c>
    </row>
    <row r="67">
      <c r="BV67" s="56">
        <f>($D67-$D68)*100</f>
        <v/>
      </c>
      <c r="BW67" s="56">
        <f>($C67-$C68)*100</f>
        <v/>
      </c>
      <c r="BX67" s="57">
        <f>IFERROR($I67/$I68-1,"")</f>
        <v/>
      </c>
      <c r="BY67" s="56">
        <f>($AF67-$AF68)*100</f>
        <v/>
      </c>
      <c r="BZ67" s="56">
        <f>($AG67-$AG68)*100</f>
        <v/>
      </c>
      <c r="CA67" s="56">
        <f>($AH67-$AH68)*100</f>
        <v/>
      </c>
      <c r="CB67" s="56">
        <f>($AI67-$AI68)*100</f>
        <v/>
      </c>
      <c r="CC67" s="56">
        <f>($AJ67-$AJ68)*100</f>
        <v/>
      </c>
      <c r="CD67" s="56">
        <f>($AK67-$AK68)*100</f>
        <v/>
      </c>
      <c r="CE67" s="56">
        <f>($AL67-$AL68)*100</f>
        <v/>
      </c>
      <c r="CF67" s="56">
        <f>($AM67-$AM68)*100</f>
        <v/>
      </c>
      <c r="CG67" s="56">
        <f>($AN67-$AN68)*100</f>
        <v/>
      </c>
      <c r="CH67" s="56">
        <f>($AO67-$AO68)*100</f>
        <v/>
      </c>
      <c r="CI67" s="56">
        <f>($AP67-$AP68)*100</f>
        <v/>
      </c>
      <c r="CJ67" s="56">
        <f>($AQ67-$AQ68)*100</f>
        <v/>
      </c>
      <c r="CK67" s="56">
        <f>($AR67-$AR68)*100</f>
        <v/>
      </c>
      <c r="CL67" s="56">
        <f>($AS67-$AS68)*100</f>
        <v/>
      </c>
      <c r="CM67" s="56">
        <f>($AT67-$AT68)*100</f>
        <v/>
      </c>
      <c r="CN67" s="56">
        <f>($AU67-$AU68)*100</f>
        <v/>
      </c>
      <c r="CO67" s="56">
        <f>($AV67-$AV68)*100</f>
        <v/>
      </c>
      <c r="CP67" s="56">
        <f>($AW67-$AW68)*100</f>
        <v/>
      </c>
      <c r="CQ67" s="56">
        <f>($AX67-$AX68)*100</f>
        <v/>
      </c>
      <c r="CR67" s="56">
        <f>($AY67-$AY68)*100</f>
        <v/>
      </c>
      <c r="CS67" s="57">
        <f>IFERROR($L68/$L67-1,"")</f>
        <v/>
      </c>
      <c r="CT67" s="57">
        <f>IFERROR($M68/$M67-1,"")</f>
        <v/>
      </c>
      <c r="CU67" s="57">
        <f>IFERROR($N68/$N67-1,"")</f>
        <v/>
      </c>
      <c r="CV67" s="57">
        <f>IFERROR($O68/$O67-1,"")</f>
        <v/>
      </c>
      <c r="CW67" s="57">
        <f>IFERROR($P68/$P67-1,"")</f>
        <v/>
      </c>
      <c r="CX67" s="57">
        <f>IFERROR($Q68/$Q67-1,"")</f>
        <v/>
      </c>
      <c r="CY67" s="57">
        <f>IFERROR($R68/$R67-1,"")</f>
        <v/>
      </c>
      <c r="CZ67" s="57">
        <f>IFERROR($S68/$S67-1,"")</f>
        <v/>
      </c>
      <c r="DA67" s="57">
        <f>IFERROR($T68/$T67-1,"")</f>
        <v/>
      </c>
      <c r="DB67" s="57">
        <f>IFERROR($U68/$U67-1,"")</f>
        <v/>
      </c>
      <c r="DC67" s="57">
        <f>IFERROR($V68/$V67-1,"")</f>
        <v/>
      </c>
      <c r="DD67" s="57">
        <f>IFERROR($W68/$W67-1,"")</f>
        <v/>
      </c>
      <c r="DE67" s="57">
        <f>IFERROR($X68/$X67-1,"")</f>
        <v/>
      </c>
      <c r="DF67" s="57">
        <f>IFERROR($Y68/$Y67-1,"")</f>
        <v/>
      </c>
      <c r="DG67" s="57">
        <f>IFERROR($Z68/$Z67-1,"")</f>
        <v/>
      </c>
      <c r="DH67" s="57">
        <f>IFERROR($AA68/$AA67-1,"")</f>
        <v/>
      </c>
      <c r="DI67" s="57">
        <f>IFERROR($AB68/$AB67-1,"")</f>
        <v/>
      </c>
      <c r="DJ67" s="57">
        <f>IFERROR($AC68/$AC67-1,"")</f>
        <v/>
      </c>
      <c r="DK67" s="57">
        <f>IFERROR($AD68/$AD67-1,"")</f>
        <v/>
      </c>
      <c r="DL67" s="57">
        <f>IFERROR($AE68/$AE67-1,"")</f>
        <v/>
      </c>
      <c r="DM67" s="56">
        <f>$AZ67-$AZ68</f>
        <v/>
      </c>
      <c r="DN67" s="56">
        <f>$BA67-$BA68</f>
        <v/>
      </c>
      <c r="DO67" s="56">
        <f>$BB67-$BB68</f>
        <v/>
      </c>
      <c r="DP67" s="56">
        <f>$BC67-$BC68</f>
        <v/>
      </c>
      <c r="DQ67" s="56">
        <f>$BD67-$BD68</f>
        <v/>
      </c>
      <c r="DR67" s="56">
        <f>$BE67-$BE68</f>
        <v/>
      </c>
      <c r="DS67" s="56">
        <f>$BF67-$BF68</f>
        <v/>
      </c>
      <c r="DT67" s="56">
        <f>$BG67-$BG68</f>
        <v/>
      </c>
      <c r="DU67" s="56">
        <f>$BH67-$BH68</f>
        <v/>
      </c>
      <c r="DV67" s="56">
        <f>$BI67-$BI68</f>
        <v/>
      </c>
      <c r="DW67" s="56">
        <f>$BJ67-$BJ68</f>
        <v/>
      </c>
      <c r="DX67" s="56">
        <f>$BK67-$BK68</f>
        <v/>
      </c>
      <c r="DY67" s="56">
        <f>$BL67-$BL68</f>
        <v/>
      </c>
      <c r="DZ67" s="56">
        <f>$BM67-$BM68</f>
        <v/>
      </c>
      <c r="EA67" s="56">
        <f>$BN67-$BN68</f>
        <v/>
      </c>
      <c r="EB67" s="56">
        <f>$BO67-$BO68</f>
        <v/>
      </c>
      <c r="EC67" s="56">
        <f>$BP67-$BP68</f>
        <v/>
      </c>
      <c r="ED67" s="56">
        <f>$BQ67-$BQ68</f>
        <v/>
      </c>
      <c r="EE67" s="56">
        <f>$BR67-$BR68</f>
        <v/>
      </c>
      <c r="EF67" s="56">
        <f>$BS67-$BS68</f>
        <v/>
      </c>
      <c r="EG67" s="56">
        <f>$BT67-$BT68</f>
        <v/>
      </c>
      <c r="EH67" s="56">
        <f>$BU67-$BU68</f>
        <v/>
      </c>
    </row>
    <row r="68">
      <c r="BV68" s="56">
        <f>($D68-$D69)*100</f>
        <v/>
      </c>
      <c r="BW68" s="56">
        <f>($C68-$C69)*100</f>
        <v/>
      </c>
      <c r="BX68" s="57">
        <f>IFERROR($I68/$I69-1,"")</f>
        <v/>
      </c>
      <c r="BY68" s="56">
        <f>($AF68-$AF69)*100</f>
        <v/>
      </c>
      <c r="BZ68" s="56">
        <f>($AG68-$AG69)*100</f>
        <v/>
      </c>
      <c r="CA68" s="56">
        <f>($AH68-$AH69)*100</f>
        <v/>
      </c>
      <c r="CB68" s="56">
        <f>($AI68-$AI69)*100</f>
        <v/>
      </c>
      <c r="CC68" s="56">
        <f>($AJ68-$AJ69)*100</f>
        <v/>
      </c>
      <c r="CD68" s="56">
        <f>($AK68-$AK69)*100</f>
        <v/>
      </c>
      <c r="CE68" s="56">
        <f>($AL68-$AL69)*100</f>
        <v/>
      </c>
      <c r="CF68" s="56">
        <f>($AM68-$AM69)*100</f>
        <v/>
      </c>
      <c r="CG68" s="56">
        <f>($AN68-$AN69)*100</f>
        <v/>
      </c>
      <c r="CH68" s="56">
        <f>($AO68-$AO69)*100</f>
        <v/>
      </c>
      <c r="CI68" s="56">
        <f>($AP68-$AP69)*100</f>
        <v/>
      </c>
      <c r="CJ68" s="56">
        <f>($AQ68-$AQ69)*100</f>
        <v/>
      </c>
      <c r="CK68" s="56">
        <f>($AR68-$AR69)*100</f>
        <v/>
      </c>
      <c r="CL68" s="56">
        <f>($AS68-$AS69)*100</f>
        <v/>
      </c>
      <c r="CM68" s="56">
        <f>($AT68-$AT69)*100</f>
        <v/>
      </c>
      <c r="CN68" s="56">
        <f>($AU68-$AU69)*100</f>
        <v/>
      </c>
      <c r="CO68" s="56">
        <f>($AV68-$AV69)*100</f>
        <v/>
      </c>
      <c r="CP68" s="56">
        <f>($AW68-$AW69)*100</f>
        <v/>
      </c>
      <c r="CQ68" s="56">
        <f>($AX68-$AX69)*100</f>
        <v/>
      </c>
      <c r="CR68" s="56">
        <f>($AY68-$AY69)*100</f>
        <v/>
      </c>
      <c r="CS68" s="57">
        <f>IFERROR($L69/$L68-1,"")</f>
        <v/>
      </c>
      <c r="CT68" s="57">
        <f>IFERROR($M69/$M68-1,"")</f>
        <v/>
      </c>
      <c r="CU68" s="57">
        <f>IFERROR($N69/$N68-1,"")</f>
        <v/>
      </c>
      <c r="CV68" s="57">
        <f>IFERROR($O69/$O68-1,"")</f>
        <v/>
      </c>
      <c r="CW68" s="57">
        <f>IFERROR($P69/$P68-1,"")</f>
        <v/>
      </c>
      <c r="CX68" s="57">
        <f>IFERROR($Q69/$Q68-1,"")</f>
        <v/>
      </c>
      <c r="CY68" s="57">
        <f>IFERROR($R69/$R68-1,"")</f>
        <v/>
      </c>
      <c r="CZ68" s="57">
        <f>IFERROR($S69/$S68-1,"")</f>
        <v/>
      </c>
      <c r="DA68" s="57">
        <f>IFERROR($T69/$T68-1,"")</f>
        <v/>
      </c>
      <c r="DB68" s="57">
        <f>IFERROR($U69/$U68-1,"")</f>
        <v/>
      </c>
      <c r="DC68" s="57">
        <f>IFERROR($V69/$V68-1,"")</f>
        <v/>
      </c>
      <c r="DD68" s="57">
        <f>IFERROR($W69/$W68-1,"")</f>
        <v/>
      </c>
      <c r="DE68" s="57">
        <f>IFERROR($X69/$X68-1,"")</f>
        <v/>
      </c>
      <c r="DF68" s="57">
        <f>IFERROR($Y69/$Y68-1,"")</f>
        <v/>
      </c>
      <c r="DG68" s="57">
        <f>IFERROR($Z69/$Z68-1,"")</f>
        <v/>
      </c>
      <c r="DH68" s="57">
        <f>IFERROR($AA69/$AA68-1,"")</f>
        <v/>
      </c>
      <c r="DI68" s="57">
        <f>IFERROR($AB69/$AB68-1,"")</f>
        <v/>
      </c>
      <c r="DJ68" s="57">
        <f>IFERROR($AC69/$AC68-1,"")</f>
        <v/>
      </c>
      <c r="DK68" s="57">
        <f>IFERROR($AD69/$AD68-1,"")</f>
        <v/>
      </c>
      <c r="DL68" s="57">
        <f>IFERROR($AE69/$AE68-1,"")</f>
        <v/>
      </c>
      <c r="DM68" s="56">
        <f>$AZ68-$AZ69</f>
        <v/>
      </c>
      <c r="DN68" s="56">
        <f>$BA68-$BA69</f>
        <v/>
      </c>
      <c r="DO68" s="56">
        <f>$BB68-$BB69</f>
        <v/>
      </c>
      <c r="DP68" s="56">
        <f>$BC68-$BC69</f>
        <v/>
      </c>
      <c r="DQ68" s="56">
        <f>$BD68-$BD69</f>
        <v/>
      </c>
      <c r="DR68" s="56">
        <f>$BE68-$BE69</f>
        <v/>
      </c>
      <c r="DS68" s="56">
        <f>$BF68-$BF69</f>
        <v/>
      </c>
      <c r="DT68" s="56">
        <f>$BG68-$BG69</f>
        <v/>
      </c>
      <c r="DU68" s="56">
        <f>$BH68-$BH69</f>
        <v/>
      </c>
      <c r="DV68" s="56">
        <f>$BI68-$BI69</f>
        <v/>
      </c>
      <c r="DW68" s="56">
        <f>$BJ68-$BJ69</f>
        <v/>
      </c>
      <c r="DX68" s="56">
        <f>$BK68-$BK69</f>
        <v/>
      </c>
      <c r="DY68" s="56">
        <f>$BL68-$BL69</f>
        <v/>
      </c>
      <c r="DZ68" s="56">
        <f>$BM68-$BM69</f>
        <v/>
      </c>
      <c r="EA68" s="56">
        <f>$BN68-$BN69</f>
        <v/>
      </c>
      <c r="EB68" s="56">
        <f>$BO68-$BO69</f>
        <v/>
      </c>
      <c r="EC68" s="56">
        <f>$BP68-$BP69</f>
        <v/>
      </c>
      <c r="ED68" s="56">
        <f>$BQ68-$BQ69</f>
        <v/>
      </c>
      <c r="EE68" s="56">
        <f>$BR68-$BR69</f>
        <v/>
      </c>
      <c r="EF68" s="56">
        <f>$BS68-$BS69</f>
        <v/>
      </c>
      <c r="EG68" s="56">
        <f>$BT68-$BT69</f>
        <v/>
      </c>
      <c r="EH68" s="56">
        <f>$BU68-$BU69</f>
        <v/>
      </c>
    </row>
    <row r="69">
      <c r="BV69" s="56">
        <f>($D69-$D70)*100</f>
        <v/>
      </c>
      <c r="BW69" s="56">
        <f>($C69-$C70)*100</f>
        <v/>
      </c>
      <c r="BX69" s="57">
        <f>IFERROR($I69/$I70-1,"")</f>
        <v/>
      </c>
      <c r="BY69" s="56">
        <f>($AF69-$AF70)*100</f>
        <v/>
      </c>
      <c r="BZ69" s="56">
        <f>($AG69-$AG70)*100</f>
        <v/>
      </c>
      <c r="CA69" s="56">
        <f>($AH69-$AH70)*100</f>
        <v/>
      </c>
      <c r="CB69" s="56">
        <f>($AI69-$AI70)*100</f>
        <v/>
      </c>
      <c r="CC69" s="56">
        <f>($AJ69-$AJ70)*100</f>
        <v/>
      </c>
      <c r="CD69" s="56">
        <f>($AK69-$AK70)*100</f>
        <v/>
      </c>
      <c r="CE69" s="56">
        <f>($AL69-$AL70)*100</f>
        <v/>
      </c>
      <c r="CF69" s="56">
        <f>($AM69-$AM70)*100</f>
        <v/>
      </c>
      <c r="CG69" s="56">
        <f>($AN69-$AN70)*100</f>
        <v/>
      </c>
      <c r="CH69" s="56">
        <f>($AO69-$AO70)*100</f>
        <v/>
      </c>
      <c r="CI69" s="56">
        <f>($AP69-$AP70)*100</f>
        <v/>
      </c>
      <c r="CJ69" s="56">
        <f>($AQ69-$AQ70)*100</f>
        <v/>
      </c>
      <c r="CK69" s="56">
        <f>($AR69-$AR70)*100</f>
        <v/>
      </c>
      <c r="CL69" s="56">
        <f>($AS69-$AS70)*100</f>
        <v/>
      </c>
      <c r="CM69" s="56">
        <f>($AT69-$AT70)*100</f>
        <v/>
      </c>
      <c r="CN69" s="56">
        <f>($AU69-$AU70)*100</f>
        <v/>
      </c>
      <c r="CO69" s="56">
        <f>($AV69-$AV70)*100</f>
        <v/>
      </c>
      <c r="CP69" s="56">
        <f>($AW69-$AW70)*100</f>
        <v/>
      </c>
      <c r="CQ69" s="56">
        <f>($AX69-$AX70)*100</f>
        <v/>
      </c>
      <c r="CR69" s="56">
        <f>($AY69-$AY70)*100</f>
        <v/>
      </c>
      <c r="CS69" s="57">
        <f>IFERROR($L70/$L69-1,"")</f>
        <v/>
      </c>
      <c r="CT69" s="57">
        <f>IFERROR($M70/$M69-1,"")</f>
        <v/>
      </c>
      <c r="CU69" s="57">
        <f>IFERROR($N70/$N69-1,"")</f>
        <v/>
      </c>
      <c r="CV69" s="57">
        <f>IFERROR($O70/$O69-1,"")</f>
        <v/>
      </c>
      <c r="CW69" s="57">
        <f>IFERROR($P70/$P69-1,"")</f>
        <v/>
      </c>
      <c r="CX69" s="57">
        <f>IFERROR($Q70/$Q69-1,"")</f>
        <v/>
      </c>
      <c r="CY69" s="57">
        <f>IFERROR($R70/$R69-1,"")</f>
        <v/>
      </c>
      <c r="CZ69" s="57">
        <f>IFERROR($S70/$S69-1,"")</f>
        <v/>
      </c>
      <c r="DA69" s="57">
        <f>IFERROR($T70/$T69-1,"")</f>
        <v/>
      </c>
      <c r="DB69" s="57">
        <f>IFERROR($U70/$U69-1,"")</f>
        <v/>
      </c>
      <c r="DC69" s="57">
        <f>IFERROR($V70/$V69-1,"")</f>
        <v/>
      </c>
      <c r="DD69" s="57">
        <f>IFERROR($W70/$W69-1,"")</f>
        <v/>
      </c>
      <c r="DE69" s="57">
        <f>IFERROR($X70/$X69-1,"")</f>
        <v/>
      </c>
      <c r="DF69" s="57">
        <f>IFERROR($Y70/$Y69-1,"")</f>
        <v/>
      </c>
      <c r="DG69" s="57">
        <f>IFERROR($Z70/$Z69-1,"")</f>
        <v/>
      </c>
      <c r="DH69" s="57">
        <f>IFERROR($AA70/$AA69-1,"")</f>
        <v/>
      </c>
      <c r="DI69" s="57">
        <f>IFERROR($AB70/$AB69-1,"")</f>
        <v/>
      </c>
      <c r="DJ69" s="57">
        <f>IFERROR($AC70/$AC69-1,"")</f>
        <v/>
      </c>
      <c r="DK69" s="57">
        <f>IFERROR($AD70/$AD69-1,"")</f>
        <v/>
      </c>
      <c r="DL69" s="57">
        <f>IFERROR($AE70/$AE69-1,"")</f>
        <v/>
      </c>
      <c r="DM69" s="56">
        <f>$AZ69-$AZ70</f>
        <v/>
      </c>
      <c r="DN69" s="56">
        <f>$BA69-$BA70</f>
        <v/>
      </c>
      <c r="DO69" s="56">
        <f>$BB69-$BB70</f>
        <v/>
      </c>
      <c r="DP69" s="56">
        <f>$BC69-$BC70</f>
        <v/>
      </c>
      <c r="DQ69" s="56">
        <f>$BD69-$BD70</f>
        <v/>
      </c>
      <c r="DR69" s="56">
        <f>$BE69-$BE70</f>
        <v/>
      </c>
      <c r="DS69" s="56">
        <f>$BF69-$BF70</f>
        <v/>
      </c>
      <c r="DT69" s="56">
        <f>$BG69-$BG70</f>
        <v/>
      </c>
      <c r="DU69" s="56">
        <f>$BH69-$BH70</f>
        <v/>
      </c>
      <c r="DV69" s="56">
        <f>$BI69-$BI70</f>
        <v/>
      </c>
      <c r="DW69" s="56">
        <f>$BJ69-$BJ70</f>
        <v/>
      </c>
      <c r="DX69" s="56">
        <f>$BK69-$BK70</f>
        <v/>
      </c>
      <c r="DY69" s="56">
        <f>$BL69-$BL70</f>
        <v/>
      </c>
      <c r="DZ69" s="56">
        <f>$BM69-$BM70</f>
        <v/>
      </c>
      <c r="EA69" s="56">
        <f>$BN69-$BN70</f>
        <v/>
      </c>
      <c r="EB69" s="56">
        <f>$BO69-$BO70</f>
        <v/>
      </c>
      <c r="EC69" s="56">
        <f>$BP69-$BP70</f>
        <v/>
      </c>
      <c r="ED69" s="56">
        <f>$BQ69-$BQ70</f>
        <v/>
      </c>
      <c r="EE69" s="56">
        <f>$BR69-$BR70</f>
        <v/>
      </c>
      <c r="EF69" s="56">
        <f>$BS69-$BS70</f>
        <v/>
      </c>
      <c r="EG69" s="56">
        <f>$BT69-$BT70</f>
        <v/>
      </c>
      <c r="EH69" s="56">
        <f>$BU69-$BU70</f>
        <v/>
      </c>
    </row>
    <row r="70">
      <c r="BV70" s="56">
        <f>($D70-$D71)*100</f>
        <v/>
      </c>
      <c r="BW70" s="56">
        <f>($C70-$C71)*100</f>
        <v/>
      </c>
      <c r="BX70" s="57">
        <f>IFERROR($I70/$I71-1,"")</f>
        <v/>
      </c>
      <c r="BY70" s="56">
        <f>($AF70-$AF71)*100</f>
        <v/>
      </c>
      <c r="BZ70" s="56">
        <f>($AG70-$AG71)*100</f>
        <v/>
      </c>
      <c r="CA70" s="56">
        <f>($AH70-$AH71)*100</f>
        <v/>
      </c>
      <c r="CB70" s="56">
        <f>($AI70-$AI71)*100</f>
        <v/>
      </c>
      <c r="CC70" s="56">
        <f>($AJ70-$AJ71)*100</f>
        <v/>
      </c>
      <c r="CD70" s="56">
        <f>($AK70-$AK71)*100</f>
        <v/>
      </c>
      <c r="CE70" s="56">
        <f>($AL70-$AL71)*100</f>
        <v/>
      </c>
      <c r="CF70" s="56">
        <f>($AM70-$AM71)*100</f>
        <v/>
      </c>
      <c r="CG70" s="56">
        <f>($AN70-$AN71)*100</f>
        <v/>
      </c>
      <c r="CH70" s="56">
        <f>($AO70-$AO71)*100</f>
        <v/>
      </c>
      <c r="CI70" s="56">
        <f>($AP70-$AP71)*100</f>
        <v/>
      </c>
      <c r="CJ70" s="56">
        <f>($AQ70-$AQ71)*100</f>
        <v/>
      </c>
      <c r="CK70" s="56">
        <f>($AR70-$AR71)*100</f>
        <v/>
      </c>
      <c r="CL70" s="56">
        <f>($AS70-$AS71)*100</f>
        <v/>
      </c>
      <c r="CM70" s="56">
        <f>($AT70-$AT71)*100</f>
        <v/>
      </c>
      <c r="CN70" s="56">
        <f>($AU70-$AU71)*100</f>
        <v/>
      </c>
      <c r="CO70" s="56">
        <f>($AV70-$AV71)*100</f>
        <v/>
      </c>
      <c r="CP70" s="56">
        <f>($AW70-$AW71)*100</f>
        <v/>
      </c>
      <c r="CQ70" s="56">
        <f>($AX70-$AX71)*100</f>
        <v/>
      </c>
      <c r="CR70" s="56">
        <f>($AY70-$AY71)*100</f>
        <v/>
      </c>
      <c r="CS70" s="57">
        <f>IFERROR($L71/$L70-1,"")</f>
        <v/>
      </c>
      <c r="CT70" s="57">
        <f>IFERROR($M71/$M70-1,"")</f>
        <v/>
      </c>
      <c r="CU70" s="57">
        <f>IFERROR($N71/$N70-1,"")</f>
        <v/>
      </c>
      <c r="CV70" s="57">
        <f>IFERROR($O71/$O70-1,"")</f>
        <v/>
      </c>
      <c r="CW70" s="57">
        <f>IFERROR($P71/$P70-1,"")</f>
        <v/>
      </c>
      <c r="CX70" s="57">
        <f>IFERROR($Q71/$Q70-1,"")</f>
        <v/>
      </c>
      <c r="CY70" s="57">
        <f>IFERROR($R71/$R70-1,"")</f>
        <v/>
      </c>
      <c r="CZ70" s="57">
        <f>IFERROR($S71/$S70-1,"")</f>
        <v/>
      </c>
      <c r="DA70" s="57">
        <f>IFERROR($T71/$T70-1,"")</f>
        <v/>
      </c>
      <c r="DB70" s="57">
        <f>IFERROR($U71/$U70-1,"")</f>
        <v/>
      </c>
      <c r="DC70" s="57">
        <f>IFERROR($V71/$V70-1,"")</f>
        <v/>
      </c>
      <c r="DD70" s="57">
        <f>IFERROR($W71/$W70-1,"")</f>
        <v/>
      </c>
      <c r="DE70" s="57">
        <f>IFERROR($X71/$X70-1,"")</f>
        <v/>
      </c>
      <c r="DF70" s="57">
        <f>IFERROR($Y71/$Y70-1,"")</f>
        <v/>
      </c>
      <c r="DG70" s="57">
        <f>IFERROR($Z71/$Z70-1,"")</f>
        <v/>
      </c>
      <c r="DH70" s="57">
        <f>IFERROR($AA71/$AA70-1,"")</f>
        <v/>
      </c>
      <c r="DI70" s="57">
        <f>IFERROR($AB71/$AB70-1,"")</f>
        <v/>
      </c>
      <c r="DJ70" s="57">
        <f>IFERROR($AC71/$AC70-1,"")</f>
        <v/>
      </c>
      <c r="DK70" s="57">
        <f>IFERROR($AD71/$AD70-1,"")</f>
        <v/>
      </c>
      <c r="DL70" s="57">
        <f>IFERROR($AE71/$AE70-1,"")</f>
        <v/>
      </c>
      <c r="DM70" s="56">
        <f>$AZ70-$AZ71</f>
        <v/>
      </c>
      <c r="DN70" s="56">
        <f>$BA70-$BA71</f>
        <v/>
      </c>
      <c r="DO70" s="56">
        <f>$BB70-$BB71</f>
        <v/>
      </c>
      <c r="DP70" s="56">
        <f>$BC70-$BC71</f>
        <v/>
      </c>
      <c r="DQ70" s="56">
        <f>$BD70-$BD71</f>
        <v/>
      </c>
      <c r="DR70" s="56">
        <f>$BE70-$BE71</f>
        <v/>
      </c>
      <c r="DS70" s="56">
        <f>$BF70-$BF71</f>
        <v/>
      </c>
      <c r="DT70" s="56">
        <f>$BG70-$BG71</f>
        <v/>
      </c>
      <c r="DU70" s="56">
        <f>$BH70-$BH71</f>
        <v/>
      </c>
      <c r="DV70" s="56">
        <f>$BI70-$BI71</f>
        <v/>
      </c>
      <c r="DW70" s="56">
        <f>$BJ70-$BJ71</f>
        <v/>
      </c>
      <c r="DX70" s="56">
        <f>$BK70-$BK71</f>
        <v/>
      </c>
      <c r="DY70" s="56">
        <f>$BL70-$BL71</f>
        <v/>
      </c>
      <c r="DZ70" s="56">
        <f>$BM70-$BM71</f>
        <v/>
      </c>
      <c r="EA70" s="56">
        <f>$BN70-$BN71</f>
        <v/>
      </c>
      <c r="EB70" s="56">
        <f>$BO70-$BO71</f>
        <v/>
      </c>
      <c r="EC70" s="56">
        <f>$BP70-$BP71</f>
        <v/>
      </c>
      <c r="ED70" s="56">
        <f>$BQ70-$BQ71</f>
        <v/>
      </c>
      <c r="EE70" s="56">
        <f>$BR70-$BR71</f>
        <v/>
      </c>
      <c r="EF70" s="56">
        <f>$BS70-$BS71</f>
        <v/>
      </c>
      <c r="EG70" s="56">
        <f>$BT70-$BT71</f>
        <v/>
      </c>
      <c r="EH70" s="56">
        <f>$BU70-$BU71</f>
        <v/>
      </c>
    </row>
    <row r="71">
      <c r="BV71" s="56">
        <f>($D71-$D72)*100</f>
        <v/>
      </c>
      <c r="BW71" s="56">
        <f>($C71-$C72)*100</f>
        <v/>
      </c>
      <c r="BX71" s="57">
        <f>IFERROR($I71/$I72-1,"")</f>
        <v/>
      </c>
      <c r="BY71" s="56">
        <f>($AF71-$AF72)*100</f>
        <v/>
      </c>
      <c r="BZ71" s="56">
        <f>($AG71-$AG72)*100</f>
        <v/>
      </c>
      <c r="CA71" s="56">
        <f>($AH71-$AH72)*100</f>
        <v/>
      </c>
      <c r="CB71" s="56">
        <f>($AI71-$AI72)*100</f>
        <v/>
      </c>
      <c r="CC71" s="56">
        <f>($AJ71-$AJ72)*100</f>
        <v/>
      </c>
      <c r="CD71" s="56">
        <f>($AK71-$AK72)*100</f>
        <v/>
      </c>
      <c r="CE71" s="56">
        <f>($AL71-$AL72)*100</f>
        <v/>
      </c>
      <c r="CF71" s="56">
        <f>($AM71-$AM72)*100</f>
        <v/>
      </c>
      <c r="CG71" s="56">
        <f>($AN71-$AN72)*100</f>
        <v/>
      </c>
      <c r="CH71" s="56">
        <f>($AO71-$AO72)*100</f>
        <v/>
      </c>
      <c r="CI71" s="56">
        <f>($AP71-$AP72)*100</f>
        <v/>
      </c>
      <c r="CJ71" s="56">
        <f>($AQ71-$AQ72)*100</f>
        <v/>
      </c>
      <c r="CK71" s="56">
        <f>($AR71-$AR72)*100</f>
        <v/>
      </c>
      <c r="CL71" s="56">
        <f>($AS71-$AS72)*100</f>
        <v/>
      </c>
      <c r="CM71" s="56">
        <f>($AT71-$AT72)*100</f>
        <v/>
      </c>
      <c r="CN71" s="56">
        <f>($AU71-$AU72)*100</f>
        <v/>
      </c>
      <c r="CO71" s="56">
        <f>($AV71-$AV72)*100</f>
        <v/>
      </c>
      <c r="CP71" s="56">
        <f>($AW71-$AW72)*100</f>
        <v/>
      </c>
      <c r="CQ71" s="56">
        <f>($AX71-$AX72)*100</f>
        <v/>
      </c>
      <c r="CR71" s="56">
        <f>($AY71-$AY72)*100</f>
        <v/>
      </c>
      <c r="CS71" s="57">
        <f>IFERROR($L72/$L71-1,"")</f>
        <v/>
      </c>
      <c r="CT71" s="57">
        <f>IFERROR($M72/$M71-1,"")</f>
        <v/>
      </c>
      <c r="CU71" s="57">
        <f>IFERROR($N72/$N71-1,"")</f>
        <v/>
      </c>
      <c r="CV71" s="57">
        <f>IFERROR($O72/$O71-1,"")</f>
        <v/>
      </c>
      <c r="CW71" s="57">
        <f>IFERROR($P72/$P71-1,"")</f>
        <v/>
      </c>
      <c r="CX71" s="57">
        <f>IFERROR($Q72/$Q71-1,"")</f>
        <v/>
      </c>
      <c r="CY71" s="57">
        <f>IFERROR($R72/$R71-1,"")</f>
        <v/>
      </c>
      <c r="CZ71" s="57">
        <f>IFERROR($S72/$S71-1,"")</f>
        <v/>
      </c>
      <c r="DA71" s="57">
        <f>IFERROR($T72/$T71-1,"")</f>
        <v/>
      </c>
      <c r="DB71" s="57">
        <f>IFERROR($U72/$U71-1,"")</f>
        <v/>
      </c>
      <c r="DC71" s="57">
        <f>IFERROR($V72/$V71-1,"")</f>
        <v/>
      </c>
      <c r="DD71" s="57">
        <f>IFERROR($W72/$W71-1,"")</f>
        <v/>
      </c>
      <c r="DE71" s="57">
        <f>IFERROR($X72/$X71-1,"")</f>
        <v/>
      </c>
      <c r="DF71" s="57">
        <f>IFERROR($Y72/$Y71-1,"")</f>
        <v/>
      </c>
      <c r="DG71" s="57">
        <f>IFERROR($Z72/$Z71-1,"")</f>
        <v/>
      </c>
      <c r="DH71" s="57">
        <f>IFERROR($AA72/$AA71-1,"")</f>
        <v/>
      </c>
      <c r="DI71" s="57">
        <f>IFERROR($AB72/$AB71-1,"")</f>
        <v/>
      </c>
      <c r="DJ71" s="57">
        <f>IFERROR($AC72/$AC71-1,"")</f>
        <v/>
      </c>
      <c r="DK71" s="57">
        <f>IFERROR($AD72/$AD71-1,"")</f>
        <v/>
      </c>
      <c r="DL71" s="57">
        <f>IFERROR($AE72/$AE71-1,"")</f>
        <v/>
      </c>
      <c r="DM71" s="56">
        <f>$AZ71-$AZ72</f>
        <v/>
      </c>
      <c r="DN71" s="56">
        <f>$BA71-$BA72</f>
        <v/>
      </c>
      <c r="DO71" s="56">
        <f>$BB71-$BB72</f>
        <v/>
      </c>
      <c r="DP71" s="56">
        <f>$BC71-$BC72</f>
        <v/>
      </c>
      <c r="DQ71" s="56">
        <f>$BD71-$BD72</f>
        <v/>
      </c>
      <c r="DR71" s="56">
        <f>$BE71-$BE72</f>
        <v/>
      </c>
      <c r="DS71" s="56">
        <f>$BF71-$BF72</f>
        <v/>
      </c>
      <c r="DT71" s="56">
        <f>$BG71-$BG72</f>
        <v/>
      </c>
      <c r="DU71" s="56">
        <f>$BH71-$BH72</f>
        <v/>
      </c>
      <c r="DV71" s="56">
        <f>$BI71-$BI72</f>
        <v/>
      </c>
      <c r="DW71" s="56">
        <f>$BJ71-$BJ72</f>
        <v/>
      </c>
      <c r="DX71" s="56">
        <f>$BK71-$BK72</f>
        <v/>
      </c>
      <c r="DY71" s="56">
        <f>$BL71-$BL72</f>
        <v/>
      </c>
      <c r="DZ71" s="56">
        <f>$BM71-$BM72</f>
        <v/>
      </c>
      <c r="EA71" s="56">
        <f>$BN71-$BN72</f>
        <v/>
      </c>
      <c r="EB71" s="56">
        <f>$BO71-$BO72</f>
        <v/>
      </c>
      <c r="EC71" s="56">
        <f>$BP71-$BP72</f>
        <v/>
      </c>
      <c r="ED71" s="56">
        <f>$BQ71-$BQ72</f>
        <v/>
      </c>
      <c r="EE71" s="56">
        <f>$BR71-$BR72</f>
        <v/>
      </c>
      <c r="EF71" s="56">
        <f>$BS71-$BS72</f>
        <v/>
      </c>
      <c r="EG71" s="56">
        <f>$BT71-$BT72</f>
        <v/>
      </c>
      <c r="EH71" s="56">
        <f>$BU71-$BU72</f>
        <v/>
      </c>
    </row>
    <row r="72">
      <c r="BV72" s="56">
        <f>($D72-$D73)*100</f>
        <v/>
      </c>
      <c r="BW72" s="56">
        <f>($C72-$C73)*100</f>
        <v/>
      </c>
      <c r="BX72" s="57">
        <f>IFERROR($I72/$I73-1,"")</f>
        <v/>
      </c>
      <c r="BY72" s="56">
        <f>($AF72-$AF73)*100</f>
        <v/>
      </c>
      <c r="BZ72" s="56">
        <f>($AG72-$AG73)*100</f>
        <v/>
      </c>
      <c r="CA72" s="56">
        <f>($AH72-$AH73)*100</f>
        <v/>
      </c>
      <c r="CB72" s="56">
        <f>($AI72-$AI73)*100</f>
        <v/>
      </c>
      <c r="CC72" s="56">
        <f>($AJ72-$AJ73)*100</f>
        <v/>
      </c>
      <c r="CD72" s="56">
        <f>($AK72-$AK73)*100</f>
        <v/>
      </c>
      <c r="CE72" s="56">
        <f>($AL72-$AL73)*100</f>
        <v/>
      </c>
      <c r="CF72" s="56">
        <f>($AM72-$AM73)*100</f>
        <v/>
      </c>
      <c r="CG72" s="56">
        <f>($AN72-$AN73)*100</f>
        <v/>
      </c>
      <c r="CH72" s="56">
        <f>($AO72-$AO73)*100</f>
        <v/>
      </c>
      <c r="CI72" s="56">
        <f>($AP72-$AP73)*100</f>
        <v/>
      </c>
      <c r="CJ72" s="56">
        <f>($AQ72-$AQ73)*100</f>
        <v/>
      </c>
      <c r="CK72" s="56">
        <f>($AR72-$AR73)*100</f>
        <v/>
      </c>
      <c r="CL72" s="56">
        <f>($AS72-$AS73)*100</f>
        <v/>
      </c>
      <c r="CM72" s="56">
        <f>($AT72-$AT73)*100</f>
        <v/>
      </c>
      <c r="CN72" s="56">
        <f>($AU72-$AU73)*100</f>
        <v/>
      </c>
      <c r="CO72" s="56">
        <f>($AV72-$AV73)*100</f>
        <v/>
      </c>
      <c r="CP72" s="56">
        <f>($AW72-$AW73)*100</f>
        <v/>
      </c>
      <c r="CQ72" s="56">
        <f>($AX72-$AX73)*100</f>
        <v/>
      </c>
      <c r="CR72" s="56">
        <f>($AY72-$AY73)*100</f>
        <v/>
      </c>
      <c r="CS72" s="57">
        <f>IFERROR($L73/$L72-1,"")</f>
        <v/>
      </c>
      <c r="CT72" s="57">
        <f>IFERROR($M73/$M72-1,"")</f>
        <v/>
      </c>
      <c r="CU72" s="57">
        <f>IFERROR($N73/$N72-1,"")</f>
        <v/>
      </c>
      <c r="CV72" s="57">
        <f>IFERROR($O73/$O72-1,"")</f>
        <v/>
      </c>
      <c r="CW72" s="57">
        <f>IFERROR($P73/$P72-1,"")</f>
        <v/>
      </c>
      <c r="CX72" s="57">
        <f>IFERROR($Q73/$Q72-1,"")</f>
        <v/>
      </c>
      <c r="CY72" s="57">
        <f>IFERROR($R73/$R72-1,"")</f>
        <v/>
      </c>
      <c r="CZ72" s="57">
        <f>IFERROR($S73/$S72-1,"")</f>
        <v/>
      </c>
      <c r="DA72" s="57">
        <f>IFERROR($T73/$T72-1,"")</f>
        <v/>
      </c>
      <c r="DB72" s="57">
        <f>IFERROR($U73/$U72-1,"")</f>
        <v/>
      </c>
      <c r="DC72" s="57">
        <f>IFERROR($V73/$V72-1,"")</f>
        <v/>
      </c>
      <c r="DD72" s="57">
        <f>IFERROR($W73/$W72-1,"")</f>
        <v/>
      </c>
      <c r="DE72" s="57">
        <f>IFERROR($X73/$X72-1,"")</f>
        <v/>
      </c>
      <c r="DF72" s="57">
        <f>IFERROR($Y73/$Y72-1,"")</f>
        <v/>
      </c>
      <c r="DG72" s="57">
        <f>IFERROR($Z73/$Z72-1,"")</f>
        <v/>
      </c>
      <c r="DH72" s="57">
        <f>IFERROR($AA73/$AA72-1,"")</f>
        <v/>
      </c>
      <c r="DI72" s="57">
        <f>IFERROR($AB73/$AB72-1,"")</f>
        <v/>
      </c>
      <c r="DJ72" s="57">
        <f>IFERROR($AC73/$AC72-1,"")</f>
        <v/>
      </c>
      <c r="DK72" s="57">
        <f>IFERROR($AD73/$AD72-1,"")</f>
        <v/>
      </c>
      <c r="DL72" s="57">
        <f>IFERROR($AE73/$AE72-1,"")</f>
        <v/>
      </c>
      <c r="DM72" s="56">
        <f>$AZ72-$AZ73</f>
        <v/>
      </c>
      <c r="DN72" s="56">
        <f>$BA72-$BA73</f>
        <v/>
      </c>
      <c r="DO72" s="56">
        <f>$BB72-$BB73</f>
        <v/>
      </c>
      <c r="DP72" s="56">
        <f>$BC72-$BC73</f>
        <v/>
      </c>
      <c r="DQ72" s="56">
        <f>$BD72-$BD73</f>
        <v/>
      </c>
      <c r="DR72" s="56">
        <f>$BE72-$BE73</f>
        <v/>
      </c>
      <c r="DS72" s="56">
        <f>$BF72-$BF73</f>
        <v/>
      </c>
      <c r="DT72" s="56">
        <f>$BG72-$BG73</f>
        <v/>
      </c>
      <c r="DU72" s="56">
        <f>$BH72-$BH73</f>
        <v/>
      </c>
      <c r="DV72" s="56">
        <f>$BI72-$BI73</f>
        <v/>
      </c>
      <c r="DW72" s="56">
        <f>$BJ72-$BJ73</f>
        <v/>
      </c>
      <c r="DX72" s="56">
        <f>$BK72-$BK73</f>
        <v/>
      </c>
      <c r="DY72" s="56">
        <f>$BL72-$BL73</f>
        <v/>
      </c>
      <c r="DZ72" s="56">
        <f>$BM72-$BM73</f>
        <v/>
      </c>
      <c r="EA72" s="56">
        <f>$BN72-$BN73</f>
        <v/>
      </c>
      <c r="EB72" s="56">
        <f>$BO72-$BO73</f>
        <v/>
      </c>
      <c r="EC72" s="56">
        <f>$BP72-$BP73</f>
        <v/>
      </c>
      <c r="ED72" s="56">
        <f>$BQ72-$BQ73</f>
        <v/>
      </c>
      <c r="EE72" s="56">
        <f>$BR72-$BR73</f>
        <v/>
      </c>
      <c r="EF72" s="56">
        <f>$BS72-$BS73</f>
        <v/>
      </c>
      <c r="EG72" s="56">
        <f>$BT72-$BT73</f>
        <v/>
      </c>
      <c r="EH72" s="56">
        <f>$BU72-$BU73</f>
        <v/>
      </c>
    </row>
    <row r="73">
      <c r="BV73" s="56">
        <f>($D73-$D74)*100</f>
        <v/>
      </c>
      <c r="BW73" s="56">
        <f>($C73-$C74)*100</f>
        <v/>
      </c>
      <c r="BX73" s="57">
        <f>IFERROR($I73/$I74-1,"")</f>
        <v/>
      </c>
      <c r="BY73" s="56">
        <f>($AF73-$AF74)*100</f>
        <v/>
      </c>
      <c r="BZ73" s="56">
        <f>($AG73-$AG74)*100</f>
        <v/>
      </c>
      <c r="CA73" s="56">
        <f>($AH73-$AH74)*100</f>
        <v/>
      </c>
      <c r="CB73" s="56">
        <f>($AI73-$AI74)*100</f>
        <v/>
      </c>
      <c r="CC73" s="56">
        <f>($AJ73-$AJ74)*100</f>
        <v/>
      </c>
      <c r="CD73" s="56">
        <f>($AK73-$AK74)*100</f>
        <v/>
      </c>
      <c r="CE73" s="56">
        <f>($AL73-$AL74)*100</f>
        <v/>
      </c>
      <c r="CF73" s="56">
        <f>($AM73-$AM74)*100</f>
        <v/>
      </c>
      <c r="CG73" s="56">
        <f>($AN73-$AN74)*100</f>
        <v/>
      </c>
      <c r="CH73" s="56">
        <f>($AO73-$AO74)*100</f>
        <v/>
      </c>
      <c r="CI73" s="56">
        <f>($AP73-$AP74)*100</f>
        <v/>
      </c>
      <c r="CJ73" s="56">
        <f>($AQ73-$AQ74)*100</f>
        <v/>
      </c>
      <c r="CK73" s="56">
        <f>($AR73-$AR74)*100</f>
        <v/>
      </c>
      <c r="CL73" s="56">
        <f>($AS73-$AS74)*100</f>
        <v/>
      </c>
      <c r="CM73" s="56">
        <f>($AT73-$AT74)*100</f>
        <v/>
      </c>
      <c r="CN73" s="56">
        <f>($AU73-$AU74)*100</f>
        <v/>
      </c>
      <c r="CO73" s="56">
        <f>($AV73-$AV74)*100</f>
        <v/>
      </c>
      <c r="CP73" s="56">
        <f>($AW73-$AW74)*100</f>
        <v/>
      </c>
      <c r="CQ73" s="56">
        <f>($AX73-$AX74)*100</f>
        <v/>
      </c>
      <c r="CR73" s="56">
        <f>($AY73-$AY74)*100</f>
        <v/>
      </c>
      <c r="CS73" s="57">
        <f>IFERROR($L74/$L73-1,"")</f>
        <v/>
      </c>
      <c r="CT73" s="57">
        <f>IFERROR($M74/$M73-1,"")</f>
        <v/>
      </c>
      <c r="CU73" s="57">
        <f>IFERROR($N74/$N73-1,"")</f>
        <v/>
      </c>
      <c r="CV73" s="57">
        <f>IFERROR($O74/$O73-1,"")</f>
        <v/>
      </c>
      <c r="CW73" s="57">
        <f>IFERROR($P74/$P73-1,"")</f>
        <v/>
      </c>
      <c r="CX73" s="57">
        <f>IFERROR($Q74/$Q73-1,"")</f>
        <v/>
      </c>
      <c r="CY73" s="57">
        <f>IFERROR($R74/$R73-1,"")</f>
        <v/>
      </c>
      <c r="CZ73" s="57">
        <f>IFERROR($S74/$S73-1,"")</f>
        <v/>
      </c>
      <c r="DA73" s="57">
        <f>IFERROR($T74/$T73-1,"")</f>
        <v/>
      </c>
      <c r="DB73" s="57">
        <f>IFERROR($U74/$U73-1,"")</f>
        <v/>
      </c>
      <c r="DC73" s="57">
        <f>IFERROR($V74/$V73-1,"")</f>
        <v/>
      </c>
      <c r="DD73" s="57">
        <f>IFERROR($W74/$W73-1,"")</f>
        <v/>
      </c>
      <c r="DE73" s="57">
        <f>IFERROR($X74/$X73-1,"")</f>
        <v/>
      </c>
      <c r="DF73" s="57">
        <f>IFERROR($Y74/$Y73-1,"")</f>
        <v/>
      </c>
      <c r="DG73" s="57">
        <f>IFERROR($Z74/$Z73-1,"")</f>
        <v/>
      </c>
      <c r="DH73" s="57">
        <f>IFERROR($AA74/$AA73-1,"")</f>
        <v/>
      </c>
      <c r="DI73" s="57">
        <f>IFERROR($AB74/$AB73-1,"")</f>
        <v/>
      </c>
      <c r="DJ73" s="57">
        <f>IFERROR($AC74/$AC73-1,"")</f>
        <v/>
      </c>
      <c r="DK73" s="57">
        <f>IFERROR($AD74/$AD73-1,"")</f>
        <v/>
      </c>
      <c r="DL73" s="57">
        <f>IFERROR($AE74/$AE73-1,"")</f>
        <v/>
      </c>
      <c r="DM73" s="56">
        <f>$AZ73-$AZ74</f>
        <v/>
      </c>
      <c r="DN73" s="56">
        <f>$BA73-$BA74</f>
        <v/>
      </c>
      <c r="DO73" s="56">
        <f>$BB73-$BB74</f>
        <v/>
      </c>
      <c r="DP73" s="56">
        <f>$BC73-$BC74</f>
        <v/>
      </c>
      <c r="DQ73" s="56">
        <f>$BD73-$BD74</f>
        <v/>
      </c>
      <c r="DR73" s="56">
        <f>$BE73-$BE74</f>
        <v/>
      </c>
      <c r="DS73" s="56">
        <f>$BF73-$BF74</f>
        <v/>
      </c>
      <c r="DT73" s="56">
        <f>$BG73-$BG74</f>
        <v/>
      </c>
      <c r="DU73" s="56">
        <f>$BH73-$BH74</f>
        <v/>
      </c>
      <c r="DV73" s="56">
        <f>$BI73-$BI74</f>
        <v/>
      </c>
      <c r="DW73" s="56">
        <f>$BJ73-$BJ74</f>
        <v/>
      </c>
      <c r="DX73" s="56">
        <f>$BK73-$BK74</f>
        <v/>
      </c>
      <c r="DY73" s="56">
        <f>$BL73-$BL74</f>
        <v/>
      </c>
      <c r="DZ73" s="56">
        <f>$BM73-$BM74</f>
        <v/>
      </c>
      <c r="EA73" s="56">
        <f>$BN73-$BN74</f>
        <v/>
      </c>
      <c r="EB73" s="56">
        <f>$BO73-$BO74</f>
        <v/>
      </c>
      <c r="EC73" s="56">
        <f>$BP73-$BP74</f>
        <v/>
      </c>
      <c r="ED73" s="56">
        <f>$BQ73-$BQ74</f>
        <v/>
      </c>
      <c r="EE73" s="56">
        <f>$BR73-$BR74</f>
        <v/>
      </c>
      <c r="EF73" s="56">
        <f>$BS73-$BS74</f>
        <v/>
      </c>
      <c r="EG73" s="56">
        <f>$BT73-$BT74</f>
        <v/>
      </c>
      <c r="EH73" s="56">
        <f>$BU73-$BU74</f>
        <v/>
      </c>
    </row>
    <row r="74">
      <c r="BV74" s="56">
        <f>($D74-$D75)*100</f>
        <v/>
      </c>
      <c r="BW74" s="56">
        <f>($C74-$C75)*100</f>
        <v/>
      </c>
      <c r="BX74" s="57">
        <f>IFERROR($I74/$I75-1,"")</f>
        <v/>
      </c>
      <c r="BY74" s="56">
        <f>($AF74-$AF75)*100</f>
        <v/>
      </c>
      <c r="BZ74" s="56">
        <f>($AG74-$AG75)*100</f>
        <v/>
      </c>
      <c r="CA74" s="56">
        <f>($AH74-$AH75)*100</f>
        <v/>
      </c>
      <c r="CB74" s="56">
        <f>($AI74-$AI75)*100</f>
        <v/>
      </c>
      <c r="CC74" s="56">
        <f>($AJ74-$AJ75)*100</f>
        <v/>
      </c>
      <c r="CD74" s="56">
        <f>($AK74-$AK75)*100</f>
        <v/>
      </c>
      <c r="CE74" s="56">
        <f>($AL74-$AL75)*100</f>
        <v/>
      </c>
      <c r="CF74" s="56">
        <f>($AM74-$AM75)*100</f>
        <v/>
      </c>
      <c r="CG74" s="56">
        <f>($AN74-$AN75)*100</f>
        <v/>
      </c>
      <c r="CH74" s="56">
        <f>($AO74-$AO75)*100</f>
        <v/>
      </c>
      <c r="CI74" s="56">
        <f>($AP74-$AP75)*100</f>
        <v/>
      </c>
      <c r="CJ74" s="56">
        <f>($AQ74-$AQ75)*100</f>
        <v/>
      </c>
      <c r="CK74" s="56">
        <f>($AR74-$AR75)*100</f>
        <v/>
      </c>
      <c r="CL74" s="56">
        <f>($AS74-$AS75)*100</f>
        <v/>
      </c>
      <c r="CM74" s="56">
        <f>($AT74-$AT75)*100</f>
        <v/>
      </c>
      <c r="CN74" s="56">
        <f>($AU74-$AU75)*100</f>
        <v/>
      </c>
      <c r="CO74" s="56">
        <f>($AV74-$AV75)*100</f>
        <v/>
      </c>
      <c r="CP74" s="56">
        <f>($AW74-$AW75)*100</f>
        <v/>
      </c>
      <c r="CQ74" s="56">
        <f>($AX74-$AX75)*100</f>
        <v/>
      </c>
      <c r="CR74" s="56">
        <f>($AY74-$AY75)*100</f>
        <v/>
      </c>
      <c r="CS74" s="57">
        <f>IFERROR($L75/$L74-1,"")</f>
        <v/>
      </c>
      <c r="CT74" s="57">
        <f>IFERROR($M75/$M74-1,"")</f>
        <v/>
      </c>
      <c r="CU74" s="57">
        <f>IFERROR($N75/$N74-1,"")</f>
        <v/>
      </c>
      <c r="CV74" s="57">
        <f>IFERROR($O75/$O74-1,"")</f>
        <v/>
      </c>
      <c r="CW74" s="57">
        <f>IFERROR($P75/$P74-1,"")</f>
        <v/>
      </c>
      <c r="CX74" s="57">
        <f>IFERROR($Q75/$Q74-1,"")</f>
        <v/>
      </c>
      <c r="CY74" s="57">
        <f>IFERROR($R75/$R74-1,"")</f>
        <v/>
      </c>
      <c r="CZ74" s="57">
        <f>IFERROR($S75/$S74-1,"")</f>
        <v/>
      </c>
      <c r="DA74" s="57">
        <f>IFERROR($T75/$T74-1,"")</f>
        <v/>
      </c>
      <c r="DB74" s="57">
        <f>IFERROR($U75/$U74-1,"")</f>
        <v/>
      </c>
      <c r="DC74" s="57">
        <f>IFERROR($V75/$V74-1,"")</f>
        <v/>
      </c>
      <c r="DD74" s="57">
        <f>IFERROR($W75/$W74-1,"")</f>
        <v/>
      </c>
      <c r="DE74" s="57">
        <f>IFERROR($X75/$X74-1,"")</f>
        <v/>
      </c>
      <c r="DF74" s="57">
        <f>IFERROR($Y75/$Y74-1,"")</f>
        <v/>
      </c>
      <c r="DG74" s="57">
        <f>IFERROR($Z75/$Z74-1,"")</f>
        <v/>
      </c>
      <c r="DH74" s="57">
        <f>IFERROR($AA75/$AA74-1,"")</f>
        <v/>
      </c>
      <c r="DI74" s="57">
        <f>IFERROR($AB75/$AB74-1,"")</f>
        <v/>
      </c>
      <c r="DJ74" s="57">
        <f>IFERROR($AC75/$AC74-1,"")</f>
        <v/>
      </c>
      <c r="DK74" s="57">
        <f>IFERROR($AD75/$AD74-1,"")</f>
        <v/>
      </c>
      <c r="DL74" s="57">
        <f>IFERROR($AE75/$AE74-1,"")</f>
        <v/>
      </c>
      <c r="DM74" s="56">
        <f>$AZ74-$AZ75</f>
        <v/>
      </c>
      <c r="DN74" s="56">
        <f>$BA74-$BA75</f>
        <v/>
      </c>
      <c r="DO74" s="56">
        <f>$BB74-$BB75</f>
        <v/>
      </c>
      <c r="DP74" s="56">
        <f>$BC74-$BC75</f>
        <v/>
      </c>
      <c r="DQ74" s="56">
        <f>$BD74-$BD75</f>
        <v/>
      </c>
      <c r="DR74" s="56">
        <f>$BE74-$BE75</f>
        <v/>
      </c>
      <c r="DS74" s="56">
        <f>$BF74-$BF75</f>
        <v/>
      </c>
      <c r="DT74" s="56">
        <f>$BG74-$BG75</f>
        <v/>
      </c>
      <c r="DU74" s="56">
        <f>$BH74-$BH75</f>
        <v/>
      </c>
      <c r="DV74" s="56">
        <f>$BI74-$BI75</f>
        <v/>
      </c>
      <c r="DW74" s="56">
        <f>$BJ74-$BJ75</f>
        <v/>
      </c>
      <c r="DX74" s="56">
        <f>$BK74-$BK75</f>
        <v/>
      </c>
      <c r="DY74" s="56">
        <f>$BL74-$BL75</f>
        <v/>
      </c>
      <c r="DZ74" s="56">
        <f>$BM74-$BM75</f>
        <v/>
      </c>
      <c r="EA74" s="56">
        <f>$BN74-$BN75</f>
        <v/>
      </c>
      <c r="EB74" s="56">
        <f>$BO74-$BO75</f>
        <v/>
      </c>
      <c r="EC74" s="56">
        <f>$BP74-$BP75</f>
        <v/>
      </c>
      <c r="ED74" s="56">
        <f>$BQ74-$BQ75</f>
        <v/>
      </c>
      <c r="EE74" s="56">
        <f>$BR74-$BR75</f>
        <v/>
      </c>
      <c r="EF74" s="56">
        <f>$BS74-$BS75</f>
        <v/>
      </c>
      <c r="EG74" s="56">
        <f>$BT74-$BT75</f>
        <v/>
      </c>
      <c r="EH74" s="56">
        <f>$BU74-$BU75</f>
        <v/>
      </c>
    </row>
    <row r="75">
      <c r="BV75" s="56">
        <f>($D75-$D76)*100</f>
        <v/>
      </c>
      <c r="BW75" s="56">
        <f>($C75-$C76)*100</f>
        <v/>
      </c>
      <c r="BX75" s="57">
        <f>IFERROR($I75/$I76-1,"")</f>
        <v/>
      </c>
      <c r="BY75" s="56">
        <f>($AF75-$AF76)*100</f>
        <v/>
      </c>
      <c r="BZ75" s="56">
        <f>($AG75-$AG76)*100</f>
        <v/>
      </c>
      <c r="CA75" s="56">
        <f>($AH75-$AH76)*100</f>
        <v/>
      </c>
      <c r="CB75" s="56">
        <f>($AI75-$AI76)*100</f>
        <v/>
      </c>
      <c r="CC75" s="56">
        <f>($AJ75-$AJ76)*100</f>
        <v/>
      </c>
      <c r="CD75" s="56">
        <f>($AK75-$AK76)*100</f>
        <v/>
      </c>
      <c r="CE75" s="56">
        <f>($AL75-$AL76)*100</f>
        <v/>
      </c>
      <c r="CF75" s="56">
        <f>($AM75-$AM76)*100</f>
        <v/>
      </c>
      <c r="CG75" s="56">
        <f>($AN75-$AN76)*100</f>
        <v/>
      </c>
      <c r="CH75" s="56">
        <f>($AO75-$AO76)*100</f>
        <v/>
      </c>
      <c r="CI75" s="56">
        <f>($AP75-$AP76)*100</f>
        <v/>
      </c>
      <c r="CJ75" s="56">
        <f>($AQ75-$AQ76)*100</f>
        <v/>
      </c>
      <c r="CK75" s="56">
        <f>($AR75-$AR76)*100</f>
        <v/>
      </c>
      <c r="CL75" s="56">
        <f>($AS75-$AS76)*100</f>
        <v/>
      </c>
      <c r="CM75" s="56">
        <f>($AT75-$AT76)*100</f>
        <v/>
      </c>
      <c r="CN75" s="56">
        <f>($AU75-$AU76)*100</f>
        <v/>
      </c>
      <c r="CO75" s="56">
        <f>($AV75-$AV76)*100</f>
        <v/>
      </c>
      <c r="CP75" s="56">
        <f>($AW75-$AW76)*100</f>
        <v/>
      </c>
      <c r="CQ75" s="56">
        <f>($AX75-$AX76)*100</f>
        <v/>
      </c>
      <c r="CR75" s="56">
        <f>($AY75-$AY76)*100</f>
        <v/>
      </c>
      <c r="CS75" s="57">
        <f>IFERROR($L76/$L75-1,"")</f>
        <v/>
      </c>
      <c r="CT75" s="57">
        <f>IFERROR($M76/$M75-1,"")</f>
        <v/>
      </c>
      <c r="CU75" s="57">
        <f>IFERROR($N76/$N75-1,"")</f>
        <v/>
      </c>
      <c r="CV75" s="57">
        <f>IFERROR($O76/$O75-1,"")</f>
        <v/>
      </c>
      <c r="CW75" s="57">
        <f>IFERROR($P76/$P75-1,"")</f>
        <v/>
      </c>
      <c r="CX75" s="57">
        <f>IFERROR($Q76/$Q75-1,"")</f>
        <v/>
      </c>
      <c r="CY75" s="57">
        <f>IFERROR($R76/$R75-1,"")</f>
        <v/>
      </c>
      <c r="CZ75" s="57">
        <f>IFERROR($S76/$S75-1,"")</f>
        <v/>
      </c>
      <c r="DA75" s="57">
        <f>IFERROR($T76/$T75-1,"")</f>
        <v/>
      </c>
      <c r="DB75" s="57">
        <f>IFERROR($U76/$U75-1,"")</f>
        <v/>
      </c>
      <c r="DC75" s="57">
        <f>IFERROR($V76/$V75-1,"")</f>
        <v/>
      </c>
      <c r="DD75" s="57">
        <f>IFERROR($W76/$W75-1,"")</f>
        <v/>
      </c>
      <c r="DE75" s="57">
        <f>IFERROR($X76/$X75-1,"")</f>
        <v/>
      </c>
      <c r="DF75" s="57">
        <f>IFERROR($Y76/$Y75-1,"")</f>
        <v/>
      </c>
      <c r="DG75" s="57">
        <f>IFERROR($Z76/$Z75-1,"")</f>
        <v/>
      </c>
      <c r="DH75" s="57">
        <f>IFERROR($AA76/$AA75-1,"")</f>
        <v/>
      </c>
      <c r="DI75" s="57">
        <f>IFERROR($AB76/$AB75-1,"")</f>
        <v/>
      </c>
      <c r="DJ75" s="57">
        <f>IFERROR($AC76/$AC75-1,"")</f>
        <v/>
      </c>
      <c r="DK75" s="57">
        <f>IFERROR($AD76/$AD75-1,"")</f>
        <v/>
      </c>
      <c r="DL75" s="57">
        <f>IFERROR($AE76/$AE75-1,"")</f>
        <v/>
      </c>
      <c r="DM75" s="56">
        <f>$AZ75-$AZ76</f>
        <v/>
      </c>
      <c r="DN75" s="56">
        <f>$BA75-$BA76</f>
        <v/>
      </c>
      <c r="DO75" s="56">
        <f>$BB75-$BB76</f>
        <v/>
      </c>
      <c r="DP75" s="56">
        <f>$BC75-$BC76</f>
        <v/>
      </c>
      <c r="DQ75" s="56">
        <f>$BD75-$BD76</f>
        <v/>
      </c>
      <c r="DR75" s="56">
        <f>$BE75-$BE76</f>
        <v/>
      </c>
      <c r="DS75" s="56">
        <f>$BF75-$BF76</f>
        <v/>
      </c>
      <c r="DT75" s="56">
        <f>$BG75-$BG76</f>
        <v/>
      </c>
      <c r="DU75" s="56">
        <f>$BH75-$BH76</f>
        <v/>
      </c>
      <c r="DV75" s="56">
        <f>$BI75-$BI76</f>
        <v/>
      </c>
      <c r="DW75" s="56">
        <f>$BJ75-$BJ76</f>
        <v/>
      </c>
      <c r="DX75" s="56">
        <f>$BK75-$BK76</f>
        <v/>
      </c>
      <c r="DY75" s="56">
        <f>$BL75-$BL76</f>
        <v/>
      </c>
      <c r="DZ75" s="56">
        <f>$BM75-$BM76</f>
        <v/>
      </c>
      <c r="EA75" s="56">
        <f>$BN75-$BN76</f>
        <v/>
      </c>
      <c r="EB75" s="56">
        <f>$BO75-$BO76</f>
        <v/>
      </c>
      <c r="EC75" s="56">
        <f>$BP75-$BP76</f>
        <v/>
      </c>
      <c r="ED75" s="56">
        <f>$BQ75-$BQ76</f>
        <v/>
      </c>
      <c r="EE75" s="56">
        <f>$BR75-$BR76</f>
        <v/>
      </c>
      <c r="EF75" s="56">
        <f>$BS75-$BS76</f>
        <v/>
      </c>
      <c r="EG75" s="56">
        <f>$BT75-$BT76</f>
        <v/>
      </c>
      <c r="EH75" s="56">
        <f>$BU75-$BU76</f>
        <v/>
      </c>
    </row>
    <row r="76">
      <c r="BV76" s="56">
        <f>($D76-$D77)*100</f>
        <v/>
      </c>
      <c r="BW76" s="56">
        <f>($C76-$C77)*100</f>
        <v/>
      </c>
      <c r="BX76" s="57">
        <f>IFERROR($I76/$I77-1,"")</f>
        <v/>
      </c>
      <c r="BY76" s="56">
        <f>($AF76-$AF77)*100</f>
        <v/>
      </c>
      <c r="BZ76" s="56">
        <f>($AG76-$AG77)*100</f>
        <v/>
      </c>
      <c r="CA76" s="56">
        <f>($AH76-$AH77)*100</f>
        <v/>
      </c>
      <c r="CB76" s="56">
        <f>($AI76-$AI77)*100</f>
        <v/>
      </c>
      <c r="CC76" s="56">
        <f>($AJ76-$AJ77)*100</f>
        <v/>
      </c>
      <c r="CD76" s="56">
        <f>($AK76-$AK77)*100</f>
        <v/>
      </c>
      <c r="CE76" s="56">
        <f>($AL76-$AL77)*100</f>
        <v/>
      </c>
      <c r="CF76" s="56">
        <f>($AM76-$AM77)*100</f>
        <v/>
      </c>
      <c r="CG76" s="56">
        <f>($AN76-$AN77)*100</f>
        <v/>
      </c>
      <c r="CH76" s="56">
        <f>($AO76-$AO77)*100</f>
        <v/>
      </c>
      <c r="CI76" s="56">
        <f>($AP76-$AP77)*100</f>
        <v/>
      </c>
      <c r="CJ76" s="56">
        <f>($AQ76-$AQ77)*100</f>
        <v/>
      </c>
      <c r="CK76" s="56">
        <f>($AR76-$AR77)*100</f>
        <v/>
      </c>
      <c r="CL76" s="56">
        <f>($AS76-$AS77)*100</f>
        <v/>
      </c>
      <c r="CM76" s="56">
        <f>($AT76-$AT77)*100</f>
        <v/>
      </c>
      <c r="CN76" s="56">
        <f>($AU76-$AU77)*100</f>
        <v/>
      </c>
      <c r="CO76" s="56">
        <f>($AV76-$AV77)*100</f>
        <v/>
      </c>
      <c r="CP76" s="56">
        <f>($AW76-$AW77)*100</f>
        <v/>
      </c>
      <c r="CQ76" s="56">
        <f>($AX76-$AX77)*100</f>
        <v/>
      </c>
      <c r="CR76" s="56">
        <f>($AY76-$AY77)*100</f>
        <v/>
      </c>
      <c r="CS76" s="57">
        <f>IFERROR($L77/$L76-1,"")</f>
        <v/>
      </c>
      <c r="CT76" s="57">
        <f>IFERROR($M77/$M76-1,"")</f>
        <v/>
      </c>
      <c r="CU76" s="57">
        <f>IFERROR($N77/$N76-1,"")</f>
        <v/>
      </c>
      <c r="CV76" s="57">
        <f>IFERROR($O77/$O76-1,"")</f>
        <v/>
      </c>
      <c r="CW76" s="57">
        <f>IFERROR($P77/$P76-1,"")</f>
        <v/>
      </c>
      <c r="CX76" s="57">
        <f>IFERROR($Q77/$Q76-1,"")</f>
        <v/>
      </c>
      <c r="CY76" s="57">
        <f>IFERROR($R77/$R76-1,"")</f>
        <v/>
      </c>
      <c r="CZ76" s="57">
        <f>IFERROR($S77/$S76-1,"")</f>
        <v/>
      </c>
      <c r="DA76" s="57">
        <f>IFERROR($T77/$T76-1,"")</f>
        <v/>
      </c>
      <c r="DB76" s="57">
        <f>IFERROR($U77/$U76-1,"")</f>
        <v/>
      </c>
      <c r="DC76" s="57">
        <f>IFERROR($V77/$V76-1,"")</f>
        <v/>
      </c>
      <c r="DD76" s="57">
        <f>IFERROR($W77/$W76-1,"")</f>
        <v/>
      </c>
      <c r="DE76" s="57">
        <f>IFERROR($X77/$X76-1,"")</f>
        <v/>
      </c>
      <c r="DF76" s="57">
        <f>IFERROR($Y77/$Y76-1,"")</f>
        <v/>
      </c>
      <c r="DG76" s="57">
        <f>IFERROR($Z77/$Z76-1,"")</f>
        <v/>
      </c>
      <c r="DH76" s="57">
        <f>IFERROR($AA77/$AA76-1,"")</f>
        <v/>
      </c>
      <c r="DI76" s="57">
        <f>IFERROR($AB77/$AB76-1,"")</f>
        <v/>
      </c>
      <c r="DJ76" s="57">
        <f>IFERROR($AC77/$AC76-1,"")</f>
        <v/>
      </c>
      <c r="DK76" s="57">
        <f>IFERROR($AD77/$AD76-1,"")</f>
        <v/>
      </c>
      <c r="DL76" s="57">
        <f>IFERROR($AE77/$AE76-1,"")</f>
        <v/>
      </c>
      <c r="DM76" s="56">
        <f>$AZ76-$AZ77</f>
        <v/>
      </c>
      <c r="DN76" s="56">
        <f>$BA76-$BA77</f>
        <v/>
      </c>
      <c r="DO76" s="56">
        <f>$BB76-$BB77</f>
        <v/>
      </c>
      <c r="DP76" s="56">
        <f>$BC76-$BC77</f>
        <v/>
      </c>
      <c r="DQ76" s="56">
        <f>$BD76-$BD77</f>
        <v/>
      </c>
      <c r="DR76" s="56">
        <f>$BE76-$BE77</f>
        <v/>
      </c>
      <c r="DS76" s="56">
        <f>$BF76-$BF77</f>
        <v/>
      </c>
      <c r="DT76" s="56">
        <f>$BG76-$BG77</f>
        <v/>
      </c>
      <c r="DU76" s="56">
        <f>$BH76-$BH77</f>
        <v/>
      </c>
      <c r="DV76" s="56">
        <f>$BI76-$BI77</f>
        <v/>
      </c>
      <c r="DW76" s="56">
        <f>$BJ76-$BJ77</f>
        <v/>
      </c>
      <c r="DX76" s="56">
        <f>$BK76-$BK77</f>
        <v/>
      </c>
      <c r="DY76" s="56">
        <f>$BL76-$BL77</f>
        <v/>
      </c>
      <c r="DZ76" s="56">
        <f>$BM76-$BM77</f>
        <v/>
      </c>
      <c r="EA76" s="56">
        <f>$BN76-$BN77</f>
        <v/>
      </c>
      <c r="EB76" s="56">
        <f>$BO76-$BO77</f>
        <v/>
      </c>
      <c r="EC76" s="56">
        <f>$BP76-$BP77</f>
        <v/>
      </c>
      <c r="ED76" s="56">
        <f>$BQ76-$BQ77</f>
        <v/>
      </c>
      <c r="EE76" s="56">
        <f>$BR76-$BR77</f>
        <v/>
      </c>
      <c r="EF76" s="56">
        <f>$BS76-$BS77</f>
        <v/>
      </c>
      <c r="EG76" s="56">
        <f>$BT76-$BT77</f>
        <v/>
      </c>
      <c r="EH76" s="56">
        <f>$BU76-$BU77</f>
        <v/>
      </c>
    </row>
    <row r="77">
      <c r="BV77" s="56">
        <f>($D77-$D78)*100</f>
        <v/>
      </c>
      <c r="BW77" s="56">
        <f>($C77-$C78)*100</f>
        <v/>
      </c>
      <c r="BX77" s="57">
        <f>IFERROR($I77/$I78-1,"")</f>
        <v/>
      </c>
      <c r="BY77" s="56">
        <f>($AF77-$AF78)*100</f>
        <v/>
      </c>
      <c r="BZ77" s="56">
        <f>($AG77-$AG78)*100</f>
        <v/>
      </c>
      <c r="CA77" s="56">
        <f>($AH77-$AH78)*100</f>
        <v/>
      </c>
      <c r="CB77" s="56">
        <f>($AI77-$AI78)*100</f>
        <v/>
      </c>
      <c r="CC77" s="56">
        <f>($AJ77-$AJ78)*100</f>
        <v/>
      </c>
      <c r="CD77" s="56">
        <f>($AK77-$AK78)*100</f>
        <v/>
      </c>
      <c r="CE77" s="56">
        <f>($AL77-$AL78)*100</f>
        <v/>
      </c>
      <c r="CF77" s="56">
        <f>($AM77-$AM78)*100</f>
        <v/>
      </c>
      <c r="CG77" s="56">
        <f>($AN77-$AN78)*100</f>
        <v/>
      </c>
      <c r="CH77" s="56">
        <f>($AO77-$AO78)*100</f>
        <v/>
      </c>
      <c r="CI77" s="56">
        <f>($AP77-$AP78)*100</f>
        <v/>
      </c>
      <c r="CJ77" s="56">
        <f>($AQ77-$AQ78)*100</f>
        <v/>
      </c>
      <c r="CK77" s="56">
        <f>($AR77-$AR78)*100</f>
        <v/>
      </c>
      <c r="CL77" s="56">
        <f>($AS77-$AS78)*100</f>
        <v/>
      </c>
      <c r="CM77" s="56">
        <f>($AT77-$AT78)*100</f>
        <v/>
      </c>
      <c r="CN77" s="56">
        <f>($AU77-$AU78)*100</f>
        <v/>
      </c>
      <c r="CO77" s="56">
        <f>($AV77-$AV78)*100</f>
        <v/>
      </c>
      <c r="CP77" s="56">
        <f>($AW77-$AW78)*100</f>
        <v/>
      </c>
      <c r="CQ77" s="56">
        <f>($AX77-$AX78)*100</f>
        <v/>
      </c>
      <c r="CR77" s="56">
        <f>($AY77-$AY78)*100</f>
        <v/>
      </c>
      <c r="CS77" s="57">
        <f>IFERROR($L78/$L77-1,"")</f>
        <v/>
      </c>
      <c r="CT77" s="57">
        <f>IFERROR($M78/$M77-1,"")</f>
        <v/>
      </c>
      <c r="CU77" s="57">
        <f>IFERROR($N78/$N77-1,"")</f>
        <v/>
      </c>
      <c r="CV77" s="57">
        <f>IFERROR($O78/$O77-1,"")</f>
        <v/>
      </c>
      <c r="CW77" s="57">
        <f>IFERROR($P78/$P77-1,"")</f>
        <v/>
      </c>
      <c r="CX77" s="57">
        <f>IFERROR($Q78/$Q77-1,"")</f>
        <v/>
      </c>
      <c r="CY77" s="57">
        <f>IFERROR($R78/$R77-1,"")</f>
        <v/>
      </c>
      <c r="CZ77" s="57">
        <f>IFERROR($S78/$S77-1,"")</f>
        <v/>
      </c>
      <c r="DA77" s="57">
        <f>IFERROR($T78/$T77-1,"")</f>
        <v/>
      </c>
      <c r="DB77" s="57">
        <f>IFERROR($U78/$U77-1,"")</f>
        <v/>
      </c>
      <c r="DC77" s="57">
        <f>IFERROR($V78/$V77-1,"")</f>
        <v/>
      </c>
      <c r="DD77" s="57">
        <f>IFERROR($W78/$W77-1,"")</f>
        <v/>
      </c>
      <c r="DE77" s="57">
        <f>IFERROR($X78/$X77-1,"")</f>
        <v/>
      </c>
      <c r="DF77" s="57">
        <f>IFERROR($Y78/$Y77-1,"")</f>
        <v/>
      </c>
      <c r="DG77" s="57">
        <f>IFERROR($Z78/$Z77-1,"")</f>
        <v/>
      </c>
      <c r="DH77" s="57">
        <f>IFERROR($AA78/$AA77-1,"")</f>
        <v/>
      </c>
      <c r="DI77" s="57">
        <f>IFERROR($AB78/$AB77-1,"")</f>
        <v/>
      </c>
      <c r="DJ77" s="57">
        <f>IFERROR($AC78/$AC77-1,"")</f>
        <v/>
      </c>
      <c r="DK77" s="57">
        <f>IFERROR($AD78/$AD77-1,"")</f>
        <v/>
      </c>
      <c r="DL77" s="57">
        <f>IFERROR($AE78/$AE77-1,"")</f>
        <v/>
      </c>
      <c r="DM77" s="56">
        <f>$AZ77-$AZ78</f>
        <v/>
      </c>
      <c r="DN77" s="56">
        <f>$BA77-$BA78</f>
        <v/>
      </c>
      <c r="DO77" s="56">
        <f>$BB77-$BB78</f>
        <v/>
      </c>
      <c r="DP77" s="56">
        <f>$BC77-$BC78</f>
        <v/>
      </c>
      <c r="DQ77" s="56">
        <f>$BD77-$BD78</f>
        <v/>
      </c>
      <c r="DR77" s="56">
        <f>$BE77-$BE78</f>
        <v/>
      </c>
      <c r="DS77" s="56">
        <f>$BF77-$BF78</f>
        <v/>
      </c>
      <c r="DT77" s="56">
        <f>$BG77-$BG78</f>
        <v/>
      </c>
      <c r="DU77" s="56">
        <f>$BH77-$BH78</f>
        <v/>
      </c>
      <c r="DV77" s="56">
        <f>$BI77-$BI78</f>
        <v/>
      </c>
      <c r="DW77" s="56">
        <f>$BJ77-$BJ78</f>
        <v/>
      </c>
      <c r="DX77" s="56">
        <f>$BK77-$BK78</f>
        <v/>
      </c>
      <c r="DY77" s="56">
        <f>$BL77-$BL78</f>
        <v/>
      </c>
      <c r="DZ77" s="56">
        <f>$BM77-$BM78</f>
        <v/>
      </c>
      <c r="EA77" s="56">
        <f>$BN77-$BN78</f>
        <v/>
      </c>
      <c r="EB77" s="56">
        <f>$BO77-$BO78</f>
        <v/>
      </c>
      <c r="EC77" s="56">
        <f>$BP77-$BP78</f>
        <v/>
      </c>
      <c r="ED77" s="56">
        <f>$BQ77-$BQ78</f>
        <v/>
      </c>
      <c r="EE77" s="56">
        <f>$BR77-$BR78</f>
        <v/>
      </c>
      <c r="EF77" s="56">
        <f>$BS77-$BS78</f>
        <v/>
      </c>
      <c r="EG77" s="56">
        <f>$BT77-$BT78</f>
        <v/>
      </c>
      <c r="EH77" s="56">
        <f>$BU77-$BU78</f>
        <v/>
      </c>
    </row>
    <row r="78">
      <c r="BV78" s="56">
        <f>($D78-$D79)*100</f>
        <v/>
      </c>
      <c r="BW78" s="56">
        <f>($C78-$C79)*100</f>
        <v/>
      </c>
      <c r="BX78" s="57">
        <f>IFERROR($I78/$I79-1,"")</f>
        <v/>
      </c>
      <c r="BY78" s="56">
        <f>($AF78-$AF79)*100</f>
        <v/>
      </c>
      <c r="BZ78" s="56">
        <f>($AG78-$AG79)*100</f>
        <v/>
      </c>
      <c r="CA78" s="56">
        <f>($AH78-$AH79)*100</f>
        <v/>
      </c>
      <c r="CB78" s="56">
        <f>($AI78-$AI79)*100</f>
        <v/>
      </c>
      <c r="CC78" s="56">
        <f>($AJ78-$AJ79)*100</f>
        <v/>
      </c>
      <c r="CD78" s="56">
        <f>($AK78-$AK79)*100</f>
        <v/>
      </c>
      <c r="CE78" s="56">
        <f>($AL78-$AL79)*100</f>
        <v/>
      </c>
      <c r="CF78" s="56">
        <f>($AM78-$AM79)*100</f>
        <v/>
      </c>
      <c r="CG78" s="56">
        <f>($AN78-$AN79)*100</f>
        <v/>
      </c>
      <c r="CH78" s="56">
        <f>($AO78-$AO79)*100</f>
        <v/>
      </c>
      <c r="CI78" s="56">
        <f>($AP78-$AP79)*100</f>
        <v/>
      </c>
      <c r="CJ78" s="56">
        <f>($AQ78-$AQ79)*100</f>
        <v/>
      </c>
      <c r="CK78" s="56">
        <f>($AR78-$AR79)*100</f>
        <v/>
      </c>
      <c r="CL78" s="56">
        <f>($AS78-$AS79)*100</f>
        <v/>
      </c>
      <c r="CM78" s="56">
        <f>($AT78-$AT79)*100</f>
        <v/>
      </c>
      <c r="CN78" s="56">
        <f>($AU78-$AU79)*100</f>
        <v/>
      </c>
      <c r="CO78" s="56">
        <f>($AV78-$AV79)*100</f>
        <v/>
      </c>
      <c r="CP78" s="56">
        <f>($AW78-$AW79)*100</f>
        <v/>
      </c>
      <c r="CQ78" s="56">
        <f>($AX78-$AX79)*100</f>
        <v/>
      </c>
      <c r="CR78" s="56">
        <f>($AY78-$AY79)*100</f>
        <v/>
      </c>
      <c r="CS78" s="57">
        <f>IFERROR($L79/$L78-1,"")</f>
        <v/>
      </c>
      <c r="CT78" s="57">
        <f>IFERROR($M79/$M78-1,"")</f>
        <v/>
      </c>
      <c r="CU78" s="57">
        <f>IFERROR($N79/$N78-1,"")</f>
        <v/>
      </c>
      <c r="CV78" s="57">
        <f>IFERROR($O79/$O78-1,"")</f>
        <v/>
      </c>
      <c r="CW78" s="57">
        <f>IFERROR($P79/$P78-1,"")</f>
        <v/>
      </c>
      <c r="CX78" s="57">
        <f>IFERROR($Q79/$Q78-1,"")</f>
        <v/>
      </c>
      <c r="CY78" s="57">
        <f>IFERROR($R79/$R78-1,"")</f>
        <v/>
      </c>
      <c r="CZ78" s="57">
        <f>IFERROR($S79/$S78-1,"")</f>
        <v/>
      </c>
      <c r="DA78" s="57">
        <f>IFERROR($T79/$T78-1,"")</f>
        <v/>
      </c>
      <c r="DB78" s="57">
        <f>IFERROR($U79/$U78-1,"")</f>
        <v/>
      </c>
      <c r="DC78" s="57">
        <f>IFERROR($V79/$V78-1,"")</f>
        <v/>
      </c>
      <c r="DD78" s="57">
        <f>IFERROR($W79/$W78-1,"")</f>
        <v/>
      </c>
      <c r="DE78" s="57">
        <f>IFERROR($X79/$X78-1,"")</f>
        <v/>
      </c>
      <c r="DF78" s="57">
        <f>IFERROR($Y79/$Y78-1,"")</f>
        <v/>
      </c>
      <c r="DG78" s="57">
        <f>IFERROR($Z79/$Z78-1,"")</f>
        <v/>
      </c>
      <c r="DH78" s="57">
        <f>IFERROR($AA79/$AA78-1,"")</f>
        <v/>
      </c>
      <c r="DI78" s="57">
        <f>IFERROR($AB79/$AB78-1,"")</f>
        <v/>
      </c>
      <c r="DJ78" s="57">
        <f>IFERROR($AC79/$AC78-1,"")</f>
        <v/>
      </c>
      <c r="DK78" s="57">
        <f>IFERROR($AD79/$AD78-1,"")</f>
        <v/>
      </c>
      <c r="DL78" s="57">
        <f>IFERROR($AE79/$AE78-1,"")</f>
        <v/>
      </c>
      <c r="DM78" s="56">
        <f>$AZ78-$AZ79</f>
        <v/>
      </c>
      <c r="DN78" s="56">
        <f>$BA78-$BA79</f>
        <v/>
      </c>
      <c r="DO78" s="56">
        <f>$BB78-$BB79</f>
        <v/>
      </c>
      <c r="DP78" s="56">
        <f>$BC78-$BC79</f>
        <v/>
      </c>
      <c r="DQ78" s="56">
        <f>$BD78-$BD79</f>
        <v/>
      </c>
      <c r="DR78" s="56">
        <f>$BE78-$BE79</f>
        <v/>
      </c>
      <c r="DS78" s="56">
        <f>$BF78-$BF79</f>
        <v/>
      </c>
      <c r="DT78" s="56">
        <f>$BG78-$BG79</f>
        <v/>
      </c>
      <c r="DU78" s="56">
        <f>$BH78-$BH79</f>
        <v/>
      </c>
      <c r="DV78" s="56">
        <f>$BI78-$BI79</f>
        <v/>
      </c>
      <c r="DW78" s="56">
        <f>$BJ78-$BJ79</f>
        <v/>
      </c>
      <c r="DX78" s="56">
        <f>$BK78-$BK79</f>
        <v/>
      </c>
      <c r="DY78" s="56">
        <f>$BL78-$BL79</f>
        <v/>
      </c>
      <c r="DZ78" s="56">
        <f>$BM78-$BM79</f>
        <v/>
      </c>
      <c r="EA78" s="56">
        <f>$BN78-$BN79</f>
        <v/>
      </c>
      <c r="EB78" s="56">
        <f>$BO78-$BO79</f>
        <v/>
      </c>
      <c r="EC78" s="56">
        <f>$BP78-$BP79</f>
        <v/>
      </c>
      <c r="ED78" s="56">
        <f>$BQ78-$BQ79</f>
        <v/>
      </c>
      <c r="EE78" s="56">
        <f>$BR78-$BR79</f>
        <v/>
      </c>
      <c r="EF78" s="56">
        <f>$BS78-$BS79</f>
        <v/>
      </c>
      <c r="EG78" s="56">
        <f>$BT78-$BT79</f>
        <v/>
      </c>
      <c r="EH78" s="56">
        <f>$BU78-$BU79</f>
        <v/>
      </c>
    </row>
    <row r="79">
      <c r="BV79" s="56">
        <f>($D79-$D80)*100</f>
        <v/>
      </c>
      <c r="BW79" s="56">
        <f>($C79-$C80)*100</f>
        <v/>
      </c>
      <c r="BX79" s="57">
        <f>IFERROR($I79/$I80-1,"")</f>
        <v/>
      </c>
      <c r="BY79" s="56">
        <f>($AF79-$AF80)*100</f>
        <v/>
      </c>
      <c r="BZ79" s="56">
        <f>($AG79-$AG80)*100</f>
        <v/>
      </c>
      <c r="CA79" s="56">
        <f>($AH79-$AH80)*100</f>
        <v/>
      </c>
      <c r="CB79" s="56">
        <f>($AI79-$AI80)*100</f>
        <v/>
      </c>
      <c r="CC79" s="56">
        <f>($AJ79-$AJ80)*100</f>
        <v/>
      </c>
      <c r="CD79" s="56">
        <f>($AK79-$AK80)*100</f>
        <v/>
      </c>
      <c r="CE79" s="56">
        <f>($AL79-$AL80)*100</f>
        <v/>
      </c>
      <c r="CF79" s="56">
        <f>($AM79-$AM80)*100</f>
        <v/>
      </c>
      <c r="CG79" s="56">
        <f>($AN79-$AN80)*100</f>
        <v/>
      </c>
      <c r="CH79" s="56">
        <f>($AO79-$AO80)*100</f>
        <v/>
      </c>
      <c r="CI79" s="56">
        <f>($AP79-$AP80)*100</f>
        <v/>
      </c>
      <c r="CJ79" s="56">
        <f>($AQ79-$AQ80)*100</f>
        <v/>
      </c>
      <c r="CK79" s="56">
        <f>($AR79-$AR80)*100</f>
        <v/>
      </c>
      <c r="CL79" s="56">
        <f>($AS79-$AS80)*100</f>
        <v/>
      </c>
      <c r="CM79" s="56">
        <f>($AT79-$AT80)*100</f>
        <v/>
      </c>
      <c r="CN79" s="56">
        <f>($AU79-$AU80)*100</f>
        <v/>
      </c>
      <c r="CO79" s="56">
        <f>($AV79-$AV80)*100</f>
        <v/>
      </c>
      <c r="CP79" s="56">
        <f>($AW79-$AW80)*100</f>
        <v/>
      </c>
      <c r="CQ79" s="56">
        <f>($AX79-$AX80)*100</f>
        <v/>
      </c>
      <c r="CR79" s="56">
        <f>($AY79-$AY80)*100</f>
        <v/>
      </c>
      <c r="CS79" s="57">
        <f>IFERROR($L80/$L79-1,"")</f>
        <v/>
      </c>
      <c r="CT79" s="57">
        <f>IFERROR($M80/$M79-1,"")</f>
        <v/>
      </c>
      <c r="CU79" s="57">
        <f>IFERROR($N80/$N79-1,"")</f>
        <v/>
      </c>
      <c r="CV79" s="57">
        <f>IFERROR($O80/$O79-1,"")</f>
        <v/>
      </c>
      <c r="CW79" s="57">
        <f>IFERROR($P80/$P79-1,"")</f>
        <v/>
      </c>
      <c r="CX79" s="57">
        <f>IFERROR($Q80/$Q79-1,"")</f>
        <v/>
      </c>
      <c r="CY79" s="57">
        <f>IFERROR($R80/$R79-1,"")</f>
        <v/>
      </c>
      <c r="CZ79" s="57">
        <f>IFERROR($S80/$S79-1,"")</f>
        <v/>
      </c>
      <c r="DA79" s="57">
        <f>IFERROR($T80/$T79-1,"")</f>
        <v/>
      </c>
      <c r="DB79" s="57">
        <f>IFERROR($U80/$U79-1,"")</f>
        <v/>
      </c>
      <c r="DC79" s="57">
        <f>IFERROR($V80/$V79-1,"")</f>
        <v/>
      </c>
      <c r="DD79" s="57">
        <f>IFERROR($W80/$W79-1,"")</f>
        <v/>
      </c>
      <c r="DE79" s="57">
        <f>IFERROR($X80/$X79-1,"")</f>
        <v/>
      </c>
      <c r="DF79" s="57">
        <f>IFERROR($Y80/$Y79-1,"")</f>
        <v/>
      </c>
      <c r="DG79" s="57">
        <f>IFERROR($Z80/$Z79-1,"")</f>
        <v/>
      </c>
      <c r="DH79" s="57">
        <f>IFERROR($AA80/$AA79-1,"")</f>
        <v/>
      </c>
      <c r="DI79" s="57">
        <f>IFERROR($AB80/$AB79-1,"")</f>
        <v/>
      </c>
      <c r="DJ79" s="57">
        <f>IFERROR($AC80/$AC79-1,"")</f>
        <v/>
      </c>
      <c r="DK79" s="57">
        <f>IFERROR($AD80/$AD79-1,"")</f>
        <v/>
      </c>
      <c r="DL79" s="57">
        <f>IFERROR($AE80/$AE79-1,"")</f>
        <v/>
      </c>
      <c r="DM79" s="56">
        <f>$AZ79-$AZ80</f>
        <v/>
      </c>
      <c r="DN79" s="56">
        <f>$BA79-$BA80</f>
        <v/>
      </c>
      <c r="DO79" s="56">
        <f>$BB79-$BB80</f>
        <v/>
      </c>
      <c r="DP79" s="56">
        <f>$BC79-$BC80</f>
        <v/>
      </c>
      <c r="DQ79" s="56">
        <f>$BD79-$BD80</f>
        <v/>
      </c>
      <c r="DR79" s="56">
        <f>$BE79-$BE80</f>
        <v/>
      </c>
      <c r="DS79" s="56">
        <f>$BF79-$BF80</f>
        <v/>
      </c>
      <c r="DT79" s="56">
        <f>$BG79-$BG80</f>
        <v/>
      </c>
      <c r="DU79" s="56">
        <f>$BH79-$BH80</f>
        <v/>
      </c>
      <c r="DV79" s="56">
        <f>$BI79-$BI80</f>
        <v/>
      </c>
      <c r="DW79" s="56">
        <f>$BJ79-$BJ80</f>
        <v/>
      </c>
      <c r="DX79" s="56">
        <f>$BK79-$BK80</f>
        <v/>
      </c>
      <c r="DY79" s="56">
        <f>$BL79-$BL80</f>
        <v/>
      </c>
      <c r="DZ79" s="56">
        <f>$BM79-$BM80</f>
        <v/>
      </c>
      <c r="EA79" s="56">
        <f>$BN79-$BN80</f>
        <v/>
      </c>
      <c r="EB79" s="56">
        <f>$BO79-$BO80</f>
        <v/>
      </c>
      <c r="EC79" s="56">
        <f>$BP79-$BP80</f>
        <v/>
      </c>
      <c r="ED79" s="56">
        <f>$BQ79-$BQ80</f>
        <v/>
      </c>
      <c r="EE79" s="56">
        <f>$BR79-$BR80</f>
        <v/>
      </c>
      <c r="EF79" s="56">
        <f>$BS79-$BS80</f>
        <v/>
      </c>
      <c r="EG79" s="56">
        <f>$BT79-$BT80</f>
        <v/>
      </c>
      <c r="EH79" s="56">
        <f>$BU79-$BU80</f>
        <v/>
      </c>
    </row>
    <row r="80">
      <c r="BV80" s="56">
        <f>($D80-$D81)*100</f>
        <v/>
      </c>
      <c r="BW80" s="56">
        <f>($C80-$C81)*100</f>
        <v/>
      </c>
      <c r="BX80" s="57">
        <f>IFERROR($I80/$I81-1,"")</f>
        <v/>
      </c>
      <c r="BY80" s="56">
        <f>($AF80-$AF81)*100</f>
        <v/>
      </c>
      <c r="BZ80" s="56">
        <f>($AG80-$AG81)*100</f>
        <v/>
      </c>
      <c r="CA80" s="56">
        <f>($AH80-$AH81)*100</f>
        <v/>
      </c>
      <c r="CB80" s="56">
        <f>($AI80-$AI81)*100</f>
        <v/>
      </c>
      <c r="CC80" s="56">
        <f>($AJ80-$AJ81)*100</f>
        <v/>
      </c>
      <c r="CD80" s="56">
        <f>($AK80-$AK81)*100</f>
        <v/>
      </c>
      <c r="CE80" s="56">
        <f>($AL80-$AL81)*100</f>
        <v/>
      </c>
      <c r="CF80" s="56">
        <f>($AM80-$AM81)*100</f>
        <v/>
      </c>
      <c r="CG80" s="56">
        <f>($AN80-$AN81)*100</f>
        <v/>
      </c>
      <c r="CH80" s="56">
        <f>($AO80-$AO81)*100</f>
        <v/>
      </c>
      <c r="CI80" s="56">
        <f>($AP80-$AP81)*100</f>
        <v/>
      </c>
      <c r="CJ80" s="56">
        <f>($AQ80-$AQ81)*100</f>
        <v/>
      </c>
      <c r="CK80" s="56">
        <f>($AR80-$AR81)*100</f>
        <v/>
      </c>
      <c r="CL80" s="56">
        <f>($AS80-$AS81)*100</f>
        <v/>
      </c>
      <c r="CM80" s="56">
        <f>($AT80-$AT81)*100</f>
        <v/>
      </c>
      <c r="CN80" s="56">
        <f>($AU80-$AU81)*100</f>
        <v/>
      </c>
      <c r="CO80" s="56">
        <f>($AV80-$AV81)*100</f>
        <v/>
      </c>
      <c r="CP80" s="56">
        <f>($AW80-$AW81)*100</f>
        <v/>
      </c>
      <c r="CQ80" s="56">
        <f>($AX80-$AX81)*100</f>
        <v/>
      </c>
      <c r="CR80" s="56">
        <f>($AY80-$AY81)*100</f>
        <v/>
      </c>
      <c r="CS80" s="57">
        <f>IFERROR($L81/$L80-1,"")</f>
        <v/>
      </c>
      <c r="CT80" s="57">
        <f>IFERROR($M81/$M80-1,"")</f>
        <v/>
      </c>
      <c r="CU80" s="57">
        <f>IFERROR($N81/$N80-1,"")</f>
        <v/>
      </c>
      <c r="CV80" s="57">
        <f>IFERROR($O81/$O80-1,"")</f>
        <v/>
      </c>
      <c r="CW80" s="57">
        <f>IFERROR($P81/$P80-1,"")</f>
        <v/>
      </c>
      <c r="CX80" s="57">
        <f>IFERROR($Q81/$Q80-1,"")</f>
        <v/>
      </c>
      <c r="CY80" s="57">
        <f>IFERROR($R81/$R80-1,"")</f>
        <v/>
      </c>
      <c r="CZ80" s="57">
        <f>IFERROR($S81/$S80-1,"")</f>
        <v/>
      </c>
      <c r="DA80" s="57">
        <f>IFERROR($T81/$T80-1,"")</f>
        <v/>
      </c>
      <c r="DB80" s="57">
        <f>IFERROR($U81/$U80-1,"")</f>
        <v/>
      </c>
      <c r="DC80" s="57">
        <f>IFERROR($V81/$V80-1,"")</f>
        <v/>
      </c>
      <c r="DD80" s="57">
        <f>IFERROR($W81/$W80-1,"")</f>
        <v/>
      </c>
      <c r="DE80" s="57">
        <f>IFERROR($X81/$X80-1,"")</f>
        <v/>
      </c>
      <c r="DF80" s="57">
        <f>IFERROR($Y81/$Y80-1,"")</f>
        <v/>
      </c>
      <c r="DG80" s="57">
        <f>IFERROR($Z81/$Z80-1,"")</f>
        <v/>
      </c>
      <c r="DH80" s="57">
        <f>IFERROR($AA81/$AA80-1,"")</f>
        <v/>
      </c>
      <c r="DI80" s="57">
        <f>IFERROR($AB81/$AB80-1,"")</f>
        <v/>
      </c>
      <c r="DJ80" s="57">
        <f>IFERROR($AC81/$AC80-1,"")</f>
        <v/>
      </c>
      <c r="DK80" s="57">
        <f>IFERROR($AD81/$AD80-1,"")</f>
        <v/>
      </c>
      <c r="DL80" s="57">
        <f>IFERROR($AE81/$AE80-1,"")</f>
        <v/>
      </c>
      <c r="DM80" s="56">
        <f>$AZ80-$AZ81</f>
        <v/>
      </c>
      <c r="DN80" s="56">
        <f>$BA80-$BA81</f>
        <v/>
      </c>
      <c r="DO80" s="56">
        <f>$BB80-$BB81</f>
        <v/>
      </c>
      <c r="DP80" s="56">
        <f>$BC80-$BC81</f>
        <v/>
      </c>
      <c r="DQ80" s="56">
        <f>$BD80-$BD81</f>
        <v/>
      </c>
      <c r="DR80" s="56">
        <f>$BE80-$BE81</f>
        <v/>
      </c>
      <c r="DS80" s="56">
        <f>$BF80-$BF81</f>
        <v/>
      </c>
      <c r="DT80" s="56">
        <f>$BG80-$BG81</f>
        <v/>
      </c>
      <c r="DU80" s="56">
        <f>$BH80-$BH81</f>
        <v/>
      </c>
      <c r="DV80" s="56">
        <f>$BI80-$BI81</f>
        <v/>
      </c>
      <c r="DW80" s="56">
        <f>$BJ80-$BJ81</f>
        <v/>
      </c>
      <c r="DX80" s="56">
        <f>$BK80-$BK81</f>
        <v/>
      </c>
      <c r="DY80" s="56">
        <f>$BL80-$BL81</f>
        <v/>
      </c>
      <c r="DZ80" s="56">
        <f>$BM80-$BM81</f>
        <v/>
      </c>
      <c r="EA80" s="56">
        <f>$BN80-$BN81</f>
        <v/>
      </c>
      <c r="EB80" s="56">
        <f>$BO80-$BO81</f>
        <v/>
      </c>
      <c r="EC80" s="56">
        <f>$BP80-$BP81</f>
        <v/>
      </c>
      <c r="ED80" s="56">
        <f>$BQ80-$BQ81</f>
        <v/>
      </c>
      <c r="EE80" s="56">
        <f>$BR80-$BR81</f>
        <v/>
      </c>
      <c r="EF80" s="56">
        <f>$BS80-$BS81</f>
        <v/>
      </c>
      <c r="EG80" s="56">
        <f>$BT80-$BT81</f>
        <v/>
      </c>
      <c r="EH80" s="56">
        <f>$BU80-$BU81</f>
        <v/>
      </c>
    </row>
    <row r="81">
      <c r="BV81" s="56">
        <f>($D81-$D82)*100</f>
        <v/>
      </c>
      <c r="BW81" s="56">
        <f>($C81-$C82)*100</f>
        <v/>
      </c>
      <c r="BX81" s="57">
        <f>IFERROR($I81/$I82-1,"")</f>
        <v/>
      </c>
      <c r="BY81" s="56">
        <f>($AF81-$AF82)*100</f>
        <v/>
      </c>
      <c r="BZ81" s="56">
        <f>($AG81-$AG82)*100</f>
        <v/>
      </c>
      <c r="CA81" s="56">
        <f>($AH81-$AH82)*100</f>
        <v/>
      </c>
      <c r="CB81" s="56">
        <f>($AI81-$AI82)*100</f>
        <v/>
      </c>
      <c r="CC81" s="56">
        <f>($AJ81-$AJ82)*100</f>
        <v/>
      </c>
      <c r="CD81" s="56">
        <f>($AK81-$AK82)*100</f>
        <v/>
      </c>
      <c r="CE81" s="56">
        <f>($AL81-$AL82)*100</f>
        <v/>
      </c>
      <c r="CF81" s="56">
        <f>($AM81-$AM82)*100</f>
        <v/>
      </c>
      <c r="CG81" s="56">
        <f>($AN81-$AN82)*100</f>
        <v/>
      </c>
      <c r="CH81" s="56">
        <f>($AO81-$AO82)*100</f>
        <v/>
      </c>
      <c r="CI81" s="56">
        <f>($AP81-$AP82)*100</f>
        <v/>
      </c>
      <c r="CJ81" s="56">
        <f>($AQ81-$AQ82)*100</f>
        <v/>
      </c>
      <c r="CK81" s="56">
        <f>($AR81-$AR82)*100</f>
        <v/>
      </c>
      <c r="CL81" s="56">
        <f>($AS81-$AS82)*100</f>
        <v/>
      </c>
      <c r="CM81" s="56">
        <f>($AT81-$AT82)*100</f>
        <v/>
      </c>
      <c r="CN81" s="56">
        <f>($AU81-$AU82)*100</f>
        <v/>
      </c>
      <c r="CO81" s="56">
        <f>($AV81-$AV82)*100</f>
        <v/>
      </c>
      <c r="CP81" s="56">
        <f>($AW81-$AW82)*100</f>
        <v/>
      </c>
      <c r="CQ81" s="56">
        <f>($AX81-$AX82)*100</f>
        <v/>
      </c>
      <c r="CR81" s="56">
        <f>($AY81-$AY82)*100</f>
        <v/>
      </c>
      <c r="CS81" s="57">
        <f>IFERROR($L82/$L81-1,"")</f>
        <v/>
      </c>
      <c r="CT81" s="57">
        <f>IFERROR($M82/$M81-1,"")</f>
        <v/>
      </c>
      <c r="CU81" s="57">
        <f>IFERROR($N82/$N81-1,"")</f>
        <v/>
      </c>
      <c r="CV81" s="57">
        <f>IFERROR($O82/$O81-1,"")</f>
        <v/>
      </c>
      <c r="CW81" s="57">
        <f>IFERROR($P82/$P81-1,"")</f>
        <v/>
      </c>
      <c r="CX81" s="57">
        <f>IFERROR($Q82/$Q81-1,"")</f>
        <v/>
      </c>
      <c r="CY81" s="57">
        <f>IFERROR($R82/$R81-1,"")</f>
        <v/>
      </c>
      <c r="CZ81" s="57">
        <f>IFERROR($S82/$S81-1,"")</f>
        <v/>
      </c>
      <c r="DA81" s="57">
        <f>IFERROR($T82/$T81-1,"")</f>
        <v/>
      </c>
      <c r="DB81" s="57">
        <f>IFERROR($U82/$U81-1,"")</f>
        <v/>
      </c>
      <c r="DC81" s="57">
        <f>IFERROR($V82/$V81-1,"")</f>
        <v/>
      </c>
      <c r="DD81" s="57">
        <f>IFERROR($W82/$W81-1,"")</f>
        <v/>
      </c>
      <c r="DE81" s="57">
        <f>IFERROR($X82/$X81-1,"")</f>
        <v/>
      </c>
      <c r="DF81" s="57">
        <f>IFERROR($Y82/$Y81-1,"")</f>
        <v/>
      </c>
      <c r="DG81" s="57">
        <f>IFERROR($Z82/$Z81-1,"")</f>
        <v/>
      </c>
      <c r="DH81" s="57">
        <f>IFERROR($AA82/$AA81-1,"")</f>
        <v/>
      </c>
      <c r="DI81" s="57">
        <f>IFERROR($AB82/$AB81-1,"")</f>
        <v/>
      </c>
      <c r="DJ81" s="57">
        <f>IFERROR($AC82/$AC81-1,"")</f>
        <v/>
      </c>
      <c r="DK81" s="57">
        <f>IFERROR($AD82/$AD81-1,"")</f>
        <v/>
      </c>
      <c r="DL81" s="57">
        <f>IFERROR($AE82/$AE81-1,"")</f>
        <v/>
      </c>
      <c r="DM81" s="56">
        <f>$AZ81-$AZ82</f>
        <v/>
      </c>
      <c r="DN81" s="56">
        <f>$BA81-$BA82</f>
        <v/>
      </c>
      <c r="DO81" s="56">
        <f>$BB81-$BB82</f>
        <v/>
      </c>
      <c r="DP81" s="56">
        <f>$BC81-$BC82</f>
        <v/>
      </c>
      <c r="DQ81" s="56">
        <f>$BD81-$BD82</f>
        <v/>
      </c>
      <c r="DR81" s="56">
        <f>$BE81-$BE82</f>
        <v/>
      </c>
      <c r="DS81" s="56">
        <f>$BF81-$BF82</f>
        <v/>
      </c>
      <c r="DT81" s="56">
        <f>$BG81-$BG82</f>
        <v/>
      </c>
      <c r="DU81" s="56">
        <f>$BH81-$BH82</f>
        <v/>
      </c>
      <c r="DV81" s="56">
        <f>$BI81-$BI82</f>
        <v/>
      </c>
      <c r="DW81" s="56">
        <f>$BJ81-$BJ82</f>
        <v/>
      </c>
      <c r="DX81" s="56">
        <f>$BK81-$BK82</f>
        <v/>
      </c>
      <c r="DY81" s="56">
        <f>$BL81-$BL82</f>
        <v/>
      </c>
      <c r="DZ81" s="56">
        <f>$BM81-$BM82</f>
        <v/>
      </c>
      <c r="EA81" s="56">
        <f>$BN81-$BN82</f>
        <v/>
      </c>
      <c r="EB81" s="56">
        <f>$BO81-$BO82</f>
        <v/>
      </c>
      <c r="EC81" s="56">
        <f>$BP81-$BP82</f>
        <v/>
      </c>
      <c r="ED81" s="56">
        <f>$BQ81-$BQ82</f>
        <v/>
      </c>
      <c r="EE81" s="56">
        <f>$BR81-$BR82</f>
        <v/>
      </c>
      <c r="EF81" s="56">
        <f>$BS81-$BS82</f>
        <v/>
      </c>
      <c r="EG81" s="56">
        <f>$BT81-$BT82</f>
        <v/>
      </c>
      <c r="EH81" s="56">
        <f>$BU81-$BU82</f>
        <v/>
      </c>
    </row>
    <row r="82">
      <c r="BV82" s="56">
        <f>($D82-$D83)*100</f>
        <v/>
      </c>
      <c r="BW82" s="56">
        <f>($C82-$C83)*100</f>
        <v/>
      </c>
      <c r="BX82" s="57">
        <f>IFERROR($I82/$I83-1,"")</f>
        <v/>
      </c>
      <c r="BY82" s="56">
        <f>($AF82-$AF83)*100</f>
        <v/>
      </c>
      <c r="BZ82" s="56">
        <f>($AG82-$AG83)*100</f>
        <v/>
      </c>
      <c r="CA82" s="56">
        <f>($AH82-$AH83)*100</f>
        <v/>
      </c>
      <c r="CB82" s="56">
        <f>($AI82-$AI83)*100</f>
        <v/>
      </c>
      <c r="CC82" s="56">
        <f>($AJ82-$AJ83)*100</f>
        <v/>
      </c>
      <c r="CD82" s="56">
        <f>($AK82-$AK83)*100</f>
        <v/>
      </c>
      <c r="CE82" s="56">
        <f>($AL82-$AL83)*100</f>
        <v/>
      </c>
      <c r="CF82" s="56">
        <f>($AM82-$AM83)*100</f>
        <v/>
      </c>
      <c r="CG82" s="56">
        <f>($AN82-$AN83)*100</f>
        <v/>
      </c>
      <c r="CH82" s="56">
        <f>($AO82-$AO83)*100</f>
        <v/>
      </c>
      <c r="CI82" s="56">
        <f>($AP82-$AP83)*100</f>
        <v/>
      </c>
      <c r="CJ82" s="56">
        <f>($AQ82-$AQ83)*100</f>
        <v/>
      </c>
      <c r="CK82" s="56">
        <f>($AR82-$AR83)*100</f>
        <v/>
      </c>
      <c r="CL82" s="56">
        <f>($AS82-$AS83)*100</f>
        <v/>
      </c>
      <c r="CM82" s="56">
        <f>($AT82-$AT83)*100</f>
        <v/>
      </c>
      <c r="CN82" s="56">
        <f>($AU82-$AU83)*100</f>
        <v/>
      </c>
      <c r="CO82" s="56">
        <f>($AV82-$AV83)*100</f>
        <v/>
      </c>
      <c r="CP82" s="56">
        <f>($AW82-$AW83)*100</f>
        <v/>
      </c>
      <c r="CQ82" s="56">
        <f>($AX82-$AX83)*100</f>
        <v/>
      </c>
      <c r="CR82" s="56">
        <f>($AY82-$AY83)*100</f>
        <v/>
      </c>
      <c r="CS82" s="57">
        <f>IFERROR($L83/$L82-1,"")</f>
        <v/>
      </c>
      <c r="CT82" s="57">
        <f>IFERROR($M83/$M82-1,"")</f>
        <v/>
      </c>
      <c r="CU82" s="57">
        <f>IFERROR($N83/$N82-1,"")</f>
        <v/>
      </c>
      <c r="CV82" s="57">
        <f>IFERROR($O83/$O82-1,"")</f>
        <v/>
      </c>
      <c r="CW82" s="57">
        <f>IFERROR($P83/$P82-1,"")</f>
        <v/>
      </c>
      <c r="CX82" s="57">
        <f>IFERROR($Q83/$Q82-1,"")</f>
        <v/>
      </c>
      <c r="CY82" s="57">
        <f>IFERROR($R83/$R82-1,"")</f>
        <v/>
      </c>
      <c r="CZ82" s="57">
        <f>IFERROR($S83/$S82-1,"")</f>
        <v/>
      </c>
      <c r="DA82" s="57">
        <f>IFERROR($T83/$T82-1,"")</f>
        <v/>
      </c>
      <c r="DB82" s="57">
        <f>IFERROR($U83/$U82-1,"")</f>
        <v/>
      </c>
      <c r="DC82" s="57">
        <f>IFERROR($V83/$V82-1,"")</f>
        <v/>
      </c>
      <c r="DD82" s="57">
        <f>IFERROR($W83/$W82-1,"")</f>
        <v/>
      </c>
      <c r="DE82" s="57">
        <f>IFERROR($X83/$X82-1,"")</f>
        <v/>
      </c>
      <c r="DF82" s="57">
        <f>IFERROR($Y83/$Y82-1,"")</f>
        <v/>
      </c>
      <c r="DG82" s="57">
        <f>IFERROR($Z83/$Z82-1,"")</f>
        <v/>
      </c>
      <c r="DH82" s="57">
        <f>IFERROR($AA83/$AA82-1,"")</f>
        <v/>
      </c>
      <c r="DI82" s="57">
        <f>IFERROR($AB83/$AB82-1,"")</f>
        <v/>
      </c>
      <c r="DJ82" s="57">
        <f>IFERROR($AC83/$AC82-1,"")</f>
        <v/>
      </c>
      <c r="DK82" s="57">
        <f>IFERROR($AD83/$AD82-1,"")</f>
        <v/>
      </c>
      <c r="DL82" s="57">
        <f>IFERROR($AE83/$AE82-1,"")</f>
        <v/>
      </c>
      <c r="DM82" s="56">
        <f>$AZ82-$AZ83</f>
        <v/>
      </c>
      <c r="DN82" s="56">
        <f>$BA82-$BA83</f>
        <v/>
      </c>
      <c r="DO82" s="56">
        <f>$BB82-$BB83</f>
        <v/>
      </c>
      <c r="DP82" s="56">
        <f>$BC82-$BC83</f>
        <v/>
      </c>
      <c r="DQ82" s="56">
        <f>$BD82-$BD83</f>
        <v/>
      </c>
      <c r="DR82" s="56">
        <f>$BE82-$BE83</f>
        <v/>
      </c>
      <c r="DS82" s="56">
        <f>$BF82-$BF83</f>
        <v/>
      </c>
      <c r="DT82" s="56">
        <f>$BG82-$BG83</f>
        <v/>
      </c>
      <c r="DU82" s="56">
        <f>$BH82-$BH83</f>
        <v/>
      </c>
      <c r="DV82" s="56">
        <f>$BI82-$BI83</f>
        <v/>
      </c>
      <c r="DW82" s="56">
        <f>$BJ82-$BJ83</f>
        <v/>
      </c>
      <c r="DX82" s="56">
        <f>$BK82-$BK83</f>
        <v/>
      </c>
      <c r="DY82" s="56">
        <f>$BL82-$BL83</f>
        <v/>
      </c>
      <c r="DZ82" s="56">
        <f>$BM82-$BM83</f>
        <v/>
      </c>
      <c r="EA82" s="56">
        <f>$BN82-$BN83</f>
        <v/>
      </c>
      <c r="EB82" s="56">
        <f>$BO82-$BO83</f>
        <v/>
      </c>
      <c r="EC82" s="56">
        <f>$BP82-$BP83</f>
        <v/>
      </c>
      <c r="ED82" s="56">
        <f>$BQ82-$BQ83</f>
        <v/>
      </c>
      <c r="EE82" s="56">
        <f>$BR82-$BR83</f>
        <v/>
      </c>
      <c r="EF82" s="56">
        <f>$BS82-$BS83</f>
        <v/>
      </c>
      <c r="EG82" s="56">
        <f>$BT82-$BT83</f>
        <v/>
      </c>
      <c r="EH82" s="56">
        <f>$BU82-$BU83</f>
        <v/>
      </c>
    </row>
    <row r="83">
      <c r="BV83" s="56">
        <f>($D83-$D84)*100</f>
        <v/>
      </c>
      <c r="BW83" s="56">
        <f>($C83-$C84)*100</f>
        <v/>
      </c>
      <c r="BX83" s="57">
        <f>IFERROR($I83/$I84-1,"")</f>
        <v/>
      </c>
      <c r="BY83" s="56">
        <f>($AF83-$AF84)*100</f>
        <v/>
      </c>
      <c r="BZ83" s="56">
        <f>($AG83-$AG84)*100</f>
        <v/>
      </c>
      <c r="CA83" s="56">
        <f>($AH83-$AH84)*100</f>
        <v/>
      </c>
      <c r="CB83" s="56">
        <f>($AI83-$AI84)*100</f>
        <v/>
      </c>
      <c r="CC83" s="56">
        <f>($AJ83-$AJ84)*100</f>
        <v/>
      </c>
      <c r="CD83" s="56">
        <f>($AK83-$AK84)*100</f>
        <v/>
      </c>
      <c r="CE83" s="56">
        <f>($AL83-$AL84)*100</f>
        <v/>
      </c>
      <c r="CF83" s="56">
        <f>($AM83-$AM84)*100</f>
        <v/>
      </c>
      <c r="CG83" s="56">
        <f>($AN83-$AN84)*100</f>
        <v/>
      </c>
      <c r="CH83" s="56">
        <f>($AO83-$AO84)*100</f>
        <v/>
      </c>
      <c r="CI83" s="56">
        <f>($AP83-$AP84)*100</f>
        <v/>
      </c>
      <c r="CJ83" s="56">
        <f>($AQ83-$AQ84)*100</f>
        <v/>
      </c>
      <c r="CK83" s="56">
        <f>($AR83-$AR84)*100</f>
        <v/>
      </c>
      <c r="CL83" s="56">
        <f>($AS83-$AS84)*100</f>
        <v/>
      </c>
      <c r="CM83" s="56">
        <f>($AT83-$AT84)*100</f>
        <v/>
      </c>
      <c r="CN83" s="56">
        <f>($AU83-$AU84)*100</f>
        <v/>
      </c>
      <c r="CO83" s="56">
        <f>($AV83-$AV84)*100</f>
        <v/>
      </c>
      <c r="CP83" s="56">
        <f>($AW83-$AW84)*100</f>
        <v/>
      </c>
      <c r="CQ83" s="56">
        <f>($AX83-$AX84)*100</f>
        <v/>
      </c>
      <c r="CR83" s="56">
        <f>($AY83-$AY84)*100</f>
        <v/>
      </c>
      <c r="CS83" s="57">
        <f>IFERROR($L84/$L83-1,"")</f>
        <v/>
      </c>
      <c r="CT83" s="57">
        <f>IFERROR($M84/$M83-1,"")</f>
        <v/>
      </c>
      <c r="CU83" s="57">
        <f>IFERROR($N84/$N83-1,"")</f>
        <v/>
      </c>
      <c r="CV83" s="57">
        <f>IFERROR($O84/$O83-1,"")</f>
        <v/>
      </c>
      <c r="CW83" s="57">
        <f>IFERROR($P84/$P83-1,"")</f>
        <v/>
      </c>
      <c r="CX83" s="57">
        <f>IFERROR($Q84/$Q83-1,"")</f>
        <v/>
      </c>
      <c r="CY83" s="57">
        <f>IFERROR($R84/$R83-1,"")</f>
        <v/>
      </c>
      <c r="CZ83" s="57">
        <f>IFERROR($S84/$S83-1,"")</f>
        <v/>
      </c>
      <c r="DA83" s="57">
        <f>IFERROR($T84/$T83-1,"")</f>
        <v/>
      </c>
      <c r="DB83" s="57">
        <f>IFERROR($U84/$U83-1,"")</f>
        <v/>
      </c>
      <c r="DC83" s="57">
        <f>IFERROR($V84/$V83-1,"")</f>
        <v/>
      </c>
      <c r="DD83" s="57">
        <f>IFERROR($W84/$W83-1,"")</f>
        <v/>
      </c>
      <c r="DE83" s="57">
        <f>IFERROR($X84/$X83-1,"")</f>
        <v/>
      </c>
      <c r="DF83" s="57">
        <f>IFERROR($Y84/$Y83-1,"")</f>
        <v/>
      </c>
      <c r="DG83" s="57">
        <f>IFERROR($Z84/$Z83-1,"")</f>
        <v/>
      </c>
      <c r="DH83" s="57">
        <f>IFERROR($AA84/$AA83-1,"")</f>
        <v/>
      </c>
      <c r="DI83" s="57">
        <f>IFERROR($AB84/$AB83-1,"")</f>
        <v/>
      </c>
      <c r="DJ83" s="57">
        <f>IFERROR($AC84/$AC83-1,"")</f>
        <v/>
      </c>
      <c r="DK83" s="57">
        <f>IFERROR($AD84/$AD83-1,"")</f>
        <v/>
      </c>
      <c r="DL83" s="57">
        <f>IFERROR($AE84/$AE83-1,"")</f>
        <v/>
      </c>
      <c r="DM83" s="56">
        <f>$AZ83-$AZ84</f>
        <v/>
      </c>
      <c r="DN83" s="56">
        <f>$BA83-$BA84</f>
        <v/>
      </c>
      <c r="DO83" s="56">
        <f>$BB83-$BB84</f>
        <v/>
      </c>
      <c r="DP83" s="56">
        <f>$BC83-$BC84</f>
        <v/>
      </c>
      <c r="DQ83" s="56">
        <f>$BD83-$BD84</f>
        <v/>
      </c>
      <c r="DR83" s="56">
        <f>$BE83-$BE84</f>
        <v/>
      </c>
      <c r="DS83" s="56">
        <f>$BF83-$BF84</f>
        <v/>
      </c>
      <c r="DT83" s="56">
        <f>$BG83-$BG84</f>
        <v/>
      </c>
      <c r="DU83" s="56">
        <f>$BH83-$BH84</f>
        <v/>
      </c>
      <c r="DV83" s="56">
        <f>$BI83-$BI84</f>
        <v/>
      </c>
      <c r="DW83" s="56">
        <f>$BJ83-$BJ84</f>
        <v/>
      </c>
      <c r="DX83" s="56">
        <f>$BK83-$BK84</f>
        <v/>
      </c>
      <c r="DY83" s="56">
        <f>$BL83-$BL84</f>
        <v/>
      </c>
      <c r="DZ83" s="56">
        <f>$BM83-$BM84</f>
        <v/>
      </c>
      <c r="EA83" s="56">
        <f>$BN83-$BN84</f>
        <v/>
      </c>
      <c r="EB83" s="56">
        <f>$BO83-$BO84</f>
        <v/>
      </c>
      <c r="EC83" s="56">
        <f>$BP83-$BP84</f>
        <v/>
      </c>
      <c r="ED83" s="56">
        <f>$BQ83-$BQ84</f>
        <v/>
      </c>
      <c r="EE83" s="56">
        <f>$BR83-$BR84</f>
        <v/>
      </c>
      <c r="EF83" s="56">
        <f>$BS83-$BS84</f>
        <v/>
      </c>
      <c r="EG83" s="56">
        <f>$BT83-$BT84</f>
        <v/>
      </c>
      <c r="EH83" s="56">
        <f>$BU83-$BU84</f>
        <v/>
      </c>
    </row>
    <row r="84">
      <c r="BV84" s="56">
        <f>($D84-$D85)*100</f>
        <v/>
      </c>
      <c r="BW84" s="56">
        <f>($C84-$C85)*100</f>
        <v/>
      </c>
      <c r="BX84" s="57">
        <f>IFERROR($I84/$I85-1,"")</f>
        <v/>
      </c>
      <c r="BY84" s="56">
        <f>($AF84-$AF85)*100</f>
        <v/>
      </c>
      <c r="BZ84" s="56">
        <f>($AG84-$AG85)*100</f>
        <v/>
      </c>
      <c r="CA84" s="56">
        <f>($AH84-$AH85)*100</f>
        <v/>
      </c>
      <c r="CB84" s="56">
        <f>($AI84-$AI85)*100</f>
        <v/>
      </c>
      <c r="CC84" s="56">
        <f>($AJ84-$AJ85)*100</f>
        <v/>
      </c>
      <c r="CD84" s="56">
        <f>($AK84-$AK85)*100</f>
        <v/>
      </c>
      <c r="CE84" s="56">
        <f>($AL84-$AL85)*100</f>
        <v/>
      </c>
      <c r="CF84" s="56">
        <f>($AM84-$AM85)*100</f>
        <v/>
      </c>
      <c r="CG84" s="56">
        <f>($AN84-$AN85)*100</f>
        <v/>
      </c>
      <c r="CH84" s="56">
        <f>($AO84-$AO85)*100</f>
        <v/>
      </c>
      <c r="CI84" s="56">
        <f>($AP84-$AP85)*100</f>
        <v/>
      </c>
      <c r="CJ84" s="56">
        <f>($AQ84-$AQ85)*100</f>
        <v/>
      </c>
      <c r="CK84" s="56">
        <f>($AR84-$AR85)*100</f>
        <v/>
      </c>
      <c r="CL84" s="56">
        <f>($AS84-$AS85)*100</f>
        <v/>
      </c>
      <c r="CM84" s="56">
        <f>($AT84-$AT85)*100</f>
        <v/>
      </c>
      <c r="CN84" s="56">
        <f>($AU84-$AU85)*100</f>
        <v/>
      </c>
      <c r="CO84" s="56">
        <f>($AV84-$AV85)*100</f>
        <v/>
      </c>
      <c r="CP84" s="56">
        <f>($AW84-$AW85)*100</f>
        <v/>
      </c>
      <c r="CQ84" s="56">
        <f>($AX84-$AX85)*100</f>
        <v/>
      </c>
      <c r="CR84" s="56">
        <f>($AY84-$AY85)*100</f>
        <v/>
      </c>
      <c r="CS84" s="57">
        <f>IFERROR($L85/$L84-1,"")</f>
        <v/>
      </c>
      <c r="CT84" s="57">
        <f>IFERROR($M85/$M84-1,"")</f>
        <v/>
      </c>
      <c r="CU84" s="57">
        <f>IFERROR($N85/$N84-1,"")</f>
        <v/>
      </c>
      <c r="CV84" s="57">
        <f>IFERROR($O85/$O84-1,"")</f>
        <v/>
      </c>
      <c r="CW84" s="57">
        <f>IFERROR($P85/$P84-1,"")</f>
        <v/>
      </c>
      <c r="CX84" s="57">
        <f>IFERROR($Q85/$Q84-1,"")</f>
        <v/>
      </c>
      <c r="CY84" s="57">
        <f>IFERROR($R85/$R84-1,"")</f>
        <v/>
      </c>
      <c r="CZ84" s="57">
        <f>IFERROR($S85/$S84-1,"")</f>
        <v/>
      </c>
      <c r="DA84" s="57">
        <f>IFERROR($T85/$T84-1,"")</f>
        <v/>
      </c>
      <c r="DB84" s="57">
        <f>IFERROR($U85/$U84-1,"")</f>
        <v/>
      </c>
      <c r="DC84" s="57">
        <f>IFERROR($V85/$V84-1,"")</f>
        <v/>
      </c>
      <c r="DD84" s="57">
        <f>IFERROR($W85/$W84-1,"")</f>
        <v/>
      </c>
      <c r="DE84" s="57">
        <f>IFERROR($X85/$X84-1,"")</f>
        <v/>
      </c>
      <c r="DF84" s="57">
        <f>IFERROR($Y85/$Y84-1,"")</f>
        <v/>
      </c>
      <c r="DG84" s="57">
        <f>IFERROR($Z85/$Z84-1,"")</f>
        <v/>
      </c>
      <c r="DH84" s="57">
        <f>IFERROR($AA85/$AA84-1,"")</f>
        <v/>
      </c>
      <c r="DI84" s="57">
        <f>IFERROR($AB85/$AB84-1,"")</f>
        <v/>
      </c>
      <c r="DJ84" s="57">
        <f>IFERROR($AC85/$AC84-1,"")</f>
        <v/>
      </c>
      <c r="DK84" s="57">
        <f>IFERROR($AD85/$AD84-1,"")</f>
        <v/>
      </c>
      <c r="DL84" s="57">
        <f>IFERROR($AE85/$AE84-1,"")</f>
        <v/>
      </c>
      <c r="DM84" s="56">
        <f>$AZ84-$AZ85</f>
        <v/>
      </c>
      <c r="DN84" s="56">
        <f>$BA84-$BA85</f>
        <v/>
      </c>
      <c r="DO84" s="56">
        <f>$BB84-$BB85</f>
        <v/>
      </c>
      <c r="DP84" s="56">
        <f>$BC84-$BC85</f>
        <v/>
      </c>
      <c r="DQ84" s="56">
        <f>$BD84-$BD85</f>
        <v/>
      </c>
      <c r="DR84" s="56">
        <f>$BE84-$BE85</f>
        <v/>
      </c>
      <c r="DS84" s="56">
        <f>$BF84-$BF85</f>
        <v/>
      </c>
      <c r="DT84" s="56">
        <f>$BG84-$BG85</f>
        <v/>
      </c>
      <c r="DU84" s="56">
        <f>$BH84-$BH85</f>
        <v/>
      </c>
      <c r="DV84" s="56">
        <f>$BI84-$BI85</f>
        <v/>
      </c>
      <c r="DW84" s="56">
        <f>$BJ84-$BJ85</f>
        <v/>
      </c>
      <c r="DX84" s="56">
        <f>$BK84-$BK85</f>
        <v/>
      </c>
      <c r="DY84" s="56">
        <f>$BL84-$BL85</f>
        <v/>
      </c>
      <c r="DZ84" s="56">
        <f>$BM84-$BM85</f>
        <v/>
      </c>
      <c r="EA84" s="56">
        <f>$BN84-$BN85</f>
        <v/>
      </c>
      <c r="EB84" s="56">
        <f>$BO84-$BO85</f>
        <v/>
      </c>
      <c r="EC84" s="56">
        <f>$BP84-$BP85</f>
        <v/>
      </c>
      <c r="ED84" s="56">
        <f>$BQ84-$BQ85</f>
        <v/>
      </c>
      <c r="EE84" s="56">
        <f>$BR84-$BR85</f>
        <v/>
      </c>
      <c r="EF84" s="56">
        <f>$BS84-$BS85</f>
        <v/>
      </c>
      <c r="EG84" s="56">
        <f>$BT84-$BT85</f>
        <v/>
      </c>
      <c r="EH84" s="56">
        <f>$BU84-$BU85</f>
        <v/>
      </c>
    </row>
    <row r="85">
      <c r="BV85" s="56">
        <f>($D85-$D86)*100</f>
        <v/>
      </c>
      <c r="BW85" s="56">
        <f>($C85-$C86)*100</f>
        <v/>
      </c>
      <c r="BX85" s="57">
        <f>IFERROR($I85/$I86-1,"")</f>
        <v/>
      </c>
      <c r="BY85" s="56">
        <f>($AF85-$AF86)*100</f>
        <v/>
      </c>
      <c r="BZ85" s="56">
        <f>($AG85-$AG86)*100</f>
        <v/>
      </c>
      <c r="CA85" s="56">
        <f>($AH85-$AH86)*100</f>
        <v/>
      </c>
      <c r="CB85" s="56">
        <f>($AI85-$AI86)*100</f>
        <v/>
      </c>
      <c r="CC85" s="56">
        <f>($AJ85-$AJ86)*100</f>
        <v/>
      </c>
      <c r="CD85" s="56">
        <f>($AK85-$AK86)*100</f>
        <v/>
      </c>
      <c r="CE85" s="56">
        <f>($AL85-$AL86)*100</f>
        <v/>
      </c>
      <c r="CF85" s="56">
        <f>($AM85-$AM86)*100</f>
        <v/>
      </c>
      <c r="CG85" s="56">
        <f>($AN85-$AN86)*100</f>
        <v/>
      </c>
      <c r="CH85" s="56">
        <f>($AO85-$AO86)*100</f>
        <v/>
      </c>
      <c r="CI85" s="56">
        <f>($AP85-$AP86)*100</f>
        <v/>
      </c>
      <c r="CJ85" s="56">
        <f>($AQ85-$AQ86)*100</f>
        <v/>
      </c>
      <c r="CK85" s="56">
        <f>($AR85-$AR86)*100</f>
        <v/>
      </c>
      <c r="CL85" s="56">
        <f>($AS85-$AS86)*100</f>
        <v/>
      </c>
      <c r="CM85" s="56">
        <f>($AT85-$AT86)*100</f>
        <v/>
      </c>
      <c r="CN85" s="56">
        <f>($AU85-$AU86)*100</f>
        <v/>
      </c>
      <c r="CO85" s="56">
        <f>($AV85-$AV86)*100</f>
        <v/>
      </c>
      <c r="CP85" s="56">
        <f>($AW85-$AW86)*100</f>
        <v/>
      </c>
      <c r="CQ85" s="56">
        <f>($AX85-$AX86)*100</f>
        <v/>
      </c>
      <c r="CR85" s="56">
        <f>($AY85-$AY86)*100</f>
        <v/>
      </c>
      <c r="CS85" s="57">
        <f>IFERROR($L86/$L85-1,"")</f>
        <v/>
      </c>
      <c r="CT85" s="57">
        <f>IFERROR($M86/$M85-1,"")</f>
        <v/>
      </c>
      <c r="CU85" s="57">
        <f>IFERROR($N86/$N85-1,"")</f>
        <v/>
      </c>
      <c r="CV85" s="57">
        <f>IFERROR($O86/$O85-1,"")</f>
        <v/>
      </c>
      <c r="CW85" s="57">
        <f>IFERROR($P86/$P85-1,"")</f>
        <v/>
      </c>
      <c r="CX85" s="57">
        <f>IFERROR($Q86/$Q85-1,"")</f>
        <v/>
      </c>
      <c r="CY85" s="57">
        <f>IFERROR($R86/$R85-1,"")</f>
        <v/>
      </c>
      <c r="CZ85" s="57">
        <f>IFERROR($S86/$S85-1,"")</f>
        <v/>
      </c>
      <c r="DA85" s="57">
        <f>IFERROR($T86/$T85-1,"")</f>
        <v/>
      </c>
      <c r="DB85" s="57">
        <f>IFERROR($U86/$U85-1,"")</f>
        <v/>
      </c>
      <c r="DC85" s="57">
        <f>IFERROR($V86/$V85-1,"")</f>
        <v/>
      </c>
      <c r="DD85" s="57">
        <f>IFERROR($W86/$W85-1,"")</f>
        <v/>
      </c>
      <c r="DE85" s="57">
        <f>IFERROR($X86/$X85-1,"")</f>
        <v/>
      </c>
      <c r="DF85" s="57">
        <f>IFERROR($Y86/$Y85-1,"")</f>
        <v/>
      </c>
      <c r="DG85" s="57">
        <f>IFERROR($Z86/$Z85-1,"")</f>
        <v/>
      </c>
      <c r="DH85" s="57">
        <f>IFERROR($AA86/$AA85-1,"")</f>
        <v/>
      </c>
      <c r="DI85" s="57">
        <f>IFERROR($AB86/$AB85-1,"")</f>
        <v/>
      </c>
      <c r="DJ85" s="57">
        <f>IFERROR($AC86/$AC85-1,"")</f>
        <v/>
      </c>
      <c r="DK85" s="57">
        <f>IFERROR($AD86/$AD85-1,"")</f>
        <v/>
      </c>
      <c r="DL85" s="57">
        <f>IFERROR($AE86/$AE85-1,"")</f>
        <v/>
      </c>
      <c r="DM85" s="56">
        <f>$AZ85-$AZ86</f>
        <v/>
      </c>
      <c r="DN85" s="56">
        <f>$BA85-$BA86</f>
        <v/>
      </c>
      <c r="DO85" s="56">
        <f>$BB85-$BB86</f>
        <v/>
      </c>
      <c r="DP85" s="56">
        <f>$BC85-$BC86</f>
        <v/>
      </c>
      <c r="DQ85" s="56">
        <f>$BD85-$BD86</f>
        <v/>
      </c>
      <c r="DR85" s="56">
        <f>$BE85-$BE86</f>
        <v/>
      </c>
      <c r="DS85" s="56">
        <f>$BF85-$BF86</f>
        <v/>
      </c>
      <c r="DT85" s="56">
        <f>$BG85-$BG86</f>
        <v/>
      </c>
      <c r="DU85" s="56">
        <f>$BH85-$BH86</f>
        <v/>
      </c>
      <c r="DV85" s="56">
        <f>$BI85-$BI86</f>
        <v/>
      </c>
      <c r="DW85" s="56">
        <f>$BJ85-$BJ86</f>
        <v/>
      </c>
      <c r="DX85" s="56">
        <f>$BK85-$BK86</f>
        <v/>
      </c>
      <c r="DY85" s="56">
        <f>$BL85-$BL86</f>
        <v/>
      </c>
      <c r="DZ85" s="56">
        <f>$BM85-$BM86</f>
        <v/>
      </c>
      <c r="EA85" s="56">
        <f>$BN85-$BN86</f>
        <v/>
      </c>
      <c r="EB85" s="56">
        <f>$BO85-$BO86</f>
        <v/>
      </c>
      <c r="EC85" s="56">
        <f>$BP85-$BP86</f>
        <v/>
      </c>
      <c r="ED85" s="56">
        <f>$BQ85-$BQ86</f>
        <v/>
      </c>
      <c r="EE85" s="56">
        <f>$BR85-$BR86</f>
        <v/>
      </c>
      <c r="EF85" s="56">
        <f>$BS85-$BS86</f>
        <v/>
      </c>
      <c r="EG85" s="56">
        <f>$BT85-$BT86</f>
        <v/>
      </c>
      <c r="EH85" s="56">
        <f>$BU85-$BU86</f>
        <v/>
      </c>
    </row>
    <row r="86">
      <c r="BV86" s="56">
        <f>($D86-$D87)*100</f>
        <v/>
      </c>
      <c r="BW86" s="56">
        <f>($C86-$C87)*100</f>
        <v/>
      </c>
      <c r="BX86" s="57">
        <f>IFERROR($I86/$I87-1,"")</f>
        <v/>
      </c>
      <c r="BY86" s="56">
        <f>($AF86-$AF87)*100</f>
        <v/>
      </c>
      <c r="BZ86" s="56">
        <f>($AG86-$AG87)*100</f>
        <v/>
      </c>
      <c r="CA86" s="56">
        <f>($AH86-$AH87)*100</f>
        <v/>
      </c>
      <c r="CB86" s="56">
        <f>($AI86-$AI87)*100</f>
        <v/>
      </c>
      <c r="CC86" s="56">
        <f>($AJ86-$AJ87)*100</f>
        <v/>
      </c>
      <c r="CD86" s="56">
        <f>($AK86-$AK87)*100</f>
        <v/>
      </c>
      <c r="CE86" s="56">
        <f>($AL86-$AL87)*100</f>
        <v/>
      </c>
      <c r="CF86" s="56">
        <f>($AM86-$AM87)*100</f>
        <v/>
      </c>
      <c r="CG86" s="56">
        <f>($AN86-$AN87)*100</f>
        <v/>
      </c>
      <c r="CH86" s="56">
        <f>($AO86-$AO87)*100</f>
        <v/>
      </c>
      <c r="CI86" s="56">
        <f>($AP86-$AP87)*100</f>
        <v/>
      </c>
      <c r="CJ86" s="56">
        <f>($AQ86-$AQ87)*100</f>
        <v/>
      </c>
      <c r="CK86" s="56">
        <f>($AR86-$AR87)*100</f>
        <v/>
      </c>
      <c r="CL86" s="56">
        <f>($AS86-$AS87)*100</f>
        <v/>
      </c>
      <c r="CM86" s="56">
        <f>($AT86-$AT87)*100</f>
        <v/>
      </c>
      <c r="CN86" s="56">
        <f>($AU86-$AU87)*100</f>
        <v/>
      </c>
      <c r="CO86" s="56">
        <f>($AV86-$AV87)*100</f>
        <v/>
      </c>
      <c r="CP86" s="56">
        <f>($AW86-$AW87)*100</f>
        <v/>
      </c>
      <c r="CQ86" s="56">
        <f>($AX86-$AX87)*100</f>
        <v/>
      </c>
      <c r="CR86" s="56">
        <f>($AY86-$AY87)*100</f>
        <v/>
      </c>
      <c r="CS86" s="57">
        <f>IFERROR($L87/$L86-1,"")</f>
        <v/>
      </c>
      <c r="CT86" s="57">
        <f>IFERROR($M87/$M86-1,"")</f>
        <v/>
      </c>
      <c r="CU86" s="57">
        <f>IFERROR($N87/$N86-1,"")</f>
        <v/>
      </c>
      <c r="CV86" s="57">
        <f>IFERROR($O87/$O86-1,"")</f>
        <v/>
      </c>
      <c r="CW86" s="57">
        <f>IFERROR($P87/$P86-1,"")</f>
        <v/>
      </c>
      <c r="CX86" s="57">
        <f>IFERROR($Q87/$Q86-1,"")</f>
        <v/>
      </c>
      <c r="CY86" s="57">
        <f>IFERROR($R87/$R86-1,"")</f>
        <v/>
      </c>
      <c r="CZ86" s="57">
        <f>IFERROR($S87/$S86-1,"")</f>
        <v/>
      </c>
      <c r="DA86" s="57">
        <f>IFERROR($T87/$T86-1,"")</f>
        <v/>
      </c>
      <c r="DB86" s="57">
        <f>IFERROR($U87/$U86-1,"")</f>
        <v/>
      </c>
      <c r="DC86" s="57">
        <f>IFERROR($V87/$V86-1,"")</f>
        <v/>
      </c>
      <c r="DD86" s="57">
        <f>IFERROR($W87/$W86-1,"")</f>
        <v/>
      </c>
      <c r="DE86" s="57">
        <f>IFERROR($X87/$X86-1,"")</f>
        <v/>
      </c>
      <c r="DF86" s="57">
        <f>IFERROR($Y87/$Y86-1,"")</f>
        <v/>
      </c>
      <c r="DG86" s="57">
        <f>IFERROR($Z87/$Z86-1,"")</f>
        <v/>
      </c>
      <c r="DH86" s="57">
        <f>IFERROR($AA87/$AA86-1,"")</f>
        <v/>
      </c>
      <c r="DI86" s="57">
        <f>IFERROR($AB87/$AB86-1,"")</f>
        <v/>
      </c>
      <c r="DJ86" s="57">
        <f>IFERROR($AC87/$AC86-1,"")</f>
        <v/>
      </c>
      <c r="DK86" s="57">
        <f>IFERROR($AD87/$AD86-1,"")</f>
        <v/>
      </c>
      <c r="DL86" s="57">
        <f>IFERROR($AE87/$AE86-1,"")</f>
        <v/>
      </c>
      <c r="DM86" s="56">
        <f>$AZ86-$AZ87</f>
        <v/>
      </c>
      <c r="DN86" s="56">
        <f>$BA86-$BA87</f>
        <v/>
      </c>
      <c r="DO86" s="56">
        <f>$BB86-$BB87</f>
        <v/>
      </c>
      <c r="DP86" s="56">
        <f>$BC86-$BC87</f>
        <v/>
      </c>
      <c r="DQ86" s="56">
        <f>$BD86-$BD87</f>
        <v/>
      </c>
      <c r="DR86" s="56">
        <f>$BE86-$BE87</f>
        <v/>
      </c>
      <c r="DS86" s="56">
        <f>$BF86-$BF87</f>
        <v/>
      </c>
      <c r="DT86" s="56">
        <f>$BG86-$BG87</f>
        <v/>
      </c>
      <c r="DU86" s="56">
        <f>$BH86-$BH87</f>
        <v/>
      </c>
      <c r="DV86" s="56">
        <f>$BI86-$BI87</f>
        <v/>
      </c>
      <c r="DW86" s="56">
        <f>$BJ86-$BJ87</f>
        <v/>
      </c>
      <c r="DX86" s="56">
        <f>$BK86-$BK87</f>
        <v/>
      </c>
      <c r="DY86" s="56">
        <f>$BL86-$BL87</f>
        <v/>
      </c>
      <c r="DZ86" s="56">
        <f>$BM86-$BM87</f>
        <v/>
      </c>
      <c r="EA86" s="56">
        <f>$BN86-$BN87</f>
        <v/>
      </c>
      <c r="EB86" s="56">
        <f>$BO86-$BO87</f>
        <v/>
      </c>
      <c r="EC86" s="56">
        <f>$BP86-$BP87</f>
        <v/>
      </c>
      <c r="ED86" s="56">
        <f>$BQ86-$BQ87</f>
        <v/>
      </c>
      <c r="EE86" s="56">
        <f>$BR86-$BR87</f>
        <v/>
      </c>
      <c r="EF86" s="56">
        <f>$BS86-$BS87</f>
        <v/>
      </c>
      <c r="EG86" s="56">
        <f>$BT86-$BT87</f>
        <v/>
      </c>
      <c r="EH86" s="56">
        <f>$BU86-$BU87</f>
        <v/>
      </c>
    </row>
    <row r="87">
      <c r="BV87" s="56">
        <f>($D87-$D88)*100</f>
        <v/>
      </c>
      <c r="BW87" s="56">
        <f>($C87-$C88)*100</f>
        <v/>
      </c>
      <c r="BX87" s="57">
        <f>IFERROR($I87/$I88-1,"")</f>
        <v/>
      </c>
      <c r="BY87" s="56">
        <f>($AF87-$AF88)*100</f>
        <v/>
      </c>
      <c r="BZ87" s="56">
        <f>($AG87-$AG88)*100</f>
        <v/>
      </c>
      <c r="CA87" s="56">
        <f>($AH87-$AH88)*100</f>
        <v/>
      </c>
      <c r="CB87" s="56">
        <f>($AI87-$AI88)*100</f>
        <v/>
      </c>
      <c r="CC87" s="56">
        <f>($AJ87-$AJ88)*100</f>
        <v/>
      </c>
      <c r="CD87" s="56">
        <f>($AK87-$AK88)*100</f>
        <v/>
      </c>
      <c r="CE87" s="56">
        <f>($AL87-$AL88)*100</f>
        <v/>
      </c>
      <c r="CF87" s="56">
        <f>($AM87-$AM88)*100</f>
        <v/>
      </c>
      <c r="CG87" s="56">
        <f>($AN87-$AN88)*100</f>
        <v/>
      </c>
      <c r="CH87" s="56">
        <f>($AO87-$AO88)*100</f>
        <v/>
      </c>
      <c r="CI87" s="56">
        <f>($AP87-$AP88)*100</f>
        <v/>
      </c>
      <c r="CJ87" s="56">
        <f>($AQ87-$AQ88)*100</f>
        <v/>
      </c>
      <c r="CK87" s="56">
        <f>($AR87-$AR88)*100</f>
        <v/>
      </c>
      <c r="CL87" s="56">
        <f>($AS87-$AS88)*100</f>
        <v/>
      </c>
      <c r="CM87" s="56">
        <f>($AT87-$AT88)*100</f>
        <v/>
      </c>
      <c r="CN87" s="56">
        <f>($AU87-$AU88)*100</f>
        <v/>
      </c>
      <c r="CO87" s="56">
        <f>($AV87-$AV88)*100</f>
        <v/>
      </c>
      <c r="CP87" s="56">
        <f>($AW87-$AW88)*100</f>
        <v/>
      </c>
      <c r="CQ87" s="56">
        <f>($AX87-$AX88)*100</f>
        <v/>
      </c>
      <c r="CR87" s="56">
        <f>($AY87-$AY88)*100</f>
        <v/>
      </c>
      <c r="CS87" s="57">
        <f>IFERROR($L88/$L87-1,"")</f>
        <v/>
      </c>
      <c r="CT87" s="57">
        <f>IFERROR($M88/$M87-1,"")</f>
        <v/>
      </c>
      <c r="CU87" s="57">
        <f>IFERROR($N88/$N87-1,"")</f>
        <v/>
      </c>
      <c r="CV87" s="57">
        <f>IFERROR($O88/$O87-1,"")</f>
        <v/>
      </c>
      <c r="CW87" s="57">
        <f>IFERROR($P88/$P87-1,"")</f>
        <v/>
      </c>
      <c r="CX87" s="57">
        <f>IFERROR($Q88/$Q87-1,"")</f>
        <v/>
      </c>
      <c r="CY87" s="57">
        <f>IFERROR($R88/$R87-1,"")</f>
        <v/>
      </c>
      <c r="CZ87" s="57">
        <f>IFERROR($S88/$S87-1,"")</f>
        <v/>
      </c>
      <c r="DA87" s="57">
        <f>IFERROR($T88/$T87-1,"")</f>
        <v/>
      </c>
      <c r="DB87" s="57">
        <f>IFERROR($U88/$U87-1,"")</f>
        <v/>
      </c>
      <c r="DC87" s="57">
        <f>IFERROR($V88/$V87-1,"")</f>
        <v/>
      </c>
      <c r="DD87" s="57">
        <f>IFERROR($W88/$W87-1,"")</f>
        <v/>
      </c>
      <c r="DE87" s="57">
        <f>IFERROR($X88/$X87-1,"")</f>
        <v/>
      </c>
      <c r="DF87" s="57">
        <f>IFERROR($Y88/$Y87-1,"")</f>
        <v/>
      </c>
      <c r="DG87" s="57">
        <f>IFERROR($Z88/$Z87-1,"")</f>
        <v/>
      </c>
      <c r="DH87" s="57">
        <f>IFERROR($AA88/$AA87-1,"")</f>
        <v/>
      </c>
      <c r="DI87" s="57">
        <f>IFERROR($AB88/$AB87-1,"")</f>
        <v/>
      </c>
      <c r="DJ87" s="57">
        <f>IFERROR($AC88/$AC87-1,"")</f>
        <v/>
      </c>
      <c r="DK87" s="57">
        <f>IFERROR($AD88/$AD87-1,"")</f>
        <v/>
      </c>
      <c r="DL87" s="57">
        <f>IFERROR($AE88/$AE87-1,"")</f>
        <v/>
      </c>
      <c r="DM87" s="56">
        <f>$AZ87-$AZ88</f>
        <v/>
      </c>
      <c r="DN87" s="56">
        <f>$BA87-$BA88</f>
        <v/>
      </c>
      <c r="DO87" s="56">
        <f>$BB87-$BB88</f>
        <v/>
      </c>
      <c r="DP87" s="56">
        <f>$BC87-$BC88</f>
        <v/>
      </c>
      <c r="DQ87" s="56">
        <f>$BD87-$BD88</f>
        <v/>
      </c>
      <c r="DR87" s="56">
        <f>$BE87-$BE88</f>
        <v/>
      </c>
      <c r="DS87" s="56">
        <f>$BF87-$BF88</f>
        <v/>
      </c>
      <c r="DT87" s="56">
        <f>$BG87-$BG88</f>
        <v/>
      </c>
      <c r="DU87" s="56">
        <f>$BH87-$BH88</f>
        <v/>
      </c>
      <c r="DV87" s="56">
        <f>$BI87-$BI88</f>
        <v/>
      </c>
      <c r="DW87" s="56">
        <f>$BJ87-$BJ88</f>
        <v/>
      </c>
      <c r="DX87" s="56">
        <f>$BK87-$BK88</f>
        <v/>
      </c>
      <c r="DY87" s="56">
        <f>$BL87-$BL88</f>
        <v/>
      </c>
      <c r="DZ87" s="56">
        <f>$BM87-$BM88</f>
        <v/>
      </c>
      <c r="EA87" s="56">
        <f>$BN87-$BN88</f>
        <v/>
      </c>
      <c r="EB87" s="56">
        <f>$BO87-$BO88</f>
        <v/>
      </c>
      <c r="EC87" s="56">
        <f>$BP87-$BP88</f>
        <v/>
      </c>
      <c r="ED87" s="56">
        <f>$BQ87-$BQ88</f>
        <v/>
      </c>
      <c r="EE87" s="56">
        <f>$BR87-$BR88</f>
        <v/>
      </c>
      <c r="EF87" s="56">
        <f>$BS87-$BS88</f>
        <v/>
      </c>
      <c r="EG87" s="56">
        <f>$BT87-$BT88</f>
        <v/>
      </c>
      <c r="EH87" s="56">
        <f>$BU87-$BU88</f>
        <v/>
      </c>
    </row>
    <row r="88">
      <c r="BV88" s="56">
        <f>($D88-$D89)*100</f>
        <v/>
      </c>
      <c r="BW88" s="56">
        <f>($C88-$C89)*100</f>
        <v/>
      </c>
      <c r="BX88" s="57">
        <f>IFERROR($I88/$I89-1,"")</f>
        <v/>
      </c>
      <c r="BY88" s="56">
        <f>($AF88-$AF89)*100</f>
        <v/>
      </c>
      <c r="BZ88" s="56">
        <f>($AG88-$AG89)*100</f>
        <v/>
      </c>
      <c r="CA88" s="56">
        <f>($AH88-$AH89)*100</f>
        <v/>
      </c>
      <c r="CB88" s="56">
        <f>($AI88-$AI89)*100</f>
        <v/>
      </c>
      <c r="CC88" s="56">
        <f>($AJ88-$AJ89)*100</f>
        <v/>
      </c>
      <c r="CD88" s="56">
        <f>($AK88-$AK89)*100</f>
        <v/>
      </c>
      <c r="CE88" s="56">
        <f>($AL88-$AL89)*100</f>
        <v/>
      </c>
      <c r="CF88" s="56">
        <f>($AM88-$AM89)*100</f>
        <v/>
      </c>
      <c r="CG88" s="56">
        <f>($AN88-$AN89)*100</f>
        <v/>
      </c>
      <c r="CH88" s="56">
        <f>($AO88-$AO89)*100</f>
        <v/>
      </c>
      <c r="CI88" s="56">
        <f>($AP88-$AP89)*100</f>
        <v/>
      </c>
      <c r="CJ88" s="56">
        <f>($AQ88-$AQ89)*100</f>
        <v/>
      </c>
      <c r="CK88" s="56">
        <f>($AR88-$AR89)*100</f>
        <v/>
      </c>
      <c r="CL88" s="56">
        <f>($AS88-$AS89)*100</f>
        <v/>
      </c>
      <c r="CM88" s="56">
        <f>($AT88-$AT89)*100</f>
        <v/>
      </c>
      <c r="CN88" s="56">
        <f>($AU88-$AU89)*100</f>
        <v/>
      </c>
      <c r="CO88" s="56">
        <f>($AV88-$AV89)*100</f>
        <v/>
      </c>
      <c r="CP88" s="56">
        <f>($AW88-$AW89)*100</f>
        <v/>
      </c>
      <c r="CQ88" s="56">
        <f>($AX88-$AX89)*100</f>
        <v/>
      </c>
      <c r="CR88" s="56">
        <f>($AY88-$AY89)*100</f>
        <v/>
      </c>
      <c r="CS88" s="57">
        <f>IFERROR($L89/$L88-1,"")</f>
        <v/>
      </c>
      <c r="CT88" s="57">
        <f>IFERROR($M89/$M88-1,"")</f>
        <v/>
      </c>
      <c r="CU88" s="57">
        <f>IFERROR($N89/$N88-1,"")</f>
        <v/>
      </c>
      <c r="CV88" s="57">
        <f>IFERROR($O89/$O88-1,"")</f>
        <v/>
      </c>
      <c r="CW88" s="57">
        <f>IFERROR($P89/$P88-1,"")</f>
        <v/>
      </c>
      <c r="CX88" s="57">
        <f>IFERROR($Q89/$Q88-1,"")</f>
        <v/>
      </c>
      <c r="CY88" s="57">
        <f>IFERROR($R89/$R88-1,"")</f>
        <v/>
      </c>
      <c r="CZ88" s="57">
        <f>IFERROR($S89/$S88-1,"")</f>
        <v/>
      </c>
      <c r="DA88" s="57">
        <f>IFERROR($T89/$T88-1,"")</f>
        <v/>
      </c>
      <c r="DB88" s="57">
        <f>IFERROR($U89/$U88-1,"")</f>
        <v/>
      </c>
      <c r="DC88" s="57">
        <f>IFERROR($V89/$V88-1,"")</f>
        <v/>
      </c>
      <c r="DD88" s="57">
        <f>IFERROR($W89/$W88-1,"")</f>
        <v/>
      </c>
      <c r="DE88" s="57">
        <f>IFERROR($X89/$X88-1,"")</f>
        <v/>
      </c>
      <c r="DF88" s="57">
        <f>IFERROR($Y89/$Y88-1,"")</f>
        <v/>
      </c>
      <c r="DG88" s="57">
        <f>IFERROR($Z89/$Z88-1,"")</f>
        <v/>
      </c>
      <c r="DH88" s="57">
        <f>IFERROR($AA89/$AA88-1,"")</f>
        <v/>
      </c>
      <c r="DI88" s="57">
        <f>IFERROR($AB89/$AB88-1,"")</f>
        <v/>
      </c>
      <c r="DJ88" s="57">
        <f>IFERROR($AC89/$AC88-1,"")</f>
        <v/>
      </c>
      <c r="DK88" s="57">
        <f>IFERROR($AD89/$AD88-1,"")</f>
        <v/>
      </c>
      <c r="DL88" s="57">
        <f>IFERROR($AE89/$AE88-1,"")</f>
        <v/>
      </c>
      <c r="DM88" s="56">
        <f>$AZ88-$AZ89</f>
        <v/>
      </c>
      <c r="DN88" s="56">
        <f>$BA88-$BA89</f>
        <v/>
      </c>
      <c r="DO88" s="56">
        <f>$BB88-$BB89</f>
        <v/>
      </c>
      <c r="DP88" s="56">
        <f>$BC88-$BC89</f>
        <v/>
      </c>
      <c r="DQ88" s="56">
        <f>$BD88-$BD89</f>
        <v/>
      </c>
      <c r="DR88" s="56">
        <f>$BE88-$BE89</f>
        <v/>
      </c>
      <c r="DS88" s="56">
        <f>$BF88-$BF89</f>
        <v/>
      </c>
      <c r="DT88" s="56">
        <f>$BG88-$BG89</f>
        <v/>
      </c>
      <c r="DU88" s="56">
        <f>$BH88-$BH89</f>
        <v/>
      </c>
      <c r="DV88" s="56">
        <f>$BI88-$BI89</f>
        <v/>
      </c>
      <c r="DW88" s="56">
        <f>$BJ88-$BJ89</f>
        <v/>
      </c>
      <c r="DX88" s="56">
        <f>$BK88-$BK89</f>
        <v/>
      </c>
      <c r="DY88" s="56">
        <f>$BL88-$BL89</f>
        <v/>
      </c>
      <c r="DZ88" s="56">
        <f>$BM88-$BM89</f>
        <v/>
      </c>
      <c r="EA88" s="56">
        <f>$BN88-$BN89</f>
        <v/>
      </c>
      <c r="EB88" s="56">
        <f>$BO88-$BO89</f>
        <v/>
      </c>
      <c r="EC88" s="56">
        <f>$BP88-$BP89</f>
        <v/>
      </c>
      <c r="ED88" s="56">
        <f>$BQ88-$BQ89</f>
        <v/>
      </c>
      <c r="EE88" s="56">
        <f>$BR88-$BR89</f>
        <v/>
      </c>
      <c r="EF88" s="56">
        <f>$BS88-$BS89</f>
        <v/>
      </c>
      <c r="EG88" s="56">
        <f>$BT88-$BT89</f>
        <v/>
      </c>
      <c r="EH88" s="56">
        <f>$BU88-$BU89</f>
        <v/>
      </c>
    </row>
    <row r="89">
      <c r="BV89" s="56">
        <f>($D89-$D90)*100</f>
        <v/>
      </c>
      <c r="BW89" s="56">
        <f>($C89-$C90)*100</f>
        <v/>
      </c>
      <c r="BX89" s="57">
        <f>IFERROR($I89/$I90-1,"")</f>
        <v/>
      </c>
      <c r="BY89" s="56">
        <f>($AF89-$AF90)*100</f>
        <v/>
      </c>
      <c r="BZ89" s="56">
        <f>($AG89-$AG90)*100</f>
        <v/>
      </c>
      <c r="CA89" s="56">
        <f>($AH89-$AH90)*100</f>
        <v/>
      </c>
      <c r="CB89" s="56">
        <f>($AI89-$AI90)*100</f>
        <v/>
      </c>
      <c r="CC89" s="56">
        <f>($AJ89-$AJ90)*100</f>
        <v/>
      </c>
      <c r="CD89" s="56">
        <f>($AK89-$AK90)*100</f>
        <v/>
      </c>
      <c r="CE89" s="56">
        <f>($AL89-$AL90)*100</f>
        <v/>
      </c>
      <c r="CF89" s="56">
        <f>($AM89-$AM90)*100</f>
        <v/>
      </c>
      <c r="CG89" s="56">
        <f>($AN89-$AN90)*100</f>
        <v/>
      </c>
      <c r="CH89" s="56">
        <f>($AO89-$AO90)*100</f>
        <v/>
      </c>
      <c r="CI89" s="56">
        <f>($AP89-$AP90)*100</f>
        <v/>
      </c>
      <c r="CJ89" s="56">
        <f>($AQ89-$AQ90)*100</f>
        <v/>
      </c>
      <c r="CK89" s="56">
        <f>($AR89-$AR90)*100</f>
        <v/>
      </c>
      <c r="CL89" s="56">
        <f>($AS89-$AS90)*100</f>
        <v/>
      </c>
      <c r="CM89" s="56">
        <f>($AT89-$AT90)*100</f>
        <v/>
      </c>
      <c r="CN89" s="56">
        <f>($AU89-$AU90)*100</f>
        <v/>
      </c>
      <c r="CO89" s="56">
        <f>($AV89-$AV90)*100</f>
        <v/>
      </c>
      <c r="CP89" s="56">
        <f>($AW89-$AW90)*100</f>
        <v/>
      </c>
      <c r="CQ89" s="56">
        <f>($AX89-$AX90)*100</f>
        <v/>
      </c>
      <c r="CR89" s="56">
        <f>($AY89-$AY90)*100</f>
        <v/>
      </c>
      <c r="CS89" s="57">
        <f>IFERROR($L90/$L89-1,"")</f>
        <v/>
      </c>
      <c r="CT89" s="57">
        <f>IFERROR($M90/$M89-1,"")</f>
        <v/>
      </c>
      <c r="CU89" s="57">
        <f>IFERROR($N90/$N89-1,"")</f>
        <v/>
      </c>
      <c r="CV89" s="57">
        <f>IFERROR($O90/$O89-1,"")</f>
        <v/>
      </c>
      <c r="CW89" s="57">
        <f>IFERROR($P90/$P89-1,"")</f>
        <v/>
      </c>
      <c r="CX89" s="57">
        <f>IFERROR($Q90/$Q89-1,"")</f>
        <v/>
      </c>
      <c r="CY89" s="57">
        <f>IFERROR($R90/$R89-1,"")</f>
        <v/>
      </c>
      <c r="CZ89" s="57">
        <f>IFERROR($S90/$S89-1,"")</f>
        <v/>
      </c>
      <c r="DA89" s="57">
        <f>IFERROR($T90/$T89-1,"")</f>
        <v/>
      </c>
      <c r="DB89" s="57">
        <f>IFERROR($U90/$U89-1,"")</f>
        <v/>
      </c>
      <c r="DC89" s="57">
        <f>IFERROR($V90/$V89-1,"")</f>
        <v/>
      </c>
      <c r="DD89" s="57">
        <f>IFERROR($W90/$W89-1,"")</f>
        <v/>
      </c>
      <c r="DE89" s="57">
        <f>IFERROR($X90/$X89-1,"")</f>
        <v/>
      </c>
      <c r="DF89" s="57">
        <f>IFERROR($Y90/$Y89-1,"")</f>
        <v/>
      </c>
      <c r="DG89" s="57">
        <f>IFERROR($Z90/$Z89-1,"")</f>
        <v/>
      </c>
      <c r="DH89" s="57">
        <f>IFERROR($AA90/$AA89-1,"")</f>
        <v/>
      </c>
      <c r="DI89" s="57">
        <f>IFERROR($AB90/$AB89-1,"")</f>
        <v/>
      </c>
      <c r="DJ89" s="57">
        <f>IFERROR($AC90/$AC89-1,"")</f>
        <v/>
      </c>
      <c r="DK89" s="57">
        <f>IFERROR($AD90/$AD89-1,"")</f>
        <v/>
      </c>
      <c r="DL89" s="57">
        <f>IFERROR($AE90/$AE89-1,"")</f>
        <v/>
      </c>
      <c r="DM89" s="56">
        <f>$AZ89-$AZ90</f>
        <v/>
      </c>
      <c r="DN89" s="56">
        <f>$BA89-$BA90</f>
        <v/>
      </c>
      <c r="DO89" s="56">
        <f>$BB89-$BB90</f>
        <v/>
      </c>
      <c r="DP89" s="56">
        <f>$BC89-$BC90</f>
        <v/>
      </c>
      <c r="DQ89" s="56">
        <f>$BD89-$BD90</f>
        <v/>
      </c>
      <c r="DR89" s="56">
        <f>$BE89-$BE90</f>
        <v/>
      </c>
      <c r="DS89" s="56">
        <f>$BF89-$BF90</f>
        <v/>
      </c>
      <c r="DT89" s="56">
        <f>$BG89-$BG90</f>
        <v/>
      </c>
      <c r="DU89" s="56">
        <f>$BH89-$BH90</f>
        <v/>
      </c>
      <c r="DV89" s="56">
        <f>$BI89-$BI90</f>
        <v/>
      </c>
      <c r="DW89" s="56">
        <f>$BJ89-$BJ90</f>
        <v/>
      </c>
      <c r="DX89" s="56">
        <f>$BK89-$BK90</f>
        <v/>
      </c>
      <c r="DY89" s="56">
        <f>$BL89-$BL90</f>
        <v/>
      </c>
      <c r="DZ89" s="56">
        <f>$BM89-$BM90</f>
        <v/>
      </c>
      <c r="EA89" s="56">
        <f>$BN89-$BN90</f>
        <v/>
      </c>
      <c r="EB89" s="56">
        <f>$BO89-$BO90</f>
        <v/>
      </c>
      <c r="EC89" s="56">
        <f>$BP89-$BP90</f>
        <v/>
      </c>
      <c r="ED89" s="56">
        <f>$BQ89-$BQ90</f>
        <v/>
      </c>
      <c r="EE89" s="56">
        <f>$BR89-$BR90</f>
        <v/>
      </c>
      <c r="EF89" s="56">
        <f>$BS89-$BS90</f>
        <v/>
      </c>
      <c r="EG89" s="56">
        <f>$BT89-$BT90</f>
        <v/>
      </c>
      <c r="EH89" s="56">
        <f>$BU89-$BU90</f>
        <v/>
      </c>
    </row>
    <row r="90">
      <c r="BV90" s="56">
        <f>($D90-$D91)*100</f>
        <v/>
      </c>
      <c r="BW90" s="56">
        <f>($C90-$C91)*100</f>
        <v/>
      </c>
      <c r="BX90" s="57">
        <f>IFERROR($I90/$I91-1,"")</f>
        <v/>
      </c>
      <c r="BY90" s="56">
        <f>($AF90-$AF91)*100</f>
        <v/>
      </c>
      <c r="BZ90" s="56">
        <f>($AG90-$AG91)*100</f>
        <v/>
      </c>
      <c r="CA90" s="56">
        <f>($AH90-$AH91)*100</f>
        <v/>
      </c>
      <c r="CB90" s="56">
        <f>($AI90-$AI91)*100</f>
        <v/>
      </c>
      <c r="CC90" s="56">
        <f>($AJ90-$AJ91)*100</f>
        <v/>
      </c>
      <c r="CD90" s="56">
        <f>($AK90-$AK91)*100</f>
        <v/>
      </c>
      <c r="CE90" s="56">
        <f>($AL90-$AL91)*100</f>
        <v/>
      </c>
      <c r="CF90" s="56">
        <f>($AM90-$AM91)*100</f>
        <v/>
      </c>
      <c r="CG90" s="56">
        <f>($AN90-$AN91)*100</f>
        <v/>
      </c>
      <c r="CH90" s="56">
        <f>($AO90-$AO91)*100</f>
        <v/>
      </c>
      <c r="CI90" s="56">
        <f>($AP90-$AP91)*100</f>
        <v/>
      </c>
      <c r="CJ90" s="56">
        <f>($AQ90-$AQ91)*100</f>
        <v/>
      </c>
      <c r="CK90" s="56">
        <f>($AR90-$AR91)*100</f>
        <v/>
      </c>
      <c r="CL90" s="56">
        <f>($AS90-$AS91)*100</f>
        <v/>
      </c>
      <c r="CM90" s="56">
        <f>($AT90-$AT91)*100</f>
        <v/>
      </c>
      <c r="CN90" s="56">
        <f>($AU90-$AU91)*100</f>
        <v/>
      </c>
      <c r="CO90" s="56">
        <f>($AV90-$AV91)*100</f>
        <v/>
      </c>
      <c r="CP90" s="56">
        <f>($AW90-$AW91)*100</f>
        <v/>
      </c>
      <c r="CQ90" s="56">
        <f>($AX90-$AX91)*100</f>
        <v/>
      </c>
      <c r="CR90" s="56">
        <f>($AY90-$AY91)*100</f>
        <v/>
      </c>
      <c r="CS90" s="57">
        <f>IFERROR($L91/$L90-1,"")</f>
        <v/>
      </c>
      <c r="CT90" s="57">
        <f>IFERROR($M91/$M90-1,"")</f>
        <v/>
      </c>
      <c r="CU90" s="57">
        <f>IFERROR($N91/$N90-1,"")</f>
        <v/>
      </c>
      <c r="CV90" s="57">
        <f>IFERROR($O91/$O90-1,"")</f>
        <v/>
      </c>
      <c r="CW90" s="57">
        <f>IFERROR($P91/$P90-1,"")</f>
        <v/>
      </c>
      <c r="CX90" s="57">
        <f>IFERROR($Q91/$Q90-1,"")</f>
        <v/>
      </c>
      <c r="CY90" s="57">
        <f>IFERROR($R91/$R90-1,"")</f>
        <v/>
      </c>
      <c r="CZ90" s="57">
        <f>IFERROR($S91/$S90-1,"")</f>
        <v/>
      </c>
      <c r="DA90" s="57">
        <f>IFERROR($T91/$T90-1,"")</f>
        <v/>
      </c>
      <c r="DB90" s="57">
        <f>IFERROR($U91/$U90-1,"")</f>
        <v/>
      </c>
      <c r="DC90" s="57">
        <f>IFERROR($V91/$V90-1,"")</f>
        <v/>
      </c>
      <c r="DD90" s="57">
        <f>IFERROR($W91/$W90-1,"")</f>
        <v/>
      </c>
      <c r="DE90" s="57">
        <f>IFERROR($X91/$X90-1,"")</f>
        <v/>
      </c>
      <c r="DF90" s="57">
        <f>IFERROR($Y91/$Y90-1,"")</f>
        <v/>
      </c>
      <c r="DG90" s="57">
        <f>IFERROR($Z91/$Z90-1,"")</f>
        <v/>
      </c>
      <c r="DH90" s="57">
        <f>IFERROR($AA91/$AA90-1,"")</f>
        <v/>
      </c>
      <c r="DI90" s="57">
        <f>IFERROR($AB91/$AB90-1,"")</f>
        <v/>
      </c>
      <c r="DJ90" s="57">
        <f>IFERROR($AC91/$AC90-1,"")</f>
        <v/>
      </c>
      <c r="DK90" s="57">
        <f>IFERROR($AD91/$AD90-1,"")</f>
        <v/>
      </c>
      <c r="DL90" s="57">
        <f>IFERROR($AE91/$AE90-1,"")</f>
        <v/>
      </c>
      <c r="DM90" s="56">
        <f>$AZ90-$AZ91</f>
        <v/>
      </c>
      <c r="DN90" s="56">
        <f>$BA90-$BA91</f>
        <v/>
      </c>
      <c r="DO90" s="56">
        <f>$BB90-$BB91</f>
        <v/>
      </c>
      <c r="DP90" s="56">
        <f>$BC90-$BC91</f>
        <v/>
      </c>
      <c r="DQ90" s="56">
        <f>$BD90-$BD91</f>
        <v/>
      </c>
      <c r="DR90" s="56">
        <f>$BE90-$BE91</f>
        <v/>
      </c>
      <c r="DS90" s="56">
        <f>$BF90-$BF91</f>
        <v/>
      </c>
      <c r="DT90" s="56">
        <f>$BG90-$BG91</f>
        <v/>
      </c>
      <c r="DU90" s="56">
        <f>$BH90-$BH91</f>
        <v/>
      </c>
      <c r="DV90" s="56">
        <f>$BI90-$BI91</f>
        <v/>
      </c>
      <c r="DW90" s="56">
        <f>$BJ90-$BJ91</f>
        <v/>
      </c>
      <c r="DX90" s="56">
        <f>$BK90-$BK91</f>
        <v/>
      </c>
      <c r="DY90" s="56">
        <f>$BL90-$BL91</f>
        <v/>
      </c>
      <c r="DZ90" s="56">
        <f>$BM90-$BM91</f>
        <v/>
      </c>
      <c r="EA90" s="56">
        <f>$BN90-$BN91</f>
        <v/>
      </c>
      <c r="EB90" s="56">
        <f>$BO90-$BO91</f>
        <v/>
      </c>
      <c r="EC90" s="56">
        <f>$BP90-$BP91</f>
        <v/>
      </c>
      <c r="ED90" s="56">
        <f>$BQ90-$BQ91</f>
        <v/>
      </c>
      <c r="EE90" s="56">
        <f>$BR90-$BR91</f>
        <v/>
      </c>
      <c r="EF90" s="56">
        <f>$BS90-$BS91</f>
        <v/>
      </c>
      <c r="EG90" s="56">
        <f>$BT90-$BT91</f>
        <v/>
      </c>
      <c r="EH90" s="56">
        <f>$BU90-$BU91</f>
        <v/>
      </c>
    </row>
    <row r="91">
      <c r="BV91" s="56">
        <f>($D91-$D92)*100</f>
        <v/>
      </c>
      <c r="BW91" s="56">
        <f>($C91-$C92)*100</f>
        <v/>
      </c>
      <c r="BX91" s="57">
        <f>IFERROR($I91/$I92-1,"")</f>
        <v/>
      </c>
      <c r="BY91" s="56">
        <f>($AF91-$AF92)*100</f>
        <v/>
      </c>
      <c r="BZ91" s="56">
        <f>($AG91-$AG92)*100</f>
        <v/>
      </c>
      <c r="CA91" s="56">
        <f>($AH91-$AH92)*100</f>
        <v/>
      </c>
      <c r="CB91" s="56">
        <f>($AI91-$AI92)*100</f>
        <v/>
      </c>
      <c r="CC91" s="56">
        <f>($AJ91-$AJ92)*100</f>
        <v/>
      </c>
      <c r="CD91" s="56">
        <f>($AK91-$AK92)*100</f>
        <v/>
      </c>
      <c r="CE91" s="56">
        <f>($AL91-$AL92)*100</f>
        <v/>
      </c>
      <c r="CF91" s="56">
        <f>($AM91-$AM92)*100</f>
        <v/>
      </c>
      <c r="CG91" s="56">
        <f>($AN91-$AN92)*100</f>
        <v/>
      </c>
      <c r="CH91" s="56">
        <f>($AO91-$AO92)*100</f>
        <v/>
      </c>
      <c r="CI91" s="56">
        <f>($AP91-$AP92)*100</f>
        <v/>
      </c>
      <c r="CJ91" s="56">
        <f>($AQ91-$AQ92)*100</f>
        <v/>
      </c>
      <c r="CK91" s="56">
        <f>($AR91-$AR92)*100</f>
        <v/>
      </c>
      <c r="CL91" s="56">
        <f>($AS91-$AS92)*100</f>
        <v/>
      </c>
      <c r="CM91" s="56">
        <f>($AT91-$AT92)*100</f>
        <v/>
      </c>
      <c r="CN91" s="56">
        <f>($AU91-$AU92)*100</f>
        <v/>
      </c>
      <c r="CO91" s="56">
        <f>($AV91-$AV92)*100</f>
        <v/>
      </c>
      <c r="CP91" s="56">
        <f>($AW91-$AW92)*100</f>
        <v/>
      </c>
      <c r="CQ91" s="56">
        <f>($AX91-$AX92)*100</f>
        <v/>
      </c>
      <c r="CR91" s="56">
        <f>($AY91-$AY92)*100</f>
        <v/>
      </c>
      <c r="CS91" s="57">
        <f>IFERROR($L92/$L91-1,"")</f>
        <v/>
      </c>
      <c r="CT91" s="57">
        <f>IFERROR($M92/$M91-1,"")</f>
        <v/>
      </c>
      <c r="CU91" s="57">
        <f>IFERROR($N92/$N91-1,"")</f>
        <v/>
      </c>
      <c r="CV91" s="57">
        <f>IFERROR($O92/$O91-1,"")</f>
        <v/>
      </c>
      <c r="CW91" s="57">
        <f>IFERROR($P92/$P91-1,"")</f>
        <v/>
      </c>
      <c r="CX91" s="57">
        <f>IFERROR($Q92/$Q91-1,"")</f>
        <v/>
      </c>
      <c r="CY91" s="57">
        <f>IFERROR($R92/$R91-1,"")</f>
        <v/>
      </c>
      <c r="CZ91" s="57">
        <f>IFERROR($S92/$S91-1,"")</f>
        <v/>
      </c>
      <c r="DA91" s="57">
        <f>IFERROR($T92/$T91-1,"")</f>
        <v/>
      </c>
      <c r="DB91" s="57">
        <f>IFERROR($U92/$U91-1,"")</f>
        <v/>
      </c>
      <c r="DC91" s="57">
        <f>IFERROR($V92/$V91-1,"")</f>
        <v/>
      </c>
      <c r="DD91" s="57">
        <f>IFERROR($W92/$W91-1,"")</f>
        <v/>
      </c>
      <c r="DE91" s="57">
        <f>IFERROR($X92/$X91-1,"")</f>
        <v/>
      </c>
      <c r="DF91" s="57">
        <f>IFERROR($Y92/$Y91-1,"")</f>
        <v/>
      </c>
      <c r="DG91" s="57">
        <f>IFERROR($Z92/$Z91-1,"")</f>
        <v/>
      </c>
      <c r="DH91" s="57">
        <f>IFERROR($AA92/$AA91-1,"")</f>
        <v/>
      </c>
      <c r="DI91" s="57">
        <f>IFERROR($AB92/$AB91-1,"")</f>
        <v/>
      </c>
      <c r="DJ91" s="57">
        <f>IFERROR($AC92/$AC91-1,"")</f>
        <v/>
      </c>
      <c r="DK91" s="57">
        <f>IFERROR($AD92/$AD91-1,"")</f>
        <v/>
      </c>
      <c r="DL91" s="57">
        <f>IFERROR($AE92/$AE91-1,"")</f>
        <v/>
      </c>
      <c r="DM91" s="56">
        <f>$AZ91-$AZ92</f>
        <v/>
      </c>
      <c r="DN91" s="56">
        <f>$BA91-$BA92</f>
        <v/>
      </c>
      <c r="DO91" s="56">
        <f>$BB91-$BB92</f>
        <v/>
      </c>
      <c r="DP91" s="56">
        <f>$BC91-$BC92</f>
        <v/>
      </c>
      <c r="DQ91" s="56">
        <f>$BD91-$BD92</f>
        <v/>
      </c>
      <c r="DR91" s="56">
        <f>$BE91-$BE92</f>
        <v/>
      </c>
      <c r="DS91" s="56">
        <f>$BF91-$BF92</f>
        <v/>
      </c>
      <c r="DT91" s="56">
        <f>$BG91-$BG92</f>
        <v/>
      </c>
      <c r="DU91" s="56">
        <f>$BH91-$BH92</f>
        <v/>
      </c>
      <c r="DV91" s="56">
        <f>$BI91-$BI92</f>
        <v/>
      </c>
      <c r="DW91" s="56">
        <f>$BJ91-$BJ92</f>
        <v/>
      </c>
      <c r="DX91" s="56">
        <f>$BK91-$BK92</f>
        <v/>
      </c>
      <c r="DY91" s="56">
        <f>$BL91-$BL92</f>
        <v/>
      </c>
      <c r="DZ91" s="56">
        <f>$BM91-$BM92</f>
        <v/>
      </c>
      <c r="EA91" s="56">
        <f>$BN91-$BN92</f>
        <v/>
      </c>
      <c r="EB91" s="56">
        <f>$BO91-$BO92</f>
        <v/>
      </c>
      <c r="EC91" s="56">
        <f>$BP91-$BP92</f>
        <v/>
      </c>
      <c r="ED91" s="56">
        <f>$BQ91-$BQ92</f>
        <v/>
      </c>
      <c r="EE91" s="56">
        <f>$BR91-$BR92</f>
        <v/>
      </c>
      <c r="EF91" s="56">
        <f>$BS91-$BS92</f>
        <v/>
      </c>
      <c r="EG91" s="56">
        <f>$BT91-$BT92</f>
        <v/>
      </c>
      <c r="EH91" s="56">
        <f>$BU91-$BU92</f>
        <v/>
      </c>
    </row>
    <row r="92">
      <c r="BV92" s="56">
        <f>($D92-$D93)*100</f>
        <v/>
      </c>
      <c r="BW92" s="56">
        <f>($C92-$C93)*100</f>
        <v/>
      </c>
      <c r="BX92" s="57">
        <f>IFERROR($I92/$I93-1,"")</f>
        <v/>
      </c>
      <c r="BY92" s="56">
        <f>($AF92-$AF93)*100</f>
        <v/>
      </c>
      <c r="BZ92" s="56">
        <f>($AG92-$AG93)*100</f>
        <v/>
      </c>
      <c r="CA92" s="56">
        <f>($AH92-$AH93)*100</f>
        <v/>
      </c>
      <c r="CB92" s="56">
        <f>($AI92-$AI93)*100</f>
        <v/>
      </c>
      <c r="CC92" s="56">
        <f>($AJ92-$AJ93)*100</f>
        <v/>
      </c>
      <c r="CD92" s="56">
        <f>($AK92-$AK93)*100</f>
        <v/>
      </c>
      <c r="CE92" s="56">
        <f>($AL92-$AL93)*100</f>
        <v/>
      </c>
      <c r="CF92" s="56">
        <f>($AM92-$AM93)*100</f>
        <v/>
      </c>
      <c r="CG92" s="56">
        <f>($AN92-$AN93)*100</f>
        <v/>
      </c>
      <c r="CH92" s="56">
        <f>($AO92-$AO93)*100</f>
        <v/>
      </c>
      <c r="CI92" s="56">
        <f>($AP92-$AP93)*100</f>
        <v/>
      </c>
      <c r="CJ92" s="56">
        <f>($AQ92-$AQ93)*100</f>
        <v/>
      </c>
      <c r="CK92" s="56">
        <f>($AR92-$AR93)*100</f>
        <v/>
      </c>
      <c r="CL92" s="56">
        <f>($AS92-$AS93)*100</f>
        <v/>
      </c>
      <c r="CM92" s="56">
        <f>($AT92-$AT93)*100</f>
        <v/>
      </c>
      <c r="CN92" s="56">
        <f>($AU92-$AU93)*100</f>
        <v/>
      </c>
      <c r="CO92" s="56">
        <f>($AV92-$AV93)*100</f>
        <v/>
      </c>
      <c r="CP92" s="56">
        <f>($AW92-$AW93)*100</f>
        <v/>
      </c>
      <c r="CQ92" s="56">
        <f>($AX92-$AX93)*100</f>
        <v/>
      </c>
      <c r="CR92" s="56">
        <f>($AY92-$AY93)*100</f>
        <v/>
      </c>
      <c r="CS92" s="57">
        <f>IFERROR($L93/$L92-1,"")</f>
        <v/>
      </c>
      <c r="CT92" s="57">
        <f>IFERROR($M93/$M92-1,"")</f>
        <v/>
      </c>
      <c r="CU92" s="57">
        <f>IFERROR($N93/$N92-1,"")</f>
        <v/>
      </c>
      <c r="CV92" s="57">
        <f>IFERROR($O93/$O92-1,"")</f>
        <v/>
      </c>
      <c r="CW92" s="57">
        <f>IFERROR($P93/$P92-1,"")</f>
        <v/>
      </c>
      <c r="CX92" s="57">
        <f>IFERROR($Q93/$Q92-1,"")</f>
        <v/>
      </c>
      <c r="CY92" s="57">
        <f>IFERROR($R93/$R92-1,"")</f>
        <v/>
      </c>
      <c r="CZ92" s="57">
        <f>IFERROR($S93/$S92-1,"")</f>
        <v/>
      </c>
      <c r="DA92" s="57">
        <f>IFERROR($T93/$T92-1,"")</f>
        <v/>
      </c>
      <c r="DB92" s="57">
        <f>IFERROR($U93/$U92-1,"")</f>
        <v/>
      </c>
      <c r="DC92" s="57">
        <f>IFERROR($V93/$V92-1,"")</f>
        <v/>
      </c>
      <c r="DD92" s="57">
        <f>IFERROR($W93/$W92-1,"")</f>
        <v/>
      </c>
      <c r="DE92" s="57">
        <f>IFERROR($X93/$X92-1,"")</f>
        <v/>
      </c>
      <c r="DF92" s="57">
        <f>IFERROR($Y93/$Y92-1,"")</f>
        <v/>
      </c>
      <c r="DG92" s="57">
        <f>IFERROR($Z93/$Z92-1,"")</f>
        <v/>
      </c>
      <c r="DH92" s="57">
        <f>IFERROR($AA93/$AA92-1,"")</f>
        <v/>
      </c>
      <c r="DI92" s="57">
        <f>IFERROR($AB93/$AB92-1,"")</f>
        <v/>
      </c>
      <c r="DJ92" s="57">
        <f>IFERROR($AC93/$AC92-1,"")</f>
        <v/>
      </c>
      <c r="DK92" s="57">
        <f>IFERROR($AD93/$AD92-1,"")</f>
        <v/>
      </c>
      <c r="DL92" s="57">
        <f>IFERROR($AE93/$AE92-1,"")</f>
        <v/>
      </c>
      <c r="DM92" s="56">
        <f>$AZ92-$AZ93</f>
        <v/>
      </c>
      <c r="DN92" s="56">
        <f>$BA92-$BA93</f>
        <v/>
      </c>
      <c r="DO92" s="56">
        <f>$BB92-$BB93</f>
        <v/>
      </c>
      <c r="DP92" s="56">
        <f>$BC92-$BC93</f>
        <v/>
      </c>
      <c r="DQ92" s="56">
        <f>$BD92-$BD93</f>
        <v/>
      </c>
      <c r="DR92" s="56">
        <f>$BE92-$BE93</f>
        <v/>
      </c>
      <c r="DS92" s="56">
        <f>$BF92-$BF93</f>
        <v/>
      </c>
      <c r="DT92" s="56">
        <f>$BG92-$BG93</f>
        <v/>
      </c>
      <c r="DU92" s="56">
        <f>$BH92-$BH93</f>
        <v/>
      </c>
      <c r="DV92" s="56">
        <f>$BI92-$BI93</f>
        <v/>
      </c>
      <c r="DW92" s="56">
        <f>$BJ92-$BJ93</f>
        <v/>
      </c>
      <c r="DX92" s="56">
        <f>$BK92-$BK93</f>
        <v/>
      </c>
      <c r="DY92" s="56">
        <f>$BL92-$BL93</f>
        <v/>
      </c>
      <c r="DZ92" s="56">
        <f>$BM92-$BM93</f>
        <v/>
      </c>
      <c r="EA92" s="56">
        <f>$BN92-$BN93</f>
        <v/>
      </c>
      <c r="EB92" s="56">
        <f>$BO92-$BO93</f>
        <v/>
      </c>
      <c r="EC92" s="56">
        <f>$BP92-$BP93</f>
        <v/>
      </c>
      <c r="ED92" s="56">
        <f>$BQ92-$BQ93</f>
        <v/>
      </c>
      <c r="EE92" s="56">
        <f>$BR92-$BR93</f>
        <v/>
      </c>
      <c r="EF92" s="56">
        <f>$BS92-$BS93</f>
        <v/>
      </c>
      <c r="EG92" s="56">
        <f>$BT92-$BT93</f>
        <v/>
      </c>
      <c r="EH92" s="56">
        <f>$BU92-$BU93</f>
        <v/>
      </c>
    </row>
    <row r="93">
      <c r="BV93" s="56">
        <f>($D93-$D94)*100</f>
        <v/>
      </c>
      <c r="BW93" s="56">
        <f>($C93-$C94)*100</f>
        <v/>
      </c>
      <c r="BX93" s="57">
        <f>IFERROR($I93/$I94-1,"")</f>
        <v/>
      </c>
      <c r="BY93" s="56">
        <f>($AF93-$AF94)*100</f>
        <v/>
      </c>
      <c r="BZ93" s="56">
        <f>($AG93-$AG94)*100</f>
        <v/>
      </c>
      <c r="CA93" s="56">
        <f>($AH93-$AH94)*100</f>
        <v/>
      </c>
      <c r="CB93" s="56">
        <f>($AI93-$AI94)*100</f>
        <v/>
      </c>
      <c r="CC93" s="56">
        <f>($AJ93-$AJ94)*100</f>
        <v/>
      </c>
      <c r="CD93" s="56">
        <f>($AK93-$AK94)*100</f>
        <v/>
      </c>
      <c r="CE93" s="56">
        <f>($AL93-$AL94)*100</f>
        <v/>
      </c>
      <c r="CF93" s="56">
        <f>($AM93-$AM94)*100</f>
        <v/>
      </c>
      <c r="CG93" s="56">
        <f>($AN93-$AN94)*100</f>
        <v/>
      </c>
      <c r="CH93" s="56">
        <f>($AO93-$AO94)*100</f>
        <v/>
      </c>
      <c r="CI93" s="56">
        <f>($AP93-$AP94)*100</f>
        <v/>
      </c>
      <c r="CJ93" s="56">
        <f>($AQ93-$AQ94)*100</f>
        <v/>
      </c>
      <c r="CK93" s="56">
        <f>($AR93-$AR94)*100</f>
        <v/>
      </c>
      <c r="CL93" s="56">
        <f>($AS93-$AS94)*100</f>
        <v/>
      </c>
      <c r="CM93" s="56">
        <f>($AT93-$AT94)*100</f>
        <v/>
      </c>
      <c r="CN93" s="56">
        <f>($AU93-$AU94)*100</f>
        <v/>
      </c>
      <c r="CO93" s="56">
        <f>($AV93-$AV94)*100</f>
        <v/>
      </c>
      <c r="CP93" s="56">
        <f>($AW93-$AW94)*100</f>
        <v/>
      </c>
      <c r="CQ93" s="56">
        <f>($AX93-$AX94)*100</f>
        <v/>
      </c>
      <c r="CR93" s="56">
        <f>($AY93-$AY94)*100</f>
        <v/>
      </c>
      <c r="CS93" s="57">
        <f>IFERROR($L94/$L93-1,"")</f>
        <v/>
      </c>
      <c r="CT93" s="57">
        <f>IFERROR($M94/$M93-1,"")</f>
        <v/>
      </c>
      <c r="CU93" s="57">
        <f>IFERROR($N94/$N93-1,"")</f>
        <v/>
      </c>
      <c r="CV93" s="57">
        <f>IFERROR($O94/$O93-1,"")</f>
        <v/>
      </c>
      <c r="CW93" s="57">
        <f>IFERROR($P94/$P93-1,"")</f>
        <v/>
      </c>
      <c r="CX93" s="57">
        <f>IFERROR($Q94/$Q93-1,"")</f>
        <v/>
      </c>
      <c r="CY93" s="57">
        <f>IFERROR($R94/$R93-1,"")</f>
        <v/>
      </c>
      <c r="CZ93" s="57">
        <f>IFERROR($S94/$S93-1,"")</f>
        <v/>
      </c>
      <c r="DA93" s="57">
        <f>IFERROR($T94/$T93-1,"")</f>
        <v/>
      </c>
      <c r="DB93" s="57">
        <f>IFERROR($U94/$U93-1,"")</f>
        <v/>
      </c>
      <c r="DC93" s="57">
        <f>IFERROR($V94/$V93-1,"")</f>
        <v/>
      </c>
      <c r="DD93" s="57">
        <f>IFERROR($W94/$W93-1,"")</f>
        <v/>
      </c>
      <c r="DE93" s="57">
        <f>IFERROR($X94/$X93-1,"")</f>
        <v/>
      </c>
      <c r="DF93" s="57">
        <f>IFERROR($Y94/$Y93-1,"")</f>
        <v/>
      </c>
      <c r="DG93" s="57">
        <f>IFERROR($Z94/$Z93-1,"")</f>
        <v/>
      </c>
      <c r="DH93" s="57">
        <f>IFERROR($AA94/$AA93-1,"")</f>
        <v/>
      </c>
      <c r="DI93" s="57">
        <f>IFERROR($AB94/$AB93-1,"")</f>
        <v/>
      </c>
      <c r="DJ93" s="57">
        <f>IFERROR($AC94/$AC93-1,"")</f>
        <v/>
      </c>
      <c r="DK93" s="57">
        <f>IFERROR($AD94/$AD93-1,"")</f>
        <v/>
      </c>
      <c r="DL93" s="57">
        <f>IFERROR($AE94/$AE93-1,"")</f>
        <v/>
      </c>
      <c r="DM93" s="56">
        <f>$AZ93-$AZ94</f>
        <v/>
      </c>
      <c r="DN93" s="56">
        <f>$BA93-$BA94</f>
        <v/>
      </c>
      <c r="DO93" s="56">
        <f>$BB93-$BB94</f>
        <v/>
      </c>
      <c r="DP93" s="56">
        <f>$BC93-$BC94</f>
        <v/>
      </c>
      <c r="DQ93" s="56">
        <f>$BD93-$BD94</f>
        <v/>
      </c>
      <c r="DR93" s="56">
        <f>$BE93-$BE94</f>
        <v/>
      </c>
      <c r="DS93" s="56">
        <f>$BF93-$BF94</f>
        <v/>
      </c>
      <c r="DT93" s="56">
        <f>$BG93-$BG94</f>
        <v/>
      </c>
      <c r="DU93" s="56">
        <f>$BH93-$BH94</f>
        <v/>
      </c>
      <c r="DV93" s="56">
        <f>$BI93-$BI94</f>
        <v/>
      </c>
      <c r="DW93" s="56">
        <f>$BJ93-$BJ94</f>
        <v/>
      </c>
      <c r="DX93" s="56">
        <f>$BK93-$BK94</f>
        <v/>
      </c>
      <c r="DY93" s="56">
        <f>$BL93-$BL94</f>
        <v/>
      </c>
      <c r="DZ93" s="56">
        <f>$BM93-$BM94</f>
        <v/>
      </c>
      <c r="EA93" s="56">
        <f>$BN93-$BN94</f>
        <v/>
      </c>
      <c r="EB93" s="56">
        <f>$BO93-$BO94</f>
        <v/>
      </c>
      <c r="EC93" s="56">
        <f>$BP93-$BP94</f>
        <v/>
      </c>
      <c r="ED93" s="56">
        <f>$BQ93-$BQ94</f>
        <v/>
      </c>
      <c r="EE93" s="56">
        <f>$BR93-$BR94</f>
        <v/>
      </c>
      <c r="EF93" s="56">
        <f>$BS93-$BS94</f>
        <v/>
      </c>
      <c r="EG93" s="56">
        <f>$BT93-$BT94</f>
        <v/>
      </c>
      <c r="EH93" s="56">
        <f>$BU93-$BU94</f>
        <v/>
      </c>
    </row>
    <row r="94">
      <c r="BV94" s="56">
        <f>($D94-$D95)*100</f>
        <v/>
      </c>
      <c r="BW94" s="56">
        <f>($C94-$C95)*100</f>
        <v/>
      </c>
      <c r="BX94" s="57">
        <f>IFERROR($I94/$I95-1,"")</f>
        <v/>
      </c>
      <c r="BY94" s="56">
        <f>($AF94-$AF95)*100</f>
        <v/>
      </c>
      <c r="BZ94" s="56">
        <f>($AG94-$AG95)*100</f>
        <v/>
      </c>
      <c r="CA94" s="56">
        <f>($AH94-$AH95)*100</f>
        <v/>
      </c>
      <c r="CB94" s="56">
        <f>($AI94-$AI95)*100</f>
        <v/>
      </c>
      <c r="CC94" s="56">
        <f>($AJ94-$AJ95)*100</f>
        <v/>
      </c>
      <c r="CD94" s="56">
        <f>($AK94-$AK95)*100</f>
        <v/>
      </c>
      <c r="CE94" s="56">
        <f>($AL94-$AL95)*100</f>
        <v/>
      </c>
      <c r="CF94" s="56">
        <f>($AM94-$AM95)*100</f>
        <v/>
      </c>
      <c r="CG94" s="56">
        <f>($AN94-$AN95)*100</f>
        <v/>
      </c>
      <c r="CH94" s="56">
        <f>($AO94-$AO95)*100</f>
        <v/>
      </c>
      <c r="CI94" s="56">
        <f>($AP94-$AP95)*100</f>
        <v/>
      </c>
      <c r="CJ94" s="56">
        <f>($AQ94-$AQ95)*100</f>
        <v/>
      </c>
      <c r="CK94" s="56">
        <f>($AR94-$AR95)*100</f>
        <v/>
      </c>
      <c r="CL94" s="56">
        <f>($AS94-$AS95)*100</f>
        <v/>
      </c>
      <c r="CM94" s="56">
        <f>($AT94-$AT95)*100</f>
        <v/>
      </c>
      <c r="CN94" s="56">
        <f>($AU94-$AU95)*100</f>
        <v/>
      </c>
      <c r="CO94" s="56">
        <f>($AV94-$AV95)*100</f>
        <v/>
      </c>
      <c r="CP94" s="56">
        <f>($AW94-$AW95)*100</f>
        <v/>
      </c>
      <c r="CQ94" s="56">
        <f>($AX94-$AX95)*100</f>
        <v/>
      </c>
      <c r="CR94" s="56">
        <f>($AY94-$AY95)*100</f>
        <v/>
      </c>
      <c r="CS94" s="57">
        <f>IFERROR($L95/$L94-1,"")</f>
        <v/>
      </c>
      <c r="CT94" s="57">
        <f>IFERROR($M95/$M94-1,"")</f>
        <v/>
      </c>
      <c r="CU94" s="57">
        <f>IFERROR($N95/$N94-1,"")</f>
        <v/>
      </c>
      <c r="CV94" s="57">
        <f>IFERROR($O95/$O94-1,"")</f>
        <v/>
      </c>
      <c r="CW94" s="57">
        <f>IFERROR($P95/$P94-1,"")</f>
        <v/>
      </c>
      <c r="CX94" s="57">
        <f>IFERROR($Q95/$Q94-1,"")</f>
        <v/>
      </c>
      <c r="CY94" s="57">
        <f>IFERROR($R95/$R94-1,"")</f>
        <v/>
      </c>
      <c r="CZ94" s="57">
        <f>IFERROR($S95/$S94-1,"")</f>
        <v/>
      </c>
      <c r="DA94" s="57">
        <f>IFERROR($T95/$T94-1,"")</f>
        <v/>
      </c>
      <c r="DB94" s="57">
        <f>IFERROR($U95/$U94-1,"")</f>
        <v/>
      </c>
      <c r="DC94" s="57">
        <f>IFERROR($V95/$V94-1,"")</f>
        <v/>
      </c>
      <c r="DD94" s="57">
        <f>IFERROR($W95/$W94-1,"")</f>
        <v/>
      </c>
      <c r="DE94" s="57">
        <f>IFERROR($X95/$X94-1,"")</f>
        <v/>
      </c>
      <c r="DF94" s="57">
        <f>IFERROR($Y95/$Y94-1,"")</f>
        <v/>
      </c>
      <c r="DG94" s="57">
        <f>IFERROR($Z95/$Z94-1,"")</f>
        <v/>
      </c>
      <c r="DH94" s="57">
        <f>IFERROR($AA95/$AA94-1,"")</f>
        <v/>
      </c>
      <c r="DI94" s="57">
        <f>IFERROR($AB95/$AB94-1,"")</f>
        <v/>
      </c>
      <c r="DJ94" s="57">
        <f>IFERROR($AC95/$AC94-1,"")</f>
        <v/>
      </c>
      <c r="DK94" s="57">
        <f>IFERROR($AD95/$AD94-1,"")</f>
        <v/>
      </c>
      <c r="DL94" s="57">
        <f>IFERROR($AE95/$AE94-1,"")</f>
        <v/>
      </c>
      <c r="DM94" s="56">
        <f>$AZ94-$AZ95</f>
        <v/>
      </c>
      <c r="DN94" s="56">
        <f>$BA94-$BA95</f>
        <v/>
      </c>
      <c r="DO94" s="56">
        <f>$BB94-$BB95</f>
        <v/>
      </c>
      <c r="DP94" s="56">
        <f>$BC94-$BC95</f>
        <v/>
      </c>
      <c r="DQ94" s="56">
        <f>$BD94-$BD95</f>
        <v/>
      </c>
      <c r="DR94" s="56">
        <f>$BE94-$BE95</f>
        <v/>
      </c>
      <c r="DS94" s="56">
        <f>$BF94-$BF95</f>
        <v/>
      </c>
      <c r="DT94" s="56">
        <f>$BG94-$BG95</f>
        <v/>
      </c>
      <c r="DU94" s="56">
        <f>$BH94-$BH95</f>
        <v/>
      </c>
      <c r="DV94" s="56">
        <f>$BI94-$BI95</f>
        <v/>
      </c>
      <c r="DW94" s="56">
        <f>$BJ94-$BJ95</f>
        <v/>
      </c>
      <c r="DX94" s="56">
        <f>$BK94-$BK95</f>
        <v/>
      </c>
      <c r="DY94" s="56">
        <f>$BL94-$BL95</f>
        <v/>
      </c>
      <c r="DZ94" s="56">
        <f>$BM94-$BM95</f>
        <v/>
      </c>
      <c r="EA94" s="56">
        <f>$BN94-$BN95</f>
        <v/>
      </c>
      <c r="EB94" s="56">
        <f>$BO94-$BO95</f>
        <v/>
      </c>
      <c r="EC94" s="56">
        <f>$BP94-$BP95</f>
        <v/>
      </c>
      <c r="ED94" s="56">
        <f>$BQ94-$BQ95</f>
        <v/>
      </c>
      <c r="EE94" s="56">
        <f>$BR94-$BR95</f>
        <v/>
      </c>
      <c r="EF94" s="56">
        <f>$BS94-$BS95</f>
        <v/>
      </c>
      <c r="EG94" s="56">
        <f>$BT94-$BT95</f>
        <v/>
      </c>
      <c r="EH94" s="56">
        <f>$BU94-$BU95</f>
        <v/>
      </c>
    </row>
    <row r="95">
      <c r="BV95" s="56">
        <f>($D95-$D96)*100</f>
        <v/>
      </c>
      <c r="BW95" s="56">
        <f>($C95-$C96)*100</f>
        <v/>
      </c>
      <c r="BX95" s="57">
        <f>IFERROR($I95/$I96-1,"")</f>
        <v/>
      </c>
      <c r="BY95" s="56">
        <f>($AF95-$AF96)*100</f>
        <v/>
      </c>
      <c r="BZ95" s="56">
        <f>($AG95-$AG96)*100</f>
        <v/>
      </c>
      <c r="CA95" s="56">
        <f>($AH95-$AH96)*100</f>
        <v/>
      </c>
      <c r="CB95" s="56">
        <f>($AI95-$AI96)*100</f>
        <v/>
      </c>
      <c r="CC95" s="56">
        <f>($AJ95-$AJ96)*100</f>
        <v/>
      </c>
      <c r="CD95" s="56">
        <f>($AK95-$AK96)*100</f>
        <v/>
      </c>
      <c r="CE95" s="56">
        <f>($AL95-$AL96)*100</f>
        <v/>
      </c>
      <c r="CF95" s="56">
        <f>($AM95-$AM96)*100</f>
        <v/>
      </c>
      <c r="CG95" s="56">
        <f>($AN95-$AN96)*100</f>
        <v/>
      </c>
      <c r="CH95" s="56">
        <f>($AO95-$AO96)*100</f>
        <v/>
      </c>
      <c r="CI95" s="56">
        <f>($AP95-$AP96)*100</f>
        <v/>
      </c>
      <c r="CJ95" s="56">
        <f>($AQ95-$AQ96)*100</f>
        <v/>
      </c>
      <c r="CK95" s="56">
        <f>($AR95-$AR96)*100</f>
        <v/>
      </c>
      <c r="CL95" s="56">
        <f>($AS95-$AS96)*100</f>
        <v/>
      </c>
      <c r="CM95" s="56">
        <f>($AT95-$AT96)*100</f>
        <v/>
      </c>
      <c r="CN95" s="56">
        <f>($AU95-$AU96)*100</f>
        <v/>
      </c>
      <c r="CO95" s="56">
        <f>($AV95-$AV96)*100</f>
        <v/>
      </c>
      <c r="CP95" s="56">
        <f>($AW95-$AW96)*100</f>
        <v/>
      </c>
      <c r="CQ95" s="56">
        <f>($AX95-$AX96)*100</f>
        <v/>
      </c>
      <c r="CR95" s="56">
        <f>($AY95-$AY96)*100</f>
        <v/>
      </c>
      <c r="CS95" s="57">
        <f>IFERROR($L96/$L95-1,"")</f>
        <v/>
      </c>
      <c r="CT95" s="57">
        <f>IFERROR($M96/$M95-1,"")</f>
        <v/>
      </c>
      <c r="CU95" s="57">
        <f>IFERROR($N96/$N95-1,"")</f>
        <v/>
      </c>
      <c r="CV95" s="57">
        <f>IFERROR($O96/$O95-1,"")</f>
        <v/>
      </c>
      <c r="CW95" s="57">
        <f>IFERROR($P96/$P95-1,"")</f>
        <v/>
      </c>
      <c r="CX95" s="57">
        <f>IFERROR($Q96/$Q95-1,"")</f>
        <v/>
      </c>
      <c r="CY95" s="57">
        <f>IFERROR($R96/$R95-1,"")</f>
        <v/>
      </c>
      <c r="CZ95" s="57">
        <f>IFERROR($S96/$S95-1,"")</f>
        <v/>
      </c>
      <c r="DA95" s="57">
        <f>IFERROR($T96/$T95-1,"")</f>
        <v/>
      </c>
      <c r="DB95" s="57">
        <f>IFERROR($U96/$U95-1,"")</f>
        <v/>
      </c>
      <c r="DC95" s="57">
        <f>IFERROR($V96/$V95-1,"")</f>
        <v/>
      </c>
      <c r="DD95" s="57">
        <f>IFERROR($W96/$W95-1,"")</f>
        <v/>
      </c>
      <c r="DE95" s="57">
        <f>IFERROR($X96/$X95-1,"")</f>
        <v/>
      </c>
      <c r="DF95" s="57">
        <f>IFERROR($Y96/$Y95-1,"")</f>
        <v/>
      </c>
      <c r="DG95" s="57">
        <f>IFERROR($Z96/$Z95-1,"")</f>
        <v/>
      </c>
      <c r="DH95" s="57">
        <f>IFERROR($AA96/$AA95-1,"")</f>
        <v/>
      </c>
      <c r="DI95" s="57">
        <f>IFERROR($AB96/$AB95-1,"")</f>
        <v/>
      </c>
      <c r="DJ95" s="57">
        <f>IFERROR($AC96/$AC95-1,"")</f>
        <v/>
      </c>
      <c r="DK95" s="57">
        <f>IFERROR($AD96/$AD95-1,"")</f>
        <v/>
      </c>
      <c r="DL95" s="57">
        <f>IFERROR($AE96/$AE95-1,"")</f>
        <v/>
      </c>
      <c r="DM95" s="56">
        <f>$AZ95-$AZ96</f>
        <v/>
      </c>
      <c r="DN95" s="56">
        <f>$BA95-$BA96</f>
        <v/>
      </c>
      <c r="DO95" s="56">
        <f>$BB95-$BB96</f>
        <v/>
      </c>
      <c r="DP95" s="56">
        <f>$BC95-$BC96</f>
        <v/>
      </c>
      <c r="DQ95" s="56">
        <f>$BD95-$BD96</f>
        <v/>
      </c>
      <c r="DR95" s="56">
        <f>$BE95-$BE96</f>
        <v/>
      </c>
      <c r="DS95" s="56">
        <f>$BF95-$BF96</f>
        <v/>
      </c>
      <c r="DT95" s="56">
        <f>$BG95-$BG96</f>
        <v/>
      </c>
      <c r="DU95" s="56">
        <f>$BH95-$BH96</f>
        <v/>
      </c>
      <c r="DV95" s="56">
        <f>$BI95-$BI96</f>
        <v/>
      </c>
      <c r="DW95" s="56">
        <f>$BJ95-$BJ96</f>
        <v/>
      </c>
      <c r="DX95" s="56">
        <f>$BK95-$BK96</f>
        <v/>
      </c>
      <c r="DY95" s="56">
        <f>$BL95-$BL96</f>
        <v/>
      </c>
      <c r="DZ95" s="56">
        <f>$BM95-$BM96</f>
        <v/>
      </c>
      <c r="EA95" s="56">
        <f>$BN95-$BN96</f>
        <v/>
      </c>
      <c r="EB95" s="56">
        <f>$BO95-$BO96</f>
        <v/>
      </c>
      <c r="EC95" s="56">
        <f>$BP95-$BP96</f>
        <v/>
      </c>
      <c r="ED95" s="56">
        <f>$BQ95-$BQ96</f>
        <v/>
      </c>
      <c r="EE95" s="56">
        <f>$BR95-$BR96</f>
        <v/>
      </c>
      <c r="EF95" s="56">
        <f>$BS95-$BS96</f>
        <v/>
      </c>
      <c r="EG95" s="56">
        <f>$BT95-$BT96</f>
        <v/>
      </c>
      <c r="EH95" s="56">
        <f>$BU95-$BU96</f>
        <v/>
      </c>
    </row>
    <row r="96">
      <c r="BV96" s="56">
        <f>($D96-$D97)*100</f>
        <v/>
      </c>
      <c r="BW96" s="56">
        <f>($C96-$C97)*100</f>
        <v/>
      </c>
      <c r="BX96" s="57">
        <f>IFERROR($I96/$I97-1,"")</f>
        <v/>
      </c>
      <c r="BY96" s="56">
        <f>($AF96-$AF97)*100</f>
        <v/>
      </c>
      <c r="BZ96" s="56">
        <f>($AG96-$AG97)*100</f>
        <v/>
      </c>
      <c r="CA96" s="56">
        <f>($AH96-$AH97)*100</f>
        <v/>
      </c>
      <c r="CB96" s="56">
        <f>($AI96-$AI97)*100</f>
        <v/>
      </c>
      <c r="CC96" s="56">
        <f>($AJ96-$AJ97)*100</f>
        <v/>
      </c>
      <c r="CD96" s="56">
        <f>($AK96-$AK97)*100</f>
        <v/>
      </c>
      <c r="CE96" s="56">
        <f>($AL96-$AL97)*100</f>
        <v/>
      </c>
      <c r="CF96" s="56">
        <f>($AM96-$AM97)*100</f>
        <v/>
      </c>
      <c r="CG96" s="56">
        <f>($AN96-$AN97)*100</f>
        <v/>
      </c>
      <c r="CH96" s="56">
        <f>($AO96-$AO97)*100</f>
        <v/>
      </c>
      <c r="CI96" s="56">
        <f>($AP96-$AP97)*100</f>
        <v/>
      </c>
      <c r="CJ96" s="56">
        <f>($AQ96-$AQ97)*100</f>
        <v/>
      </c>
      <c r="CK96" s="56">
        <f>($AR96-$AR97)*100</f>
        <v/>
      </c>
      <c r="CL96" s="56">
        <f>($AS96-$AS97)*100</f>
        <v/>
      </c>
      <c r="CM96" s="56">
        <f>($AT96-$AT97)*100</f>
        <v/>
      </c>
      <c r="CN96" s="56">
        <f>($AU96-$AU97)*100</f>
        <v/>
      </c>
      <c r="CO96" s="56">
        <f>($AV96-$AV97)*100</f>
        <v/>
      </c>
      <c r="CP96" s="56">
        <f>($AW96-$AW97)*100</f>
        <v/>
      </c>
      <c r="CQ96" s="56">
        <f>($AX96-$AX97)*100</f>
        <v/>
      </c>
      <c r="CR96" s="56">
        <f>($AY96-$AY97)*100</f>
        <v/>
      </c>
      <c r="CS96" s="57">
        <f>IFERROR($L97/$L96-1,"")</f>
        <v/>
      </c>
      <c r="CT96" s="57">
        <f>IFERROR($M97/$M96-1,"")</f>
        <v/>
      </c>
      <c r="CU96" s="57">
        <f>IFERROR($N97/$N96-1,"")</f>
        <v/>
      </c>
      <c r="CV96" s="57">
        <f>IFERROR($O97/$O96-1,"")</f>
        <v/>
      </c>
      <c r="CW96" s="57">
        <f>IFERROR($P97/$P96-1,"")</f>
        <v/>
      </c>
      <c r="CX96" s="57">
        <f>IFERROR($Q97/$Q96-1,"")</f>
        <v/>
      </c>
      <c r="CY96" s="57">
        <f>IFERROR($R97/$R96-1,"")</f>
        <v/>
      </c>
      <c r="CZ96" s="57">
        <f>IFERROR($S97/$S96-1,"")</f>
        <v/>
      </c>
      <c r="DA96" s="57">
        <f>IFERROR($T97/$T96-1,"")</f>
        <v/>
      </c>
      <c r="DB96" s="57">
        <f>IFERROR($U97/$U96-1,"")</f>
        <v/>
      </c>
      <c r="DC96" s="57">
        <f>IFERROR($V97/$V96-1,"")</f>
        <v/>
      </c>
      <c r="DD96" s="57">
        <f>IFERROR($W97/$W96-1,"")</f>
        <v/>
      </c>
      <c r="DE96" s="57">
        <f>IFERROR($X97/$X96-1,"")</f>
        <v/>
      </c>
      <c r="DF96" s="57">
        <f>IFERROR($Y97/$Y96-1,"")</f>
        <v/>
      </c>
      <c r="DG96" s="57">
        <f>IFERROR($Z97/$Z96-1,"")</f>
        <v/>
      </c>
      <c r="DH96" s="57">
        <f>IFERROR($AA97/$AA96-1,"")</f>
        <v/>
      </c>
      <c r="DI96" s="57">
        <f>IFERROR($AB97/$AB96-1,"")</f>
        <v/>
      </c>
      <c r="DJ96" s="57">
        <f>IFERROR($AC97/$AC96-1,"")</f>
        <v/>
      </c>
      <c r="DK96" s="57">
        <f>IFERROR($AD97/$AD96-1,"")</f>
        <v/>
      </c>
      <c r="DL96" s="57">
        <f>IFERROR($AE97/$AE96-1,"")</f>
        <v/>
      </c>
      <c r="DM96" s="56">
        <f>$AZ96-$AZ97</f>
        <v/>
      </c>
      <c r="DN96" s="56">
        <f>$BA96-$BA97</f>
        <v/>
      </c>
      <c r="DO96" s="56">
        <f>$BB96-$BB97</f>
        <v/>
      </c>
      <c r="DP96" s="56">
        <f>$BC96-$BC97</f>
        <v/>
      </c>
      <c r="DQ96" s="56">
        <f>$BD96-$BD97</f>
        <v/>
      </c>
      <c r="DR96" s="56">
        <f>$BE96-$BE97</f>
        <v/>
      </c>
      <c r="DS96" s="56">
        <f>$BF96-$BF97</f>
        <v/>
      </c>
      <c r="DT96" s="56">
        <f>$BG96-$BG97</f>
        <v/>
      </c>
      <c r="DU96" s="56">
        <f>$BH96-$BH97</f>
        <v/>
      </c>
      <c r="DV96" s="56">
        <f>$BI96-$BI97</f>
        <v/>
      </c>
      <c r="DW96" s="56">
        <f>$BJ96-$BJ97</f>
        <v/>
      </c>
      <c r="DX96" s="56">
        <f>$BK96-$BK97</f>
        <v/>
      </c>
      <c r="DY96" s="56">
        <f>$BL96-$BL97</f>
        <v/>
      </c>
      <c r="DZ96" s="56">
        <f>$BM96-$BM97</f>
        <v/>
      </c>
      <c r="EA96" s="56">
        <f>$BN96-$BN97</f>
        <v/>
      </c>
      <c r="EB96" s="56">
        <f>$BO96-$BO97</f>
        <v/>
      </c>
      <c r="EC96" s="56">
        <f>$BP96-$BP97</f>
        <v/>
      </c>
      <c r="ED96" s="56">
        <f>$BQ96-$BQ97</f>
        <v/>
      </c>
      <c r="EE96" s="56">
        <f>$BR96-$BR97</f>
        <v/>
      </c>
      <c r="EF96" s="56">
        <f>$BS96-$BS97</f>
        <v/>
      </c>
      <c r="EG96" s="56">
        <f>$BT96-$BT97</f>
        <v/>
      </c>
      <c r="EH96" s="56">
        <f>$BU96-$BU97</f>
        <v/>
      </c>
    </row>
    <row r="97">
      <c r="BV97" s="56">
        <f>($D97-$D98)*100</f>
        <v/>
      </c>
      <c r="BW97" s="56">
        <f>($C97-$C98)*100</f>
        <v/>
      </c>
      <c r="BX97" s="57">
        <f>IFERROR($I97/$I98-1,"")</f>
        <v/>
      </c>
      <c r="BY97" s="56">
        <f>($AF97-$AF98)*100</f>
        <v/>
      </c>
      <c r="BZ97" s="56">
        <f>($AG97-$AG98)*100</f>
        <v/>
      </c>
      <c r="CA97" s="56">
        <f>($AH97-$AH98)*100</f>
        <v/>
      </c>
      <c r="CB97" s="56">
        <f>($AI97-$AI98)*100</f>
        <v/>
      </c>
      <c r="CC97" s="56">
        <f>($AJ97-$AJ98)*100</f>
        <v/>
      </c>
      <c r="CD97" s="56">
        <f>($AK97-$AK98)*100</f>
        <v/>
      </c>
      <c r="CE97" s="56">
        <f>($AL97-$AL98)*100</f>
        <v/>
      </c>
      <c r="CF97" s="56">
        <f>($AM97-$AM98)*100</f>
        <v/>
      </c>
      <c r="CG97" s="56">
        <f>($AN97-$AN98)*100</f>
        <v/>
      </c>
      <c r="CH97" s="56">
        <f>($AO97-$AO98)*100</f>
        <v/>
      </c>
      <c r="CI97" s="56">
        <f>($AP97-$AP98)*100</f>
        <v/>
      </c>
      <c r="CJ97" s="56">
        <f>($AQ97-$AQ98)*100</f>
        <v/>
      </c>
      <c r="CK97" s="56">
        <f>($AR97-$AR98)*100</f>
        <v/>
      </c>
      <c r="CL97" s="56">
        <f>($AS97-$AS98)*100</f>
        <v/>
      </c>
      <c r="CM97" s="56">
        <f>($AT97-$AT98)*100</f>
        <v/>
      </c>
      <c r="CN97" s="56">
        <f>($AU97-$AU98)*100</f>
        <v/>
      </c>
      <c r="CO97" s="56">
        <f>($AV97-$AV98)*100</f>
        <v/>
      </c>
      <c r="CP97" s="56">
        <f>($AW97-$AW98)*100</f>
        <v/>
      </c>
      <c r="CQ97" s="56">
        <f>($AX97-$AX98)*100</f>
        <v/>
      </c>
      <c r="CR97" s="56">
        <f>($AY97-$AY98)*100</f>
        <v/>
      </c>
      <c r="CS97" s="57">
        <f>IFERROR($L98/$L97-1,"")</f>
        <v/>
      </c>
      <c r="CT97" s="57">
        <f>IFERROR($M98/$M97-1,"")</f>
        <v/>
      </c>
      <c r="CU97" s="57">
        <f>IFERROR($N98/$N97-1,"")</f>
        <v/>
      </c>
      <c r="CV97" s="57">
        <f>IFERROR($O98/$O97-1,"")</f>
        <v/>
      </c>
      <c r="CW97" s="57">
        <f>IFERROR($P98/$P97-1,"")</f>
        <v/>
      </c>
      <c r="CX97" s="57">
        <f>IFERROR($Q98/$Q97-1,"")</f>
        <v/>
      </c>
      <c r="CY97" s="57">
        <f>IFERROR($R98/$R97-1,"")</f>
        <v/>
      </c>
      <c r="CZ97" s="57">
        <f>IFERROR($S98/$S97-1,"")</f>
        <v/>
      </c>
      <c r="DA97" s="57">
        <f>IFERROR($T98/$T97-1,"")</f>
        <v/>
      </c>
      <c r="DB97" s="57">
        <f>IFERROR($U98/$U97-1,"")</f>
        <v/>
      </c>
      <c r="DC97" s="57">
        <f>IFERROR($V98/$V97-1,"")</f>
        <v/>
      </c>
      <c r="DD97" s="57">
        <f>IFERROR($W98/$W97-1,"")</f>
        <v/>
      </c>
      <c r="DE97" s="57">
        <f>IFERROR($X98/$X97-1,"")</f>
        <v/>
      </c>
      <c r="DF97" s="57">
        <f>IFERROR($Y98/$Y97-1,"")</f>
        <v/>
      </c>
      <c r="DG97" s="57">
        <f>IFERROR($Z98/$Z97-1,"")</f>
        <v/>
      </c>
      <c r="DH97" s="57">
        <f>IFERROR($AA98/$AA97-1,"")</f>
        <v/>
      </c>
      <c r="DI97" s="57">
        <f>IFERROR($AB98/$AB97-1,"")</f>
        <v/>
      </c>
      <c r="DJ97" s="57">
        <f>IFERROR($AC98/$AC97-1,"")</f>
        <v/>
      </c>
      <c r="DK97" s="57">
        <f>IFERROR($AD98/$AD97-1,"")</f>
        <v/>
      </c>
      <c r="DL97" s="57">
        <f>IFERROR($AE98/$AE97-1,"")</f>
        <v/>
      </c>
      <c r="DM97" s="56">
        <f>$AZ97-$AZ98</f>
        <v/>
      </c>
      <c r="DN97" s="56">
        <f>$BA97-$BA98</f>
        <v/>
      </c>
      <c r="DO97" s="56">
        <f>$BB97-$BB98</f>
        <v/>
      </c>
      <c r="DP97" s="56">
        <f>$BC97-$BC98</f>
        <v/>
      </c>
      <c r="DQ97" s="56">
        <f>$BD97-$BD98</f>
        <v/>
      </c>
      <c r="DR97" s="56">
        <f>$BE97-$BE98</f>
        <v/>
      </c>
      <c r="DS97" s="56">
        <f>$BF97-$BF98</f>
        <v/>
      </c>
      <c r="DT97" s="56">
        <f>$BG97-$BG98</f>
        <v/>
      </c>
      <c r="DU97" s="56">
        <f>$BH97-$BH98</f>
        <v/>
      </c>
      <c r="DV97" s="56">
        <f>$BI97-$BI98</f>
        <v/>
      </c>
      <c r="DW97" s="56">
        <f>$BJ97-$BJ98</f>
        <v/>
      </c>
      <c r="DX97" s="56">
        <f>$BK97-$BK98</f>
        <v/>
      </c>
      <c r="DY97" s="56">
        <f>$BL97-$BL98</f>
        <v/>
      </c>
      <c r="DZ97" s="56">
        <f>$BM97-$BM98</f>
        <v/>
      </c>
      <c r="EA97" s="56">
        <f>$BN97-$BN98</f>
        <v/>
      </c>
      <c r="EB97" s="56">
        <f>$BO97-$BO98</f>
        <v/>
      </c>
      <c r="EC97" s="56">
        <f>$BP97-$BP98</f>
        <v/>
      </c>
      <c r="ED97" s="56">
        <f>$BQ97-$BQ98</f>
        <v/>
      </c>
      <c r="EE97" s="56">
        <f>$BR97-$BR98</f>
        <v/>
      </c>
      <c r="EF97" s="56">
        <f>$BS97-$BS98</f>
        <v/>
      </c>
      <c r="EG97" s="56">
        <f>$BT97-$BT98</f>
        <v/>
      </c>
      <c r="EH97" s="56">
        <f>$BU97-$BU98</f>
        <v/>
      </c>
    </row>
    <row r="98">
      <c r="BV98" s="56">
        <f>($D98-$D99)*100</f>
        <v/>
      </c>
      <c r="BW98" s="56">
        <f>($C98-$C99)*100</f>
        <v/>
      </c>
      <c r="BX98" s="57">
        <f>IFERROR($I98/$I99-1,"")</f>
        <v/>
      </c>
      <c r="BY98" s="56">
        <f>($AF98-$AF99)*100</f>
        <v/>
      </c>
      <c r="BZ98" s="56">
        <f>($AG98-$AG99)*100</f>
        <v/>
      </c>
      <c r="CA98" s="56">
        <f>($AH98-$AH99)*100</f>
        <v/>
      </c>
      <c r="CB98" s="56">
        <f>($AI98-$AI99)*100</f>
        <v/>
      </c>
      <c r="CC98" s="56">
        <f>($AJ98-$AJ99)*100</f>
        <v/>
      </c>
      <c r="CD98" s="56">
        <f>($AK98-$AK99)*100</f>
        <v/>
      </c>
      <c r="CE98" s="56">
        <f>($AL98-$AL99)*100</f>
        <v/>
      </c>
      <c r="CF98" s="56">
        <f>($AM98-$AM99)*100</f>
        <v/>
      </c>
      <c r="CG98" s="56">
        <f>($AN98-$AN99)*100</f>
        <v/>
      </c>
      <c r="CH98" s="56">
        <f>($AO98-$AO99)*100</f>
        <v/>
      </c>
      <c r="CI98" s="56">
        <f>($AP98-$AP99)*100</f>
        <v/>
      </c>
      <c r="CJ98" s="56">
        <f>($AQ98-$AQ99)*100</f>
        <v/>
      </c>
      <c r="CK98" s="56">
        <f>($AR98-$AR99)*100</f>
        <v/>
      </c>
      <c r="CL98" s="56">
        <f>($AS98-$AS99)*100</f>
        <v/>
      </c>
      <c r="CM98" s="56">
        <f>($AT98-$AT99)*100</f>
        <v/>
      </c>
      <c r="CN98" s="56">
        <f>($AU98-$AU99)*100</f>
        <v/>
      </c>
      <c r="CO98" s="56">
        <f>($AV98-$AV99)*100</f>
        <v/>
      </c>
      <c r="CP98" s="56">
        <f>($AW98-$AW99)*100</f>
        <v/>
      </c>
      <c r="CQ98" s="56">
        <f>($AX98-$AX99)*100</f>
        <v/>
      </c>
      <c r="CR98" s="56">
        <f>($AY98-$AY99)*100</f>
        <v/>
      </c>
      <c r="CS98" s="57">
        <f>IFERROR($L99/$L98-1,"")</f>
        <v/>
      </c>
      <c r="CT98" s="57">
        <f>IFERROR($M99/$M98-1,"")</f>
        <v/>
      </c>
      <c r="CU98" s="57">
        <f>IFERROR($N99/$N98-1,"")</f>
        <v/>
      </c>
      <c r="CV98" s="57">
        <f>IFERROR($O99/$O98-1,"")</f>
        <v/>
      </c>
      <c r="CW98" s="57">
        <f>IFERROR($P99/$P98-1,"")</f>
        <v/>
      </c>
      <c r="CX98" s="57">
        <f>IFERROR($Q99/$Q98-1,"")</f>
        <v/>
      </c>
      <c r="CY98" s="57">
        <f>IFERROR($R99/$R98-1,"")</f>
        <v/>
      </c>
      <c r="CZ98" s="57">
        <f>IFERROR($S99/$S98-1,"")</f>
        <v/>
      </c>
      <c r="DA98" s="57">
        <f>IFERROR($T99/$T98-1,"")</f>
        <v/>
      </c>
      <c r="DB98" s="57">
        <f>IFERROR($U99/$U98-1,"")</f>
        <v/>
      </c>
      <c r="DC98" s="57">
        <f>IFERROR($V99/$V98-1,"")</f>
        <v/>
      </c>
      <c r="DD98" s="57">
        <f>IFERROR($W99/$W98-1,"")</f>
        <v/>
      </c>
      <c r="DE98" s="57">
        <f>IFERROR($X99/$X98-1,"")</f>
        <v/>
      </c>
      <c r="DF98" s="57">
        <f>IFERROR($Y99/$Y98-1,"")</f>
        <v/>
      </c>
      <c r="DG98" s="57">
        <f>IFERROR($Z99/$Z98-1,"")</f>
        <v/>
      </c>
      <c r="DH98" s="57">
        <f>IFERROR($AA99/$AA98-1,"")</f>
        <v/>
      </c>
      <c r="DI98" s="57">
        <f>IFERROR($AB99/$AB98-1,"")</f>
        <v/>
      </c>
      <c r="DJ98" s="57">
        <f>IFERROR($AC99/$AC98-1,"")</f>
        <v/>
      </c>
      <c r="DK98" s="57">
        <f>IFERROR($AD99/$AD98-1,"")</f>
        <v/>
      </c>
      <c r="DL98" s="57">
        <f>IFERROR($AE99/$AE98-1,"")</f>
        <v/>
      </c>
      <c r="DM98" s="56">
        <f>$AZ98-$AZ99</f>
        <v/>
      </c>
      <c r="DN98" s="56">
        <f>$BA98-$BA99</f>
        <v/>
      </c>
      <c r="DO98" s="56">
        <f>$BB98-$BB99</f>
        <v/>
      </c>
      <c r="DP98" s="56">
        <f>$BC98-$BC99</f>
        <v/>
      </c>
      <c r="DQ98" s="56">
        <f>$BD98-$BD99</f>
        <v/>
      </c>
      <c r="DR98" s="56">
        <f>$BE98-$BE99</f>
        <v/>
      </c>
      <c r="DS98" s="56">
        <f>$BF98-$BF99</f>
        <v/>
      </c>
      <c r="DT98" s="56">
        <f>$BG98-$BG99</f>
        <v/>
      </c>
      <c r="DU98" s="56">
        <f>$BH98-$BH99</f>
        <v/>
      </c>
      <c r="DV98" s="56">
        <f>$BI98-$BI99</f>
        <v/>
      </c>
      <c r="DW98" s="56">
        <f>$BJ98-$BJ99</f>
        <v/>
      </c>
      <c r="DX98" s="56">
        <f>$BK98-$BK99</f>
        <v/>
      </c>
      <c r="DY98" s="56">
        <f>$BL98-$BL99</f>
        <v/>
      </c>
      <c r="DZ98" s="56">
        <f>$BM98-$BM99</f>
        <v/>
      </c>
      <c r="EA98" s="56">
        <f>$BN98-$BN99</f>
        <v/>
      </c>
      <c r="EB98" s="56">
        <f>$BO98-$BO99</f>
        <v/>
      </c>
      <c r="EC98" s="56">
        <f>$BP98-$BP99</f>
        <v/>
      </c>
      <c r="ED98" s="56">
        <f>$BQ98-$BQ99</f>
        <v/>
      </c>
      <c r="EE98" s="56">
        <f>$BR98-$BR99</f>
        <v/>
      </c>
      <c r="EF98" s="56">
        <f>$BS98-$BS99</f>
        <v/>
      </c>
      <c r="EG98" s="56">
        <f>$BT98-$BT99</f>
        <v/>
      </c>
      <c r="EH98" s="56">
        <f>$BU98-$BU99</f>
        <v/>
      </c>
    </row>
    <row r="99">
      <c r="BV99" s="56">
        <f>($D99-$D100)*100</f>
        <v/>
      </c>
      <c r="BW99" s="56">
        <f>($C99-$C100)*100</f>
        <v/>
      </c>
      <c r="BX99" s="57">
        <f>IFERROR($I99/$I100-1,"")</f>
        <v/>
      </c>
      <c r="BY99" s="56">
        <f>($AF99-$AF100)*100</f>
        <v/>
      </c>
      <c r="BZ99" s="56">
        <f>($AG99-$AG100)*100</f>
        <v/>
      </c>
      <c r="CA99" s="56">
        <f>($AH99-$AH100)*100</f>
        <v/>
      </c>
      <c r="CB99" s="56">
        <f>($AI99-$AI100)*100</f>
        <v/>
      </c>
      <c r="CC99" s="56">
        <f>($AJ99-$AJ100)*100</f>
        <v/>
      </c>
      <c r="CD99" s="56">
        <f>($AK99-$AK100)*100</f>
        <v/>
      </c>
      <c r="CE99" s="56">
        <f>($AL99-$AL100)*100</f>
        <v/>
      </c>
      <c r="CF99" s="56">
        <f>($AM99-$AM100)*100</f>
        <v/>
      </c>
      <c r="CG99" s="56">
        <f>($AN99-$AN100)*100</f>
        <v/>
      </c>
      <c r="CH99" s="56">
        <f>($AO99-$AO100)*100</f>
        <v/>
      </c>
      <c r="CI99" s="56">
        <f>($AP99-$AP100)*100</f>
        <v/>
      </c>
      <c r="CJ99" s="56">
        <f>($AQ99-$AQ100)*100</f>
        <v/>
      </c>
      <c r="CK99" s="56">
        <f>($AR99-$AR100)*100</f>
        <v/>
      </c>
      <c r="CL99" s="56">
        <f>($AS99-$AS100)*100</f>
        <v/>
      </c>
      <c r="CM99" s="56">
        <f>($AT99-$AT100)*100</f>
        <v/>
      </c>
      <c r="CN99" s="56">
        <f>($AU99-$AU100)*100</f>
        <v/>
      </c>
      <c r="CO99" s="56">
        <f>($AV99-$AV100)*100</f>
        <v/>
      </c>
      <c r="CP99" s="56">
        <f>($AW99-$AW100)*100</f>
        <v/>
      </c>
      <c r="CQ99" s="56">
        <f>($AX99-$AX100)*100</f>
        <v/>
      </c>
      <c r="CR99" s="56">
        <f>($AY99-$AY100)*100</f>
        <v/>
      </c>
      <c r="CS99" s="57">
        <f>IFERROR($L100/$L99-1,"")</f>
        <v/>
      </c>
      <c r="CT99" s="57">
        <f>IFERROR($M100/$M99-1,"")</f>
        <v/>
      </c>
      <c r="CU99" s="57">
        <f>IFERROR($N100/$N99-1,"")</f>
        <v/>
      </c>
      <c r="CV99" s="57">
        <f>IFERROR($O100/$O99-1,"")</f>
        <v/>
      </c>
      <c r="CW99" s="57">
        <f>IFERROR($P100/$P99-1,"")</f>
        <v/>
      </c>
      <c r="CX99" s="57">
        <f>IFERROR($Q100/$Q99-1,"")</f>
        <v/>
      </c>
      <c r="CY99" s="57">
        <f>IFERROR($R100/$R99-1,"")</f>
        <v/>
      </c>
      <c r="CZ99" s="57">
        <f>IFERROR($S100/$S99-1,"")</f>
        <v/>
      </c>
      <c r="DA99" s="57">
        <f>IFERROR($T100/$T99-1,"")</f>
        <v/>
      </c>
      <c r="DB99" s="57">
        <f>IFERROR($U100/$U99-1,"")</f>
        <v/>
      </c>
      <c r="DC99" s="57">
        <f>IFERROR($V100/$V99-1,"")</f>
        <v/>
      </c>
      <c r="DD99" s="57">
        <f>IFERROR($W100/$W99-1,"")</f>
        <v/>
      </c>
      <c r="DE99" s="57">
        <f>IFERROR($X100/$X99-1,"")</f>
        <v/>
      </c>
      <c r="DF99" s="57">
        <f>IFERROR($Y100/$Y99-1,"")</f>
        <v/>
      </c>
      <c r="DG99" s="57">
        <f>IFERROR($Z100/$Z99-1,"")</f>
        <v/>
      </c>
      <c r="DH99" s="57">
        <f>IFERROR($AA100/$AA99-1,"")</f>
        <v/>
      </c>
      <c r="DI99" s="57">
        <f>IFERROR($AB100/$AB99-1,"")</f>
        <v/>
      </c>
      <c r="DJ99" s="57">
        <f>IFERROR($AC100/$AC99-1,"")</f>
        <v/>
      </c>
      <c r="DK99" s="57">
        <f>IFERROR($AD100/$AD99-1,"")</f>
        <v/>
      </c>
      <c r="DL99" s="57">
        <f>IFERROR($AE100/$AE99-1,"")</f>
        <v/>
      </c>
      <c r="DM99" s="56">
        <f>$AZ99-$AZ100</f>
        <v/>
      </c>
      <c r="DN99" s="56">
        <f>$BA99-$BA100</f>
        <v/>
      </c>
      <c r="DO99" s="56">
        <f>$BB99-$BB100</f>
        <v/>
      </c>
      <c r="DP99" s="56">
        <f>$BC99-$BC100</f>
        <v/>
      </c>
      <c r="DQ99" s="56">
        <f>$BD99-$BD100</f>
        <v/>
      </c>
      <c r="DR99" s="56">
        <f>$BE99-$BE100</f>
        <v/>
      </c>
      <c r="DS99" s="56">
        <f>$BF99-$BF100</f>
        <v/>
      </c>
      <c r="DT99" s="56">
        <f>$BG99-$BG100</f>
        <v/>
      </c>
      <c r="DU99" s="56">
        <f>$BH99-$BH100</f>
        <v/>
      </c>
      <c r="DV99" s="56">
        <f>$BI99-$BI100</f>
        <v/>
      </c>
      <c r="DW99" s="56">
        <f>$BJ99-$BJ100</f>
        <v/>
      </c>
      <c r="DX99" s="56">
        <f>$BK99-$BK100</f>
        <v/>
      </c>
      <c r="DY99" s="56">
        <f>$BL99-$BL100</f>
        <v/>
      </c>
      <c r="DZ99" s="56">
        <f>$BM99-$BM100</f>
        <v/>
      </c>
      <c r="EA99" s="56">
        <f>$BN99-$BN100</f>
        <v/>
      </c>
      <c r="EB99" s="56">
        <f>$BO99-$BO100</f>
        <v/>
      </c>
      <c r="EC99" s="56">
        <f>$BP99-$BP100</f>
        <v/>
      </c>
      <c r="ED99" s="56">
        <f>$BQ99-$BQ100</f>
        <v/>
      </c>
      <c r="EE99" s="56">
        <f>$BR99-$BR100</f>
        <v/>
      </c>
      <c r="EF99" s="56">
        <f>$BS99-$BS100</f>
        <v/>
      </c>
      <c r="EG99" s="56">
        <f>$BT99-$BT100</f>
        <v/>
      </c>
      <c r="EH99" s="56">
        <f>$BU99-$BU100</f>
        <v/>
      </c>
    </row>
    <row r="100">
      <c r="BV100" s="56">
        <f>($D100-$D101)*100</f>
        <v/>
      </c>
      <c r="BW100" s="56">
        <f>($C100-$C101)*100</f>
        <v/>
      </c>
      <c r="BX100" s="57">
        <f>IFERROR($I100/$I101-1,"")</f>
        <v/>
      </c>
      <c r="BY100" s="56">
        <f>($AF100-$AF101)*100</f>
        <v/>
      </c>
      <c r="BZ100" s="56">
        <f>($AG100-$AG101)*100</f>
        <v/>
      </c>
      <c r="CA100" s="56">
        <f>($AH100-$AH101)*100</f>
        <v/>
      </c>
      <c r="CB100" s="56">
        <f>($AI100-$AI101)*100</f>
        <v/>
      </c>
      <c r="CC100" s="56">
        <f>($AJ100-$AJ101)*100</f>
        <v/>
      </c>
      <c r="CD100" s="56">
        <f>($AK100-$AK101)*100</f>
        <v/>
      </c>
      <c r="CE100" s="56">
        <f>($AL100-$AL101)*100</f>
        <v/>
      </c>
      <c r="CF100" s="56">
        <f>($AM100-$AM101)*100</f>
        <v/>
      </c>
      <c r="CG100" s="56">
        <f>($AN100-$AN101)*100</f>
        <v/>
      </c>
      <c r="CH100" s="56">
        <f>($AO100-$AO101)*100</f>
        <v/>
      </c>
      <c r="CI100" s="56">
        <f>($AP100-$AP101)*100</f>
        <v/>
      </c>
      <c r="CJ100" s="56">
        <f>($AQ100-$AQ101)*100</f>
        <v/>
      </c>
      <c r="CK100" s="56">
        <f>($AR100-$AR101)*100</f>
        <v/>
      </c>
      <c r="CL100" s="56">
        <f>($AS100-$AS101)*100</f>
        <v/>
      </c>
      <c r="CM100" s="56">
        <f>($AT100-$AT101)*100</f>
        <v/>
      </c>
      <c r="CN100" s="56">
        <f>($AU100-$AU101)*100</f>
        <v/>
      </c>
      <c r="CO100" s="56">
        <f>($AV100-$AV101)*100</f>
        <v/>
      </c>
      <c r="CP100" s="56">
        <f>($AW100-$AW101)*100</f>
        <v/>
      </c>
      <c r="CQ100" s="56">
        <f>($AX100-$AX101)*100</f>
        <v/>
      </c>
      <c r="CR100" s="56">
        <f>($AY100-$AY101)*100</f>
        <v/>
      </c>
      <c r="CS100" s="57">
        <f>IFERROR($L101/$L100-1,"")</f>
        <v/>
      </c>
      <c r="CT100" s="57">
        <f>IFERROR($M101/$M100-1,"")</f>
        <v/>
      </c>
      <c r="CU100" s="57">
        <f>IFERROR($N101/$N100-1,"")</f>
        <v/>
      </c>
      <c r="CV100" s="57">
        <f>IFERROR($O101/$O100-1,"")</f>
        <v/>
      </c>
      <c r="CW100" s="57">
        <f>IFERROR($P101/$P100-1,"")</f>
        <v/>
      </c>
      <c r="CX100" s="57">
        <f>IFERROR($Q101/$Q100-1,"")</f>
        <v/>
      </c>
      <c r="CY100" s="57">
        <f>IFERROR($R101/$R100-1,"")</f>
        <v/>
      </c>
      <c r="CZ100" s="57">
        <f>IFERROR($S101/$S100-1,"")</f>
        <v/>
      </c>
      <c r="DA100" s="57">
        <f>IFERROR($T101/$T100-1,"")</f>
        <v/>
      </c>
      <c r="DB100" s="57">
        <f>IFERROR($U101/$U100-1,"")</f>
        <v/>
      </c>
      <c r="DC100" s="57">
        <f>IFERROR($V101/$V100-1,"")</f>
        <v/>
      </c>
      <c r="DD100" s="57">
        <f>IFERROR($W101/$W100-1,"")</f>
        <v/>
      </c>
      <c r="DE100" s="57">
        <f>IFERROR($X101/$X100-1,"")</f>
        <v/>
      </c>
      <c r="DF100" s="57">
        <f>IFERROR($Y101/$Y100-1,"")</f>
        <v/>
      </c>
      <c r="DG100" s="57">
        <f>IFERROR($Z101/$Z100-1,"")</f>
        <v/>
      </c>
      <c r="DH100" s="57">
        <f>IFERROR($AA101/$AA100-1,"")</f>
        <v/>
      </c>
      <c r="DI100" s="57">
        <f>IFERROR($AB101/$AB100-1,"")</f>
        <v/>
      </c>
      <c r="DJ100" s="57">
        <f>IFERROR($AC101/$AC100-1,"")</f>
        <v/>
      </c>
      <c r="DK100" s="57">
        <f>IFERROR($AD101/$AD100-1,"")</f>
        <v/>
      </c>
      <c r="DL100" s="57">
        <f>IFERROR($AE101/$AE100-1,"")</f>
        <v/>
      </c>
      <c r="DM100" s="56">
        <f>$AZ100-$AZ101</f>
        <v/>
      </c>
      <c r="DN100" s="56">
        <f>$BA100-$BA101</f>
        <v/>
      </c>
      <c r="DO100" s="56">
        <f>$BB100-$BB101</f>
        <v/>
      </c>
      <c r="DP100" s="56">
        <f>$BC100-$BC101</f>
        <v/>
      </c>
      <c r="DQ100" s="56">
        <f>$BD100-$BD101</f>
        <v/>
      </c>
      <c r="DR100" s="56">
        <f>$BE100-$BE101</f>
        <v/>
      </c>
      <c r="DS100" s="56">
        <f>$BF100-$BF101</f>
        <v/>
      </c>
      <c r="DT100" s="56">
        <f>$BG100-$BG101</f>
        <v/>
      </c>
      <c r="DU100" s="56">
        <f>$BH100-$BH101</f>
        <v/>
      </c>
      <c r="DV100" s="56">
        <f>$BI100-$BI101</f>
        <v/>
      </c>
      <c r="DW100" s="56">
        <f>$BJ100-$BJ101</f>
        <v/>
      </c>
      <c r="DX100" s="56">
        <f>$BK100-$BK101</f>
        <v/>
      </c>
      <c r="DY100" s="56">
        <f>$BL100-$BL101</f>
        <v/>
      </c>
      <c r="DZ100" s="56">
        <f>$BM100-$BM101</f>
        <v/>
      </c>
      <c r="EA100" s="56">
        <f>$BN100-$BN101</f>
        <v/>
      </c>
      <c r="EB100" s="56">
        <f>$BO100-$BO101</f>
        <v/>
      </c>
      <c r="EC100" s="56">
        <f>$BP100-$BP101</f>
        <v/>
      </c>
      <c r="ED100" s="56">
        <f>$BQ100-$BQ101</f>
        <v/>
      </c>
      <c r="EE100" s="56">
        <f>$BR100-$BR101</f>
        <v/>
      </c>
      <c r="EF100" s="56">
        <f>$BS100-$BS101</f>
        <v/>
      </c>
      <c r="EG100" s="56">
        <f>$BT100-$BT101</f>
        <v/>
      </c>
      <c r="EH100" s="56">
        <f>$BU100-$BU101</f>
        <v/>
      </c>
    </row>
    <row r="101">
      <c r="BV101" s="56">
        <f>($D101-$D102)*100</f>
        <v/>
      </c>
      <c r="BW101" s="56">
        <f>($C101-$C102)*100</f>
        <v/>
      </c>
      <c r="BX101" s="57">
        <f>IFERROR($I101/$I102-1,"")</f>
        <v/>
      </c>
      <c r="BY101" s="56">
        <f>($AF101-$AF102)*100</f>
        <v/>
      </c>
      <c r="BZ101" s="56">
        <f>($AG101-$AG102)*100</f>
        <v/>
      </c>
      <c r="CA101" s="56">
        <f>($AH101-$AH102)*100</f>
        <v/>
      </c>
      <c r="CB101" s="56">
        <f>($AI101-$AI102)*100</f>
        <v/>
      </c>
      <c r="CC101" s="56">
        <f>($AJ101-$AJ102)*100</f>
        <v/>
      </c>
      <c r="CD101" s="56">
        <f>($AK101-$AK102)*100</f>
        <v/>
      </c>
      <c r="CE101" s="56">
        <f>($AL101-$AL102)*100</f>
        <v/>
      </c>
      <c r="CF101" s="56">
        <f>($AM101-$AM102)*100</f>
        <v/>
      </c>
      <c r="CG101" s="56">
        <f>($AN101-$AN102)*100</f>
        <v/>
      </c>
      <c r="CH101" s="56">
        <f>($AO101-$AO102)*100</f>
        <v/>
      </c>
      <c r="CI101" s="56">
        <f>($AP101-$AP102)*100</f>
        <v/>
      </c>
      <c r="CJ101" s="56">
        <f>($AQ101-$AQ102)*100</f>
        <v/>
      </c>
      <c r="CK101" s="56">
        <f>($AR101-$AR102)*100</f>
        <v/>
      </c>
      <c r="CL101" s="56">
        <f>($AS101-$AS102)*100</f>
        <v/>
      </c>
      <c r="CM101" s="56">
        <f>($AT101-$AT102)*100</f>
        <v/>
      </c>
      <c r="CN101" s="56">
        <f>($AU101-$AU102)*100</f>
        <v/>
      </c>
      <c r="CO101" s="56">
        <f>($AV101-$AV102)*100</f>
        <v/>
      </c>
      <c r="CP101" s="56">
        <f>($AW101-$AW102)*100</f>
        <v/>
      </c>
      <c r="CQ101" s="56">
        <f>($AX101-$AX102)*100</f>
        <v/>
      </c>
      <c r="CR101" s="56">
        <f>($AY101-$AY102)*100</f>
        <v/>
      </c>
      <c r="CS101" s="57">
        <f>IFERROR($L102/$L101-1,"")</f>
        <v/>
      </c>
      <c r="CT101" s="57">
        <f>IFERROR($M102/$M101-1,"")</f>
        <v/>
      </c>
      <c r="CU101" s="57">
        <f>IFERROR($N102/$N101-1,"")</f>
        <v/>
      </c>
      <c r="CV101" s="57">
        <f>IFERROR($O102/$O101-1,"")</f>
        <v/>
      </c>
      <c r="CW101" s="57">
        <f>IFERROR($P102/$P101-1,"")</f>
        <v/>
      </c>
      <c r="CX101" s="57">
        <f>IFERROR($Q102/$Q101-1,"")</f>
        <v/>
      </c>
      <c r="CY101" s="57">
        <f>IFERROR($R102/$R101-1,"")</f>
        <v/>
      </c>
      <c r="CZ101" s="57">
        <f>IFERROR($S102/$S101-1,"")</f>
        <v/>
      </c>
      <c r="DA101" s="57">
        <f>IFERROR($T102/$T101-1,"")</f>
        <v/>
      </c>
      <c r="DB101" s="57">
        <f>IFERROR($U102/$U101-1,"")</f>
        <v/>
      </c>
      <c r="DC101" s="57">
        <f>IFERROR($V102/$V101-1,"")</f>
        <v/>
      </c>
      <c r="DD101" s="57">
        <f>IFERROR($W102/$W101-1,"")</f>
        <v/>
      </c>
      <c r="DE101" s="57">
        <f>IFERROR($X102/$X101-1,"")</f>
        <v/>
      </c>
      <c r="DF101" s="57">
        <f>IFERROR($Y102/$Y101-1,"")</f>
        <v/>
      </c>
      <c r="DG101" s="57">
        <f>IFERROR($Z102/$Z101-1,"")</f>
        <v/>
      </c>
      <c r="DH101" s="57">
        <f>IFERROR($AA102/$AA101-1,"")</f>
        <v/>
      </c>
      <c r="DI101" s="57">
        <f>IFERROR($AB102/$AB101-1,"")</f>
        <v/>
      </c>
      <c r="DJ101" s="57">
        <f>IFERROR($AC102/$AC101-1,"")</f>
        <v/>
      </c>
      <c r="DK101" s="57">
        <f>IFERROR($AD102/$AD101-1,"")</f>
        <v/>
      </c>
      <c r="DL101" s="57">
        <f>IFERROR($AE102/$AE101-1,"")</f>
        <v/>
      </c>
      <c r="DM101" s="56">
        <f>$AZ101-$AZ102</f>
        <v/>
      </c>
      <c r="DN101" s="56">
        <f>$BA101-$BA102</f>
        <v/>
      </c>
      <c r="DO101" s="56">
        <f>$BB101-$BB102</f>
        <v/>
      </c>
      <c r="DP101" s="56">
        <f>$BC101-$BC102</f>
        <v/>
      </c>
      <c r="DQ101" s="56">
        <f>$BD101-$BD102</f>
        <v/>
      </c>
      <c r="DR101" s="56">
        <f>$BE101-$BE102</f>
        <v/>
      </c>
      <c r="DS101" s="56">
        <f>$BF101-$BF102</f>
        <v/>
      </c>
      <c r="DT101" s="56">
        <f>$BG101-$BG102</f>
        <v/>
      </c>
      <c r="DU101" s="56">
        <f>$BH101-$BH102</f>
        <v/>
      </c>
      <c r="DV101" s="56">
        <f>$BI101-$BI102</f>
        <v/>
      </c>
      <c r="DW101" s="56">
        <f>$BJ101-$BJ102</f>
        <v/>
      </c>
      <c r="DX101" s="56">
        <f>$BK101-$BK102</f>
        <v/>
      </c>
      <c r="DY101" s="56">
        <f>$BL101-$BL102</f>
        <v/>
      </c>
      <c r="DZ101" s="56">
        <f>$BM101-$BM102</f>
        <v/>
      </c>
      <c r="EA101" s="56">
        <f>$BN101-$BN102</f>
        <v/>
      </c>
      <c r="EB101" s="56">
        <f>$BO101-$BO102</f>
        <v/>
      </c>
      <c r="EC101" s="56">
        <f>$BP101-$BP102</f>
        <v/>
      </c>
      <c r="ED101" s="56">
        <f>$BQ101-$BQ102</f>
        <v/>
      </c>
      <c r="EE101" s="56">
        <f>$BR101-$BR102</f>
        <v/>
      </c>
      <c r="EF101" s="56">
        <f>$BS101-$BS102</f>
        <v/>
      </c>
      <c r="EG101" s="56">
        <f>$BT101-$BT102</f>
        <v/>
      </c>
      <c r="EH101" s="56">
        <f>$BU101-$BU102</f>
        <v/>
      </c>
    </row>
    <row r="102">
      <c r="BV102" s="56">
        <f>($D102-$D103)*100</f>
        <v/>
      </c>
      <c r="BW102" s="56">
        <f>($C102-$C103)*100</f>
        <v/>
      </c>
      <c r="BX102" s="57">
        <f>IFERROR($I102/$I103-1,"")</f>
        <v/>
      </c>
      <c r="BY102" s="56">
        <f>($AF102-$AF103)*100</f>
        <v/>
      </c>
      <c r="BZ102" s="56">
        <f>($AG102-$AG103)*100</f>
        <v/>
      </c>
      <c r="CA102" s="56">
        <f>($AH102-$AH103)*100</f>
        <v/>
      </c>
      <c r="CB102" s="56">
        <f>($AI102-$AI103)*100</f>
        <v/>
      </c>
      <c r="CC102" s="56">
        <f>($AJ102-$AJ103)*100</f>
        <v/>
      </c>
      <c r="CD102" s="56">
        <f>($AK102-$AK103)*100</f>
        <v/>
      </c>
      <c r="CE102" s="56">
        <f>($AL102-$AL103)*100</f>
        <v/>
      </c>
      <c r="CF102" s="56">
        <f>($AM102-$AM103)*100</f>
        <v/>
      </c>
      <c r="CG102" s="56">
        <f>($AN102-$AN103)*100</f>
        <v/>
      </c>
      <c r="CH102" s="56">
        <f>($AO102-$AO103)*100</f>
        <v/>
      </c>
      <c r="CI102" s="56">
        <f>($AP102-$AP103)*100</f>
        <v/>
      </c>
      <c r="CJ102" s="56">
        <f>($AQ102-$AQ103)*100</f>
        <v/>
      </c>
      <c r="CK102" s="56">
        <f>($AR102-$AR103)*100</f>
        <v/>
      </c>
      <c r="CL102" s="56">
        <f>($AS102-$AS103)*100</f>
        <v/>
      </c>
      <c r="CM102" s="56">
        <f>($AT102-$AT103)*100</f>
        <v/>
      </c>
      <c r="CN102" s="56">
        <f>($AU102-$AU103)*100</f>
        <v/>
      </c>
      <c r="CO102" s="56">
        <f>($AV102-$AV103)*100</f>
        <v/>
      </c>
      <c r="CP102" s="56">
        <f>($AW102-$AW103)*100</f>
        <v/>
      </c>
      <c r="CQ102" s="56">
        <f>($AX102-$AX103)*100</f>
        <v/>
      </c>
      <c r="CR102" s="56">
        <f>($AY102-$AY103)*100</f>
        <v/>
      </c>
      <c r="CS102" s="57">
        <f>IFERROR($L103/$L102-1,"")</f>
        <v/>
      </c>
      <c r="CT102" s="57">
        <f>IFERROR($M103/$M102-1,"")</f>
        <v/>
      </c>
      <c r="CU102" s="57">
        <f>IFERROR($N103/$N102-1,"")</f>
        <v/>
      </c>
      <c r="CV102" s="57">
        <f>IFERROR($O103/$O102-1,"")</f>
        <v/>
      </c>
      <c r="CW102" s="57">
        <f>IFERROR($P103/$P102-1,"")</f>
        <v/>
      </c>
      <c r="CX102" s="57">
        <f>IFERROR($Q103/$Q102-1,"")</f>
        <v/>
      </c>
      <c r="CY102" s="57">
        <f>IFERROR($R103/$R102-1,"")</f>
        <v/>
      </c>
      <c r="CZ102" s="57">
        <f>IFERROR($S103/$S102-1,"")</f>
        <v/>
      </c>
      <c r="DA102" s="57">
        <f>IFERROR($T103/$T102-1,"")</f>
        <v/>
      </c>
      <c r="DB102" s="57">
        <f>IFERROR($U103/$U102-1,"")</f>
        <v/>
      </c>
      <c r="DC102" s="57">
        <f>IFERROR($V103/$V102-1,"")</f>
        <v/>
      </c>
      <c r="DD102" s="57">
        <f>IFERROR($W103/$W102-1,"")</f>
        <v/>
      </c>
      <c r="DE102" s="57">
        <f>IFERROR($X103/$X102-1,"")</f>
        <v/>
      </c>
      <c r="DF102" s="57">
        <f>IFERROR($Y103/$Y102-1,"")</f>
        <v/>
      </c>
      <c r="DG102" s="57">
        <f>IFERROR($Z103/$Z102-1,"")</f>
        <v/>
      </c>
      <c r="DH102" s="57">
        <f>IFERROR($AA103/$AA102-1,"")</f>
        <v/>
      </c>
      <c r="DI102" s="57">
        <f>IFERROR($AB103/$AB102-1,"")</f>
        <v/>
      </c>
      <c r="DJ102" s="57">
        <f>IFERROR($AC103/$AC102-1,"")</f>
        <v/>
      </c>
      <c r="DK102" s="57">
        <f>IFERROR($AD103/$AD102-1,"")</f>
        <v/>
      </c>
      <c r="DL102" s="57">
        <f>IFERROR($AE103/$AE102-1,"")</f>
        <v/>
      </c>
      <c r="DM102" s="56">
        <f>$AZ102-$AZ103</f>
        <v/>
      </c>
      <c r="DN102" s="56">
        <f>$BA102-$BA103</f>
        <v/>
      </c>
      <c r="DO102" s="56">
        <f>$BB102-$BB103</f>
        <v/>
      </c>
      <c r="DP102" s="56">
        <f>$BC102-$BC103</f>
        <v/>
      </c>
      <c r="DQ102" s="56">
        <f>$BD102-$BD103</f>
        <v/>
      </c>
      <c r="DR102" s="56">
        <f>$BE102-$BE103</f>
        <v/>
      </c>
      <c r="DS102" s="56">
        <f>$BF102-$BF103</f>
        <v/>
      </c>
      <c r="DT102" s="56">
        <f>$BG102-$BG103</f>
        <v/>
      </c>
      <c r="DU102" s="56">
        <f>$BH102-$BH103</f>
        <v/>
      </c>
      <c r="DV102" s="56">
        <f>$BI102-$BI103</f>
        <v/>
      </c>
      <c r="DW102" s="56">
        <f>$BJ102-$BJ103</f>
        <v/>
      </c>
      <c r="DX102" s="56">
        <f>$BK102-$BK103</f>
        <v/>
      </c>
      <c r="DY102" s="56">
        <f>$BL102-$BL103</f>
        <v/>
      </c>
      <c r="DZ102" s="56">
        <f>$BM102-$BM103</f>
        <v/>
      </c>
      <c r="EA102" s="56">
        <f>$BN102-$BN103</f>
        <v/>
      </c>
      <c r="EB102" s="56">
        <f>$BO102-$BO103</f>
        <v/>
      </c>
      <c r="EC102" s="56">
        <f>$BP102-$BP103</f>
        <v/>
      </c>
      <c r="ED102" s="56">
        <f>$BQ102-$BQ103</f>
        <v/>
      </c>
      <c r="EE102" s="56">
        <f>$BR102-$BR103</f>
        <v/>
      </c>
      <c r="EF102" s="56">
        <f>$BS102-$BS103</f>
        <v/>
      </c>
      <c r="EG102" s="56">
        <f>$BT102-$BT103</f>
        <v/>
      </c>
      <c r="EH102" s="56">
        <f>$BU102-$BU103</f>
        <v/>
      </c>
    </row>
    <row r="103">
      <c r="BV103" s="56">
        <f>($D103-$D104)*100</f>
        <v/>
      </c>
      <c r="BW103" s="56">
        <f>($C103-$C104)*100</f>
        <v/>
      </c>
      <c r="BX103" s="57">
        <f>IFERROR($I103/$I104-1,"")</f>
        <v/>
      </c>
      <c r="BY103" s="56">
        <f>($AF103-$AF104)*100</f>
        <v/>
      </c>
      <c r="BZ103" s="56">
        <f>($AG103-$AG104)*100</f>
        <v/>
      </c>
      <c r="CA103" s="56">
        <f>($AH103-$AH104)*100</f>
        <v/>
      </c>
      <c r="CB103" s="56">
        <f>($AI103-$AI104)*100</f>
        <v/>
      </c>
      <c r="CC103" s="56">
        <f>($AJ103-$AJ104)*100</f>
        <v/>
      </c>
      <c r="CD103" s="56">
        <f>($AK103-$AK104)*100</f>
        <v/>
      </c>
      <c r="CE103" s="56">
        <f>($AL103-$AL104)*100</f>
        <v/>
      </c>
      <c r="CF103" s="56">
        <f>($AM103-$AM104)*100</f>
        <v/>
      </c>
      <c r="CG103" s="56">
        <f>($AN103-$AN104)*100</f>
        <v/>
      </c>
      <c r="CH103" s="56">
        <f>($AO103-$AO104)*100</f>
        <v/>
      </c>
      <c r="CI103" s="56">
        <f>($AP103-$AP104)*100</f>
        <v/>
      </c>
      <c r="CJ103" s="56">
        <f>($AQ103-$AQ104)*100</f>
        <v/>
      </c>
      <c r="CK103" s="56">
        <f>($AR103-$AR104)*100</f>
        <v/>
      </c>
      <c r="CL103" s="56">
        <f>($AS103-$AS104)*100</f>
        <v/>
      </c>
      <c r="CM103" s="56">
        <f>($AT103-$AT104)*100</f>
        <v/>
      </c>
      <c r="CN103" s="56">
        <f>($AU103-$AU104)*100</f>
        <v/>
      </c>
      <c r="CO103" s="56">
        <f>($AV103-$AV104)*100</f>
        <v/>
      </c>
      <c r="CP103" s="56">
        <f>($AW103-$AW104)*100</f>
        <v/>
      </c>
      <c r="CQ103" s="56">
        <f>($AX103-$AX104)*100</f>
        <v/>
      </c>
      <c r="CR103" s="56">
        <f>($AY103-$AY104)*100</f>
        <v/>
      </c>
      <c r="CS103" s="57">
        <f>IFERROR($L104/$L103-1,"")</f>
        <v/>
      </c>
      <c r="CT103" s="57">
        <f>IFERROR($M104/$M103-1,"")</f>
        <v/>
      </c>
      <c r="CU103" s="57">
        <f>IFERROR($N104/$N103-1,"")</f>
        <v/>
      </c>
      <c r="CV103" s="57">
        <f>IFERROR($O104/$O103-1,"")</f>
        <v/>
      </c>
      <c r="CW103" s="57">
        <f>IFERROR($P104/$P103-1,"")</f>
        <v/>
      </c>
      <c r="CX103" s="57">
        <f>IFERROR($Q104/$Q103-1,"")</f>
        <v/>
      </c>
      <c r="CY103" s="57">
        <f>IFERROR($R104/$R103-1,"")</f>
        <v/>
      </c>
      <c r="CZ103" s="57">
        <f>IFERROR($S104/$S103-1,"")</f>
        <v/>
      </c>
      <c r="DA103" s="57">
        <f>IFERROR($T104/$T103-1,"")</f>
        <v/>
      </c>
      <c r="DB103" s="57">
        <f>IFERROR($U104/$U103-1,"")</f>
        <v/>
      </c>
      <c r="DC103" s="57">
        <f>IFERROR($V104/$V103-1,"")</f>
        <v/>
      </c>
      <c r="DD103" s="57">
        <f>IFERROR($W104/$W103-1,"")</f>
        <v/>
      </c>
      <c r="DE103" s="57">
        <f>IFERROR($X104/$X103-1,"")</f>
        <v/>
      </c>
      <c r="DF103" s="57">
        <f>IFERROR($Y104/$Y103-1,"")</f>
        <v/>
      </c>
      <c r="DG103" s="57">
        <f>IFERROR($Z104/$Z103-1,"")</f>
        <v/>
      </c>
      <c r="DH103" s="57">
        <f>IFERROR($AA104/$AA103-1,"")</f>
        <v/>
      </c>
      <c r="DI103" s="57">
        <f>IFERROR($AB104/$AB103-1,"")</f>
        <v/>
      </c>
      <c r="DJ103" s="57">
        <f>IFERROR($AC104/$AC103-1,"")</f>
        <v/>
      </c>
      <c r="DK103" s="57">
        <f>IFERROR($AD104/$AD103-1,"")</f>
        <v/>
      </c>
      <c r="DL103" s="57">
        <f>IFERROR($AE104/$AE103-1,"")</f>
        <v/>
      </c>
      <c r="DM103" s="56">
        <f>$AZ103-$AZ104</f>
        <v/>
      </c>
      <c r="DN103" s="56">
        <f>$BA103-$BA104</f>
        <v/>
      </c>
      <c r="DO103" s="56">
        <f>$BB103-$BB104</f>
        <v/>
      </c>
      <c r="DP103" s="56">
        <f>$BC103-$BC104</f>
        <v/>
      </c>
      <c r="DQ103" s="56">
        <f>$BD103-$BD104</f>
        <v/>
      </c>
      <c r="DR103" s="56">
        <f>$BE103-$BE104</f>
        <v/>
      </c>
      <c r="DS103" s="56">
        <f>$BF103-$BF104</f>
        <v/>
      </c>
      <c r="DT103" s="56">
        <f>$BG103-$BG104</f>
        <v/>
      </c>
      <c r="DU103" s="56">
        <f>$BH103-$BH104</f>
        <v/>
      </c>
      <c r="DV103" s="56">
        <f>$BI103-$BI104</f>
        <v/>
      </c>
      <c r="DW103" s="56">
        <f>$BJ103-$BJ104</f>
        <v/>
      </c>
      <c r="DX103" s="56">
        <f>$BK103-$BK104</f>
        <v/>
      </c>
      <c r="DY103" s="56">
        <f>$BL103-$BL104</f>
        <v/>
      </c>
      <c r="DZ103" s="56">
        <f>$BM103-$BM104</f>
        <v/>
      </c>
      <c r="EA103" s="56">
        <f>$BN103-$BN104</f>
        <v/>
      </c>
      <c r="EB103" s="56">
        <f>$BO103-$BO104</f>
        <v/>
      </c>
      <c r="EC103" s="56">
        <f>$BP103-$BP104</f>
        <v/>
      </c>
      <c r="ED103" s="56">
        <f>$BQ103-$BQ104</f>
        <v/>
      </c>
      <c r="EE103" s="56">
        <f>$BR103-$BR104</f>
        <v/>
      </c>
      <c r="EF103" s="56">
        <f>$BS103-$BS104</f>
        <v/>
      </c>
      <c r="EG103" s="56">
        <f>$BT103-$BT104</f>
        <v/>
      </c>
      <c r="EH103" s="56">
        <f>$BU103-$BU104</f>
        <v/>
      </c>
    </row>
    <row r="104">
      <c r="BV104" s="56">
        <f>($D104-$D105)*100</f>
        <v/>
      </c>
      <c r="BW104" s="56">
        <f>($C104-$C105)*100</f>
        <v/>
      </c>
      <c r="BX104" s="57">
        <f>IFERROR($I104/$I105-1,"")</f>
        <v/>
      </c>
      <c r="BY104" s="56">
        <f>($AF104-$AF105)*100</f>
        <v/>
      </c>
      <c r="BZ104" s="56">
        <f>($AG104-$AG105)*100</f>
        <v/>
      </c>
      <c r="CA104" s="56">
        <f>($AH104-$AH105)*100</f>
        <v/>
      </c>
      <c r="CB104" s="56">
        <f>($AI104-$AI105)*100</f>
        <v/>
      </c>
      <c r="CC104" s="56">
        <f>($AJ104-$AJ105)*100</f>
        <v/>
      </c>
      <c r="CD104" s="56">
        <f>($AK104-$AK105)*100</f>
        <v/>
      </c>
      <c r="CE104" s="56">
        <f>($AL104-$AL105)*100</f>
        <v/>
      </c>
      <c r="CF104" s="56">
        <f>($AM104-$AM105)*100</f>
        <v/>
      </c>
      <c r="CG104" s="56">
        <f>($AN104-$AN105)*100</f>
        <v/>
      </c>
      <c r="CH104" s="56">
        <f>($AO104-$AO105)*100</f>
        <v/>
      </c>
      <c r="CI104" s="56">
        <f>($AP104-$AP105)*100</f>
        <v/>
      </c>
      <c r="CJ104" s="56">
        <f>($AQ104-$AQ105)*100</f>
        <v/>
      </c>
      <c r="CK104" s="56">
        <f>($AR104-$AR105)*100</f>
        <v/>
      </c>
      <c r="CL104" s="56">
        <f>($AS104-$AS105)*100</f>
        <v/>
      </c>
      <c r="CM104" s="56">
        <f>($AT104-$AT105)*100</f>
        <v/>
      </c>
      <c r="CN104" s="56">
        <f>($AU104-$AU105)*100</f>
        <v/>
      </c>
      <c r="CO104" s="56">
        <f>($AV104-$AV105)*100</f>
        <v/>
      </c>
      <c r="CP104" s="56">
        <f>($AW104-$AW105)*100</f>
        <v/>
      </c>
      <c r="CQ104" s="56">
        <f>($AX104-$AX105)*100</f>
        <v/>
      </c>
      <c r="CR104" s="56">
        <f>($AY104-$AY105)*100</f>
        <v/>
      </c>
      <c r="CS104" s="57">
        <f>IFERROR($L105/$L104-1,"")</f>
        <v/>
      </c>
      <c r="CT104" s="57">
        <f>IFERROR($M105/$M104-1,"")</f>
        <v/>
      </c>
      <c r="CU104" s="57">
        <f>IFERROR($N105/$N104-1,"")</f>
        <v/>
      </c>
      <c r="CV104" s="57">
        <f>IFERROR($O105/$O104-1,"")</f>
        <v/>
      </c>
      <c r="CW104" s="57">
        <f>IFERROR($P105/$P104-1,"")</f>
        <v/>
      </c>
      <c r="CX104" s="57">
        <f>IFERROR($Q105/$Q104-1,"")</f>
        <v/>
      </c>
      <c r="CY104" s="57">
        <f>IFERROR($R105/$R104-1,"")</f>
        <v/>
      </c>
      <c r="CZ104" s="57">
        <f>IFERROR($S105/$S104-1,"")</f>
        <v/>
      </c>
      <c r="DA104" s="57">
        <f>IFERROR($T105/$T104-1,"")</f>
        <v/>
      </c>
      <c r="DB104" s="57">
        <f>IFERROR($U105/$U104-1,"")</f>
        <v/>
      </c>
      <c r="DC104" s="57">
        <f>IFERROR($V105/$V104-1,"")</f>
        <v/>
      </c>
      <c r="DD104" s="57">
        <f>IFERROR($W105/$W104-1,"")</f>
        <v/>
      </c>
      <c r="DE104" s="57">
        <f>IFERROR($X105/$X104-1,"")</f>
        <v/>
      </c>
      <c r="DF104" s="57">
        <f>IFERROR($Y105/$Y104-1,"")</f>
        <v/>
      </c>
      <c r="DG104" s="57">
        <f>IFERROR($Z105/$Z104-1,"")</f>
        <v/>
      </c>
      <c r="DH104" s="57">
        <f>IFERROR($AA105/$AA104-1,"")</f>
        <v/>
      </c>
      <c r="DI104" s="57">
        <f>IFERROR($AB105/$AB104-1,"")</f>
        <v/>
      </c>
      <c r="DJ104" s="57">
        <f>IFERROR($AC105/$AC104-1,"")</f>
        <v/>
      </c>
      <c r="DK104" s="57">
        <f>IFERROR($AD105/$AD104-1,"")</f>
        <v/>
      </c>
      <c r="DL104" s="57">
        <f>IFERROR($AE105/$AE104-1,"")</f>
        <v/>
      </c>
      <c r="DM104" s="56">
        <f>$AZ104-$AZ105</f>
        <v/>
      </c>
      <c r="DN104" s="56">
        <f>$BA104-$BA105</f>
        <v/>
      </c>
      <c r="DO104" s="56">
        <f>$BB104-$BB105</f>
        <v/>
      </c>
      <c r="DP104" s="56">
        <f>$BC104-$BC105</f>
        <v/>
      </c>
      <c r="DQ104" s="56">
        <f>$BD104-$BD105</f>
        <v/>
      </c>
      <c r="DR104" s="56">
        <f>$BE104-$BE105</f>
        <v/>
      </c>
      <c r="DS104" s="56">
        <f>$BF104-$BF105</f>
        <v/>
      </c>
      <c r="DT104" s="56">
        <f>$BG104-$BG105</f>
        <v/>
      </c>
      <c r="DU104" s="56">
        <f>$BH104-$BH105</f>
        <v/>
      </c>
      <c r="DV104" s="56">
        <f>$BI104-$BI105</f>
        <v/>
      </c>
      <c r="DW104" s="56">
        <f>$BJ104-$BJ105</f>
        <v/>
      </c>
      <c r="DX104" s="56">
        <f>$BK104-$BK105</f>
        <v/>
      </c>
      <c r="DY104" s="56">
        <f>$BL104-$BL105</f>
        <v/>
      </c>
      <c r="DZ104" s="56">
        <f>$BM104-$BM105</f>
        <v/>
      </c>
      <c r="EA104" s="56">
        <f>$BN104-$BN105</f>
        <v/>
      </c>
      <c r="EB104" s="56">
        <f>$BO104-$BO105</f>
        <v/>
      </c>
      <c r="EC104" s="56">
        <f>$BP104-$BP105</f>
        <v/>
      </c>
      <c r="ED104" s="56">
        <f>$BQ104-$BQ105</f>
        <v/>
      </c>
      <c r="EE104" s="56">
        <f>$BR104-$BR105</f>
        <v/>
      </c>
      <c r="EF104" s="56">
        <f>$BS104-$BS105</f>
        <v/>
      </c>
      <c r="EG104" s="56">
        <f>$BT104-$BT105</f>
        <v/>
      </c>
      <c r="EH104" s="56">
        <f>$BU104-$BU105</f>
        <v/>
      </c>
    </row>
    <row r="105">
      <c r="BV105" s="56">
        <f>($D105-$D106)*100</f>
        <v/>
      </c>
      <c r="BW105" s="56">
        <f>($C105-$C106)*100</f>
        <v/>
      </c>
      <c r="BX105" s="57">
        <f>IFERROR($I105/$I106-1,"")</f>
        <v/>
      </c>
      <c r="BY105" s="56">
        <f>($AF105-$AF106)*100</f>
        <v/>
      </c>
      <c r="BZ105" s="56">
        <f>($AG105-$AG106)*100</f>
        <v/>
      </c>
      <c r="CA105" s="56">
        <f>($AH105-$AH106)*100</f>
        <v/>
      </c>
      <c r="CB105" s="56">
        <f>($AI105-$AI106)*100</f>
        <v/>
      </c>
      <c r="CC105" s="56">
        <f>($AJ105-$AJ106)*100</f>
        <v/>
      </c>
      <c r="CD105" s="56">
        <f>($AK105-$AK106)*100</f>
        <v/>
      </c>
      <c r="CE105" s="56">
        <f>($AL105-$AL106)*100</f>
        <v/>
      </c>
      <c r="CF105" s="56">
        <f>($AM105-$AM106)*100</f>
        <v/>
      </c>
      <c r="CG105" s="56">
        <f>($AN105-$AN106)*100</f>
        <v/>
      </c>
      <c r="CH105" s="56">
        <f>($AO105-$AO106)*100</f>
        <v/>
      </c>
      <c r="CI105" s="56">
        <f>($AP105-$AP106)*100</f>
        <v/>
      </c>
      <c r="CJ105" s="56">
        <f>($AQ105-$AQ106)*100</f>
        <v/>
      </c>
      <c r="CK105" s="56">
        <f>($AR105-$AR106)*100</f>
        <v/>
      </c>
      <c r="CL105" s="56">
        <f>($AS105-$AS106)*100</f>
        <v/>
      </c>
      <c r="CM105" s="56">
        <f>($AT105-$AT106)*100</f>
        <v/>
      </c>
      <c r="CN105" s="56">
        <f>($AU105-$AU106)*100</f>
        <v/>
      </c>
      <c r="CO105" s="56">
        <f>($AV105-$AV106)*100</f>
        <v/>
      </c>
      <c r="CP105" s="56">
        <f>($AW105-$AW106)*100</f>
        <v/>
      </c>
      <c r="CQ105" s="56">
        <f>($AX105-$AX106)*100</f>
        <v/>
      </c>
      <c r="CR105" s="56">
        <f>($AY105-$AY106)*100</f>
        <v/>
      </c>
      <c r="CS105" s="57">
        <f>IFERROR($L106/$L105-1,"")</f>
        <v/>
      </c>
      <c r="CT105" s="57">
        <f>IFERROR($M106/$M105-1,"")</f>
        <v/>
      </c>
      <c r="CU105" s="57">
        <f>IFERROR($N106/$N105-1,"")</f>
        <v/>
      </c>
      <c r="CV105" s="57">
        <f>IFERROR($O106/$O105-1,"")</f>
        <v/>
      </c>
      <c r="CW105" s="57">
        <f>IFERROR($P106/$P105-1,"")</f>
        <v/>
      </c>
      <c r="CX105" s="57">
        <f>IFERROR($Q106/$Q105-1,"")</f>
        <v/>
      </c>
      <c r="CY105" s="57">
        <f>IFERROR($R106/$R105-1,"")</f>
        <v/>
      </c>
      <c r="CZ105" s="57">
        <f>IFERROR($S106/$S105-1,"")</f>
        <v/>
      </c>
      <c r="DA105" s="57">
        <f>IFERROR($T106/$T105-1,"")</f>
        <v/>
      </c>
      <c r="DB105" s="57">
        <f>IFERROR($U106/$U105-1,"")</f>
        <v/>
      </c>
      <c r="DC105" s="57">
        <f>IFERROR($V106/$V105-1,"")</f>
        <v/>
      </c>
      <c r="DD105" s="57">
        <f>IFERROR($W106/$W105-1,"")</f>
        <v/>
      </c>
      <c r="DE105" s="57">
        <f>IFERROR($X106/$X105-1,"")</f>
        <v/>
      </c>
      <c r="DF105" s="57">
        <f>IFERROR($Y106/$Y105-1,"")</f>
        <v/>
      </c>
      <c r="DG105" s="57">
        <f>IFERROR($Z106/$Z105-1,"")</f>
        <v/>
      </c>
      <c r="DH105" s="57">
        <f>IFERROR($AA106/$AA105-1,"")</f>
        <v/>
      </c>
      <c r="DI105" s="57">
        <f>IFERROR($AB106/$AB105-1,"")</f>
        <v/>
      </c>
      <c r="DJ105" s="57">
        <f>IFERROR($AC106/$AC105-1,"")</f>
        <v/>
      </c>
      <c r="DK105" s="57">
        <f>IFERROR($AD106/$AD105-1,"")</f>
        <v/>
      </c>
      <c r="DL105" s="57">
        <f>IFERROR($AE106/$AE105-1,"")</f>
        <v/>
      </c>
      <c r="DM105" s="56">
        <f>$AZ105-$AZ106</f>
        <v/>
      </c>
      <c r="DN105" s="56">
        <f>$BA105-$BA106</f>
        <v/>
      </c>
      <c r="DO105" s="56">
        <f>$BB105-$BB106</f>
        <v/>
      </c>
      <c r="DP105" s="56">
        <f>$BC105-$BC106</f>
        <v/>
      </c>
      <c r="DQ105" s="56">
        <f>$BD105-$BD106</f>
        <v/>
      </c>
      <c r="DR105" s="56">
        <f>$BE105-$BE106</f>
        <v/>
      </c>
      <c r="DS105" s="56">
        <f>$BF105-$BF106</f>
        <v/>
      </c>
      <c r="DT105" s="56">
        <f>$BG105-$BG106</f>
        <v/>
      </c>
      <c r="DU105" s="56">
        <f>$BH105-$BH106</f>
        <v/>
      </c>
      <c r="DV105" s="56">
        <f>$BI105-$BI106</f>
        <v/>
      </c>
      <c r="DW105" s="56">
        <f>$BJ105-$BJ106</f>
        <v/>
      </c>
      <c r="DX105" s="56">
        <f>$BK105-$BK106</f>
        <v/>
      </c>
      <c r="DY105" s="56">
        <f>$BL105-$BL106</f>
        <v/>
      </c>
      <c r="DZ105" s="56">
        <f>$BM105-$BM106</f>
        <v/>
      </c>
      <c r="EA105" s="56">
        <f>$BN105-$BN106</f>
        <v/>
      </c>
      <c r="EB105" s="56">
        <f>$BO105-$BO106</f>
        <v/>
      </c>
      <c r="EC105" s="56">
        <f>$BP105-$BP106</f>
        <v/>
      </c>
      <c r="ED105" s="56">
        <f>$BQ105-$BQ106</f>
        <v/>
      </c>
      <c r="EE105" s="56">
        <f>$BR105-$BR106</f>
        <v/>
      </c>
      <c r="EF105" s="56">
        <f>$BS105-$BS106</f>
        <v/>
      </c>
      <c r="EG105" s="56">
        <f>$BT105-$BT106</f>
        <v/>
      </c>
      <c r="EH105" s="56">
        <f>$BU105-$BU106</f>
        <v/>
      </c>
    </row>
    <row r="106">
      <c r="BV106" s="56">
        <f>($D106-$D107)*100</f>
        <v/>
      </c>
      <c r="BW106" s="56">
        <f>($C106-$C107)*100</f>
        <v/>
      </c>
      <c r="BX106" s="57">
        <f>IFERROR($I106/$I107-1,"")</f>
        <v/>
      </c>
      <c r="BY106" s="56">
        <f>($AF106-$AF107)*100</f>
        <v/>
      </c>
      <c r="BZ106" s="56">
        <f>($AG106-$AG107)*100</f>
        <v/>
      </c>
      <c r="CA106" s="56">
        <f>($AH106-$AH107)*100</f>
        <v/>
      </c>
      <c r="CB106" s="56">
        <f>($AI106-$AI107)*100</f>
        <v/>
      </c>
      <c r="CC106" s="56">
        <f>($AJ106-$AJ107)*100</f>
        <v/>
      </c>
      <c r="CD106" s="56">
        <f>($AK106-$AK107)*100</f>
        <v/>
      </c>
      <c r="CE106" s="56">
        <f>($AL106-$AL107)*100</f>
        <v/>
      </c>
      <c r="CF106" s="56">
        <f>($AM106-$AM107)*100</f>
        <v/>
      </c>
      <c r="CG106" s="56">
        <f>($AN106-$AN107)*100</f>
        <v/>
      </c>
      <c r="CH106" s="56">
        <f>($AO106-$AO107)*100</f>
        <v/>
      </c>
      <c r="CI106" s="56">
        <f>($AP106-$AP107)*100</f>
        <v/>
      </c>
      <c r="CJ106" s="56">
        <f>($AQ106-$AQ107)*100</f>
        <v/>
      </c>
      <c r="CK106" s="56">
        <f>($AR106-$AR107)*100</f>
        <v/>
      </c>
      <c r="CL106" s="56">
        <f>($AS106-$AS107)*100</f>
        <v/>
      </c>
      <c r="CM106" s="56">
        <f>($AT106-$AT107)*100</f>
        <v/>
      </c>
      <c r="CN106" s="56">
        <f>($AU106-$AU107)*100</f>
        <v/>
      </c>
      <c r="CO106" s="56">
        <f>($AV106-$AV107)*100</f>
        <v/>
      </c>
      <c r="CP106" s="56">
        <f>($AW106-$AW107)*100</f>
        <v/>
      </c>
      <c r="CQ106" s="56">
        <f>($AX106-$AX107)*100</f>
        <v/>
      </c>
      <c r="CR106" s="56">
        <f>($AY106-$AY107)*100</f>
        <v/>
      </c>
      <c r="CS106" s="57">
        <f>IFERROR($L107/$L106-1,"")</f>
        <v/>
      </c>
      <c r="CT106" s="57">
        <f>IFERROR($M107/$M106-1,"")</f>
        <v/>
      </c>
      <c r="CU106" s="57">
        <f>IFERROR($N107/$N106-1,"")</f>
        <v/>
      </c>
      <c r="CV106" s="57">
        <f>IFERROR($O107/$O106-1,"")</f>
        <v/>
      </c>
      <c r="CW106" s="57">
        <f>IFERROR($P107/$P106-1,"")</f>
        <v/>
      </c>
      <c r="CX106" s="57">
        <f>IFERROR($Q107/$Q106-1,"")</f>
        <v/>
      </c>
      <c r="CY106" s="57">
        <f>IFERROR($R107/$R106-1,"")</f>
        <v/>
      </c>
      <c r="CZ106" s="57">
        <f>IFERROR($S107/$S106-1,"")</f>
        <v/>
      </c>
      <c r="DA106" s="57">
        <f>IFERROR($T107/$T106-1,"")</f>
        <v/>
      </c>
      <c r="DB106" s="57">
        <f>IFERROR($U107/$U106-1,"")</f>
        <v/>
      </c>
      <c r="DC106" s="57">
        <f>IFERROR($V107/$V106-1,"")</f>
        <v/>
      </c>
      <c r="DD106" s="57">
        <f>IFERROR($W107/$W106-1,"")</f>
        <v/>
      </c>
      <c r="DE106" s="57">
        <f>IFERROR($X107/$X106-1,"")</f>
        <v/>
      </c>
      <c r="DF106" s="57">
        <f>IFERROR($Y107/$Y106-1,"")</f>
        <v/>
      </c>
      <c r="DG106" s="57">
        <f>IFERROR($Z107/$Z106-1,"")</f>
        <v/>
      </c>
      <c r="DH106" s="57">
        <f>IFERROR($AA107/$AA106-1,"")</f>
        <v/>
      </c>
      <c r="DI106" s="57">
        <f>IFERROR($AB107/$AB106-1,"")</f>
        <v/>
      </c>
      <c r="DJ106" s="57">
        <f>IFERROR($AC107/$AC106-1,"")</f>
        <v/>
      </c>
      <c r="DK106" s="57">
        <f>IFERROR($AD107/$AD106-1,"")</f>
        <v/>
      </c>
      <c r="DL106" s="57">
        <f>IFERROR($AE107/$AE106-1,"")</f>
        <v/>
      </c>
      <c r="DM106" s="56">
        <f>$AZ106-$AZ107</f>
        <v/>
      </c>
      <c r="DN106" s="56">
        <f>$BA106-$BA107</f>
        <v/>
      </c>
      <c r="DO106" s="56">
        <f>$BB106-$BB107</f>
        <v/>
      </c>
      <c r="DP106" s="56">
        <f>$BC106-$BC107</f>
        <v/>
      </c>
      <c r="DQ106" s="56">
        <f>$BD106-$BD107</f>
        <v/>
      </c>
      <c r="DR106" s="56">
        <f>$BE106-$BE107</f>
        <v/>
      </c>
      <c r="DS106" s="56">
        <f>$BF106-$BF107</f>
        <v/>
      </c>
      <c r="DT106" s="56">
        <f>$BG106-$BG107</f>
        <v/>
      </c>
      <c r="DU106" s="56">
        <f>$BH106-$BH107</f>
        <v/>
      </c>
      <c r="DV106" s="56">
        <f>$BI106-$BI107</f>
        <v/>
      </c>
      <c r="DW106" s="56">
        <f>$BJ106-$BJ107</f>
        <v/>
      </c>
      <c r="DX106" s="56">
        <f>$BK106-$BK107</f>
        <v/>
      </c>
      <c r="DY106" s="56">
        <f>$BL106-$BL107</f>
        <v/>
      </c>
      <c r="DZ106" s="56">
        <f>$BM106-$BM107</f>
        <v/>
      </c>
      <c r="EA106" s="56">
        <f>$BN106-$BN107</f>
        <v/>
      </c>
      <c r="EB106" s="56">
        <f>$BO106-$BO107</f>
        <v/>
      </c>
      <c r="EC106" s="56">
        <f>$BP106-$BP107</f>
        <v/>
      </c>
      <c r="ED106" s="56">
        <f>$BQ106-$BQ107</f>
        <v/>
      </c>
      <c r="EE106" s="56">
        <f>$BR106-$BR107</f>
        <v/>
      </c>
      <c r="EF106" s="56">
        <f>$BS106-$BS107</f>
        <v/>
      </c>
      <c r="EG106" s="56">
        <f>$BT106-$BT107</f>
        <v/>
      </c>
      <c r="EH106" s="56">
        <f>$BU106-$BU107</f>
        <v/>
      </c>
    </row>
    <row r="107">
      <c r="BV107" s="56">
        <f>($D107-$D108)*100</f>
        <v/>
      </c>
      <c r="BW107" s="56">
        <f>($C107-$C108)*100</f>
        <v/>
      </c>
      <c r="BX107" s="57">
        <f>IFERROR($I107/$I108-1,"")</f>
        <v/>
      </c>
      <c r="BY107" s="56">
        <f>($AF107-$AF108)*100</f>
        <v/>
      </c>
      <c r="BZ107" s="56">
        <f>($AG107-$AG108)*100</f>
        <v/>
      </c>
      <c r="CA107" s="56">
        <f>($AH107-$AH108)*100</f>
        <v/>
      </c>
      <c r="CB107" s="56">
        <f>($AI107-$AI108)*100</f>
        <v/>
      </c>
      <c r="CC107" s="56">
        <f>($AJ107-$AJ108)*100</f>
        <v/>
      </c>
      <c r="CD107" s="56">
        <f>($AK107-$AK108)*100</f>
        <v/>
      </c>
      <c r="CE107" s="56">
        <f>($AL107-$AL108)*100</f>
        <v/>
      </c>
      <c r="CF107" s="56">
        <f>($AM107-$AM108)*100</f>
        <v/>
      </c>
      <c r="CG107" s="56">
        <f>($AN107-$AN108)*100</f>
        <v/>
      </c>
      <c r="CH107" s="56">
        <f>($AO107-$AO108)*100</f>
        <v/>
      </c>
      <c r="CI107" s="56">
        <f>($AP107-$AP108)*100</f>
        <v/>
      </c>
      <c r="CJ107" s="56">
        <f>($AQ107-$AQ108)*100</f>
        <v/>
      </c>
      <c r="CK107" s="56">
        <f>($AR107-$AR108)*100</f>
        <v/>
      </c>
      <c r="CL107" s="56">
        <f>($AS107-$AS108)*100</f>
        <v/>
      </c>
      <c r="CM107" s="56">
        <f>($AT107-$AT108)*100</f>
        <v/>
      </c>
      <c r="CN107" s="56">
        <f>($AU107-$AU108)*100</f>
        <v/>
      </c>
      <c r="CO107" s="56">
        <f>($AV107-$AV108)*100</f>
        <v/>
      </c>
      <c r="CP107" s="56">
        <f>($AW107-$AW108)*100</f>
        <v/>
      </c>
      <c r="CQ107" s="56">
        <f>($AX107-$AX108)*100</f>
        <v/>
      </c>
      <c r="CR107" s="56">
        <f>($AY107-$AY108)*100</f>
        <v/>
      </c>
      <c r="CS107" s="57">
        <f>IFERROR($L108/$L107-1,"")</f>
        <v/>
      </c>
      <c r="CT107" s="57">
        <f>IFERROR($M108/$M107-1,"")</f>
        <v/>
      </c>
      <c r="CU107" s="57">
        <f>IFERROR($N108/$N107-1,"")</f>
        <v/>
      </c>
      <c r="CV107" s="57">
        <f>IFERROR($O108/$O107-1,"")</f>
        <v/>
      </c>
      <c r="CW107" s="57">
        <f>IFERROR($P108/$P107-1,"")</f>
        <v/>
      </c>
      <c r="CX107" s="57">
        <f>IFERROR($Q108/$Q107-1,"")</f>
        <v/>
      </c>
      <c r="CY107" s="57">
        <f>IFERROR($R108/$R107-1,"")</f>
        <v/>
      </c>
      <c r="CZ107" s="57">
        <f>IFERROR($S108/$S107-1,"")</f>
        <v/>
      </c>
      <c r="DA107" s="57">
        <f>IFERROR($T108/$T107-1,"")</f>
        <v/>
      </c>
      <c r="DB107" s="57">
        <f>IFERROR($U108/$U107-1,"")</f>
        <v/>
      </c>
      <c r="DC107" s="57">
        <f>IFERROR($V108/$V107-1,"")</f>
        <v/>
      </c>
      <c r="DD107" s="57">
        <f>IFERROR($W108/$W107-1,"")</f>
        <v/>
      </c>
      <c r="DE107" s="57">
        <f>IFERROR($X108/$X107-1,"")</f>
        <v/>
      </c>
      <c r="DF107" s="57">
        <f>IFERROR($Y108/$Y107-1,"")</f>
        <v/>
      </c>
      <c r="DG107" s="57">
        <f>IFERROR($Z108/$Z107-1,"")</f>
        <v/>
      </c>
      <c r="DH107" s="57">
        <f>IFERROR($AA108/$AA107-1,"")</f>
        <v/>
      </c>
      <c r="DI107" s="57">
        <f>IFERROR($AB108/$AB107-1,"")</f>
        <v/>
      </c>
      <c r="DJ107" s="57">
        <f>IFERROR($AC108/$AC107-1,"")</f>
        <v/>
      </c>
      <c r="DK107" s="57">
        <f>IFERROR($AD108/$AD107-1,"")</f>
        <v/>
      </c>
      <c r="DL107" s="57">
        <f>IFERROR($AE108/$AE107-1,"")</f>
        <v/>
      </c>
      <c r="DM107" s="56">
        <f>$AZ107-$AZ108</f>
        <v/>
      </c>
      <c r="DN107" s="56">
        <f>$BA107-$BA108</f>
        <v/>
      </c>
      <c r="DO107" s="56">
        <f>$BB107-$BB108</f>
        <v/>
      </c>
      <c r="DP107" s="56">
        <f>$BC107-$BC108</f>
        <v/>
      </c>
      <c r="DQ107" s="56">
        <f>$BD107-$BD108</f>
        <v/>
      </c>
      <c r="DR107" s="56">
        <f>$BE107-$BE108</f>
        <v/>
      </c>
      <c r="DS107" s="56">
        <f>$BF107-$BF108</f>
        <v/>
      </c>
      <c r="DT107" s="56">
        <f>$BG107-$BG108</f>
        <v/>
      </c>
      <c r="DU107" s="56">
        <f>$BH107-$BH108</f>
        <v/>
      </c>
      <c r="DV107" s="56">
        <f>$BI107-$BI108</f>
        <v/>
      </c>
      <c r="DW107" s="56">
        <f>$BJ107-$BJ108</f>
        <v/>
      </c>
      <c r="DX107" s="56">
        <f>$BK107-$BK108</f>
        <v/>
      </c>
      <c r="DY107" s="56">
        <f>$BL107-$BL108</f>
        <v/>
      </c>
      <c r="DZ107" s="56">
        <f>$BM107-$BM108</f>
        <v/>
      </c>
      <c r="EA107" s="56">
        <f>$BN107-$BN108</f>
        <v/>
      </c>
      <c r="EB107" s="56">
        <f>$BO107-$BO108</f>
        <v/>
      </c>
      <c r="EC107" s="56">
        <f>$BP107-$BP108</f>
        <v/>
      </c>
      <c r="ED107" s="56">
        <f>$BQ107-$BQ108</f>
        <v/>
      </c>
      <c r="EE107" s="56">
        <f>$BR107-$BR108</f>
        <v/>
      </c>
      <c r="EF107" s="56">
        <f>$BS107-$BS108</f>
        <v/>
      </c>
      <c r="EG107" s="56">
        <f>$BT107-$BT108</f>
        <v/>
      </c>
      <c r="EH107" s="56">
        <f>$BU107-$BU108</f>
        <v/>
      </c>
    </row>
    <row r="108">
      <c r="BV108" s="56">
        <f>($D108-$D109)*100</f>
        <v/>
      </c>
      <c r="BW108" s="56">
        <f>($C108-$C109)*100</f>
        <v/>
      </c>
      <c r="BX108" s="57">
        <f>IFERROR($I108/$I109-1,"")</f>
        <v/>
      </c>
      <c r="BY108" s="56">
        <f>($AF108-$AF109)*100</f>
        <v/>
      </c>
      <c r="BZ108" s="56">
        <f>($AG108-$AG109)*100</f>
        <v/>
      </c>
      <c r="CA108" s="56">
        <f>($AH108-$AH109)*100</f>
        <v/>
      </c>
      <c r="CB108" s="56">
        <f>($AI108-$AI109)*100</f>
        <v/>
      </c>
      <c r="CC108" s="56">
        <f>($AJ108-$AJ109)*100</f>
        <v/>
      </c>
      <c r="CD108" s="56">
        <f>($AK108-$AK109)*100</f>
        <v/>
      </c>
      <c r="CE108" s="56">
        <f>($AL108-$AL109)*100</f>
        <v/>
      </c>
      <c r="CF108" s="56">
        <f>($AM108-$AM109)*100</f>
        <v/>
      </c>
      <c r="CG108" s="56">
        <f>($AN108-$AN109)*100</f>
        <v/>
      </c>
      <c r="CH108" s="56">
        <f>($AO108-$AO109)*100</f>
        <v/>
      </c>
      <c r="CI108" s="56">
        <f>($AP108-$AP109)*100</f>
        <v/>
      </c>
      <c r="CJ108" s="56">
        <f>($AQ108-$AQ109)*100</f>
        <v/>
      </c>
      <c r="CK108" s="56">
        <f>($AR108-$AR109)*100</f>
        <v/>
      </c>
      <c r="CL108" s="56">
        <f>($AS108-$AS109)*100</f>
        <v/>
      </c>
      <c r="CM108" s="56">
        <f>($AT108-$AT109)*100</f>
        <v/>
      </c>
      <c r="CN108" s="56">
        <f>($AU108-$AU109)*100</f>
        <v/>
      </c>
      <c r="CO108" s="56">
        <f>($AV108-$AV109)*100</f>
        <v/>
      </c>
      <c r="CP108" s="56">
        <f>($AW108-$AW109)*100</f>
        <v/>
      </c>
      <c r="CQ108" s="56">
        <f>($AX108-$AX109)*100</f>
        <v/>
      </c>
      <c r="CR108" s="56">
        <f>($AY108-$AY109)*100</f>
        <v/>
      </c>
      <c r="CS108" s="57">
        <f>IFERROR($L109/$L108-1,"")</f>
        <v/>
      </c>
      <c r="CT108" s="57">
        <f>IFERROR($M109/$M108-1,"")</f>
        <v/>
      </c>
      <c r="CU108" s="57">
        <f>IFERROR($N109/$N108-1,"")</f>
        <v/>
      </c>
      <c r="CV108" s="57">
        <f>IFERROR($O109/$O108-1,"")</f>
        <v/>
      </c>
      <c r="CW108" s="57">
        <f>IFERROR($P109/$P108-1,"")</f>
        <v/>
      </c>
      <c r="CX108" s="57">
        <f>IFERROR($Q109/$Q108-1,"")</f>
        <v/>
      </c>
      <c r="CY108" s="57">
        <f>IFERROR($R109/$R108-1,"")</f>
        <v/>
      </c>
      <c r="CZ108" s="57">
        <f>IFERROR($S109/$S108-1,"")</f>
        <v/>
      </c>
      <c r="DA108" s="57">
        <f>IFERROR($T109/$T108-1,"")</f>
        <v/>
      </c>
      <c r="DB108" s="57">
        <f>IFERROR($U109/$U108-1,"")</f>
        <v/>
      </c>
      <c r="DC108" s="57">
        <f>IFERROR($V109/$V108-1,"")</f>
        <v/>
      </c>
      <c r="DD108" s="57">
        <f>IFERROR($W109/$W108-1,"")</f>
        <v/>
      </c>
      <c r="DE108" s="57">
        <f>IFERROR($X109/$X108-1,"")</f>
        <v/>
      </c>
      <c r="DF108" s="57">
        <f>IFERROR($Y109/$Y108-1,"")</f>
        <v/>
      </c>
      <c r="DG108" s="57">
        <f>IFERROR($Z109/$Z108-1,"")</f>
        <v/>
      </c>
      <c r="DH108" s="57">
        <f>IFERROR($AA109/$AA108-1,"")</f>
        <v/>
      </c>
      <c r="DI108" s="57">
        <f>IFERROR($AB109/$AB108-1,"")</f>
        <v/>
      </c>
      <c r="DJ108" s="57">
        <f>IFERROR($AC109/$AC108-1,"")</f>
        <v/>
      </c>
      <c r="DK108" s="57">
        <f>IFERROR($AD109/$AD108-1,"")</f>
        <v/>
      </c>
      <c r="DL108" s="57">
        <f>IFERROR($AE109/$AE108-1,"")</f>
        <v/>
      </c>
      <c r="DM108" s="56">
        <f>$AZ108-$AZ109</f>
        <v/>
      </c>
      <c r="DN108" s="56">
        <f>$BA108-$BA109</f>
        <v/>
      </c>
      <c r="DO108" s="56">
        <f>$BB108-$BB109</f>
        <v/>
      </c>
      <c r="DP108" s="56">
        <f>$BC108-$BC109</f>
        <v/>
      </c>
      <c r="DQ108" s="56">
        <f>$BD108-$BD109</f>
        <v/>
      </c>
      <c r="DR108" s="56">
        <f>$BE108-$BE109</f>
        <v/>
      </c>
      <c r="DS108" s="56">
        <f>$BF108-$BF109</f>
        <v/>
      </c>
      <c r="DT108" s="56">
        <f>$BG108-$BG109</f>
        <v/>
      </c>
      <c r="DU108" s="56">
        <f>$BH108-$BH109</f>
        <v/>
      </c>
      <c r="DV108" s="56">
        <f>$BI108-$BI109</f>
        <v/>
      </c>
      <c r="DW108" s="56">
        <f>$BJ108-$BJ109</f>
        <v/>
      </c>
      <c r="DX108" s="56">
        <f>$BK108-$BK109</f>
        <v/>
      </c>
      <c r="DY108" s="56">
        <f>$BL108-$BL109</f>
        <v/>
      </c>
      <c r="DZ108" s="56">
        <f>$BM108-$BM109</f>
        <v/>
      </c>
      <c r="EA108" s="56">
        <f>$BN108-$BN109</f>
        <v/>
      </c>
      <c r="EB108" s="56">
        <f>$BO108-$BO109</f>
        <v/>
      </c>
      <c r="EC108" s="56">
        <f>$BP108-$BP109</f>
        <v/>
      </c>
      <c r="ED108" s="56">
        <f>$BQ108-$BQ109</f>
        <v/>
      </c>
      <c r="EE108" s="56">
        <f>$BR108-$BR109</f>
        <v/>
      </c>
      <c r="EF108" s="56">
        <f>$BS108-$BS109</f>
        <v/>
      </c>
      <c r="EG108" s="56">
        <f>$BT108-$BT109</f>
        <v/>
      </c>
      <c r="EH108" s="56">
        <f>$BU108-$BU109</f>
        <v/>
      </c>
    </row>
    <row r="109">
      <c r="BV109" s="56">
        <f>($D109-$D110)*100</f>
        <v/>
      </c>
      <c r="BW109" s="56">
        <f>($C109-$C110)*100</f>
        <v/>
      </c>
      <c r="BX109" s="57">
        <f>IFERROR($I109/$I110-1,"")</f>
        <v/>
      </c>
      <c r="BY109" s="56">
        <f>($AF109-$AF110)*100</f>
        <v/>
      </c>
      <c r="BZ109" s="56">
        <f>($AG109-$AG110)*100</f>
        <v/>
      </c>
      <c r="CA109" s="56">
        <f>($AH109-$AH110)*100</f>
        <v/>
      </c>
      <c r="CB109" s="56">
        <f>($AI109-$AI110)*100</f>
        <v/>
      </c>
      <c r="CC109" s="56">
        <f>($AJ109-$AJ110)*100</f>
        <v/>
      </c>
      <c r="CD109" s="56">
        <f>($AK109-$AK110)*100</f>
        <v/>
      </c>
      <c r="CE109" s="56">
        <f>($AL109-$AL110)*100</f>
        <v/>
      </c>
      <c r="CF109" s="56">
        <f>($AM109-$AM110)*100</f>
        <v/>
      </c>
      <c r="CG109" s="56">
        <f>($AN109-$AN110)*100</f>
        <v/>
      </c>
      <c r="CH109" s="56">
        <f>($AO109-$AO110)*100</f>
        <v/>
      </c>
      <c r="CI109" s="56">
        <f>($AP109-$AP110)*100</f>
        <v/>
      </c>
      <c r="CJ109" s="56">
        <f>($AQ109-$AQ110)*100</f>
        <v/>
      </c>
      <c r="CK109" s="56">
        <f>($AR109-$AR110)*100</f>
        <v/>
      </c>
      <c r="CL109" s="56">
        <f>($AS109-$AS110)*100</f>
        <v/>
      </c>
      <c r="CM109" s="56">
        <f>($AT109-$AT110)*100</f>
        <v/>
      </c>
      <c r="CN109" s="56">
        <f>($AU109-$AU110)*100</f>
        <v/>
      </c>
      <c r="CO109" s="56">
        <f>($AV109-$AV110)*100</f>
        <v/>
      </c>
      <c r="CP109" s="56">
        <f>($AW109-$AW110)*100</f>
        <v/>
      </c>
      <c r="CQ109" s="56">
        <f>($AX109-$AX110)*100</f>
        <v/>
      </c>
      <c r="CR109" s="56">
        <f>($AY109-$AY110)*100</f>
        <v/>
      </c>
      <c r="CS109" s="57">
        <f>IFERROR($L110/$L109-1,"")</f>
        <v/>
      </c>
      <c r="CT109" s="57">
        <f>IFERROR($M110/$M109-1,"")</f>
        <v/>
      </c>
      <c r="CU109" s="57">
        <f>IFERROR($N110/$N109-1,"")</f>
        <v/>
      </c>
      <c r="CV109" s="57">
        <f>IFERROR($O110/$O109-1,"")</f>
        <v/>
      </c>
      <c r="CW109" s="57">
        <f>IFERROR($P110/$P109-1,"")</f>
        <v/>
      </c>
      <c r="CX109" s="57">
        <f>IFERROR($Q110/$Q109-1,"")</f>
        <v/>
      </c>
      <c r="CY109" s="57">
        <f>IFERROR($R110/$R109-1,"")</f>
        <v/>
      </c>
      <c r="CZ109" s="57">
        <f>IFERROR($S110/$S109-1,"")</f>
        <v/>
      </c>
      <c r="DA109" s="57">
        <f>IFERROR($T110/$T109-1,"")</f>
        <v/>
      </c>
      <c r="DB109" s="57">
        <f>IFERROR($U110/$U109-1,"")</f>
        <v/>
      </c>
      <c r="DC109" s="57">
        <f>IFERROR($V110/$V109-1,"")</f>
        <v/>
      </c>
      <c r="DD109" s="57">
        <f>IFERROR($W110/$W109-1,"")</f>
        <v/>
      </c>
      <c r="DE109" s="57">
        <f>IFERROR($X110/$X109-1,"")</f>
        <v/>
      </c>
      <c r="DF109" s="57">
        <f>IFERROR($Y110/$Y109-1,"")</f>
        <v/>
      </c>
      <c r="DG109" s="57">
        <f>IFERROR($Z110/$Z109-1,"")</f>
        <v/>
      </c>
      <c r="DH109" s="57">
        <f>IFERROR($AA110/$AA109-1,"")</f>
        <v/>
      </c>
      <c r="DI109" s="57">
        <f>IFERROR($AB110/$AB109-1,"")</f>
        <v/>
      </c>
      <c r="DJ109" s="57">
        <f>IFERROR($AC110/$AC109-1,"")</f>
        <v/>
      </c>
      <c r="DK109" s="57">
        <f>IFERROR($AD110/$AD109-1,"")</f>
        <v/>
      </c>
      <c r="DL109" s="57">
        <f>IFERROR($AE110/$AE109-1,"")</f>
        <v/>
      </c>
      <c r="DM109" s="56">
        <f>$AZ109-$AZ110</f>
        <v/>
      </c>
      <c r="DN109" s="56">
        <f>$BA109-$BA110</f>
        <v/>
      </c>
      <c r="DO109" s="56">
        <f>$BB109-$BB110</f>
        <v/>
      </c>
      <c r="DP109" s="56">
        <f>$BC109-$BC110</f>
        <v/>
      </c>
      <c r="DQ109" s="56">
        <f>$BD109-$BD110</f>
        <v/>
      </c>
      <c r="DR109" s="56">
        <f>$BE109-$BE110</f>
        <v/>
      </c>
      <c r="DS109" s="56">
        <f>$BF109-$BF110</f>
        <v/>
      </c>
      <c r="DT109" s="56">
        <f>$BG109-$BG110</f>
        <v/>
      </c>
      <c r="DU109" s="56">
        <f>$BH109-$BH110</f>
        <v/>
      </c>
      <c r="DV109" s="56">
        <f>$BI109-$BI110</f>
        <v/>
      </c>
      <c r="DW109" s="56">
        <f>$BJ109-$BJ110</f>
        <v/>
      </c>
      <c r="DX109" s="56">
        <f>$BK109-$BK110</f>
        <v/>
      </c>
      <c r="DY109" s="56">
        <f>$BL109-$BL110</f>
        <v/>
      </c>
      <c r="DZ109" s="56">
        <f>$BM109-$BM110</f>
        <v/>
      </c>
      <c r="EA109" s="56">
        <f>$BN109-$BN110</f>
        <v/>
      </c>
      <c r="EB109" s="56">
        <f>$BO109-$BO110</f>
        <v/>
      </c>
      <c r="EC109" s="56">
        <f>$BP109-$BP110</f>
        <v/>
      </c>
      <c r="ED109" s="56">
        <f>$BQ109-$BQ110</f>
        <v/>
      </c>
      <c r="EE109" s="56">
        <f>$BR109-$BR110</f>
        <v/>
      </c>
      <c r="EF109" s="56">
        <f>$BS109-$BS110</f>
        <v/>
      </c>
      <c r="EG109" s="56">
        <f>$BT109-$BT110</f>
        <v/>
      </c>
      <c r="EH109" s="56">
        <f>$BU109-$BU110</f>
        <v/>
      </c>
    </row>
    <row r="110">
      <c r="BV110" s="56">
        <f>($D110-$D111)*100</f>
        <v/>
      </c>
      <c r="BW110" s="56">
        <f>($C110-$C111)*100</f>
        <v/>
      </c>
      <c r="BX110" s="57">
        <f>IFERROR($I110/$I111-1,"")</f>
        <v/>
      </c>
      <c r="BY110" s="56">
        <f>($AF110-$AF111)*100</f>
        <v/>
      </c>
      <c r="BZ110" s="56">
        <f>($AG110-$AG111)*100</f>
        <v/>
      </c>
      <c r="CA110" s="56">
        <f>($AH110-$AH111)*100</f>
        <v/>
      </c>
      <c r="CB110" s="56">
        <f>($AI110-$AI111)*100</f>
        <v/>
      </c>
      <c r="CC110" s="56">
        <f>($AJ110-$AJ111)*100</f>
        <v/>
      </c>
      <c r="CD110" s="56">
        <f>($AK110-$AK111)*100</f>
        <v/>
      </c>
      <c r="CE110" s="56">
        <f>($AL110-$AL111)*100</f>
        <v/>
      </c>
      <c r="CF110" s="56">
        <f>($AM110-$AM111)*100</f>
        <v/>
      </c>
      <c r="CG110" s="56">
        <f>($AN110-$AN111)*100</f>
        <v/>
      </c>
      <c r="CH110" s="56">
        <f>($AO110-$AO111)*100</f>
        <v/>
      </c>
      <c r="CI110" s="56">
        <f>($AP110-$AP111)*100</f>
        <v/>
      </c>
      <c r="CJ110" s="56">
        <f>($AQ110-$AQ111)*100</f>
        <v/>
      </c>
      <c r="CK110" s="56">
        <f>($AR110-$AR111)*100</f>
        <v/>
      </c>
      <c r="CL110" s="56">
        <f>($AS110-$AS111)*100</f>
        <v/>
      </c>
      <c r="CM110" s="56">
        <f>($AT110-$AT111)*100</f>
        <v/>
      </c>
      <c r="CN110" s="56">
        <f>($AU110-$AU111)*100</f>
        <v/>
      </c>
      <c r="CO110" s="56">
        <f>($AV110-$AV111)*100</f>
        <v/>
      </c>
      <c r="CP110" s="56">
        <f>($AW110-$AW111)*100</f>
        <v/>
      </c>
      <c r="CQ110" s="56">
        <f>($AX110-$AX111)*100</f>
        <v/>
      </c>
      <c r="CR110" s="56">
        <f>($AY110-$AY111)*100</f>
        <v/>
      </c>
      <c r="CS110" s="57">
        <f>IFERROR($L111/$L110-1,"")</f>
        <v/>
      </c>
      <c r="CT110" s="57">
        <f>IFERROR($M111/$M110-1,"")</f>
        <v/>
      </c>
      <c r="CU110" s="57">
        <f>IFERROR($N111/$N110-1,"")</f>
        <v/>
      </c>
      <c r="CV110" s="57">
        <f>IFERROR($O111/$O110-1,"")</f>
        <v/>
      </c>
      <c r="CW110" s="57">
        <f>IFERROR($P111/$P110-1,"")</f>
        <v/>
      </c>
      <c r="CX110" s="57">
        <f>IFERROR($Q111/$Q110-1,"")</f>
        <v/>
      </c>
      <c r="CY110" s="57">
        <f>IFERROR($R111/$R110-1,"")</f>
        <v/>
      </c>
      <c r="CZ110" s="57">
        <f>IFERROR($S111/$S110-1,"")</f>
        <v/>
      </c>
      <c r="DA110" s="57">
        <f>IFERROR($T111/$T110-1,"")</f>
        <v/>
      </c>
      <c r="DB110" s="57">
        <f>IFERROR($U111/$U110-1,"")</f>
        <v/>
      </c>
      <c r="DC110" s="57">
        <f>IFERROR($V111/$V110-1,"")</f>
        <v/>
      </c>
      <c r="DD110" s="57">
        <f>IFERROR($W111/$W110-1,"")</f>
        <v/>
      </c>
      <c r="DE110" s="57">
        <f>IFERROR($X111/$X110-1,"")</f>
        <v/>
      </c>
      <c r="DF110" s="57">
        <f>IFERROR($Y111/$Y110-1,"")</f>
        <v/>
      </c>
      <c r="DG110" s="57">
        <f>IFERROR($Z111/$Z110-1,"")</f>
        <v/>
      </c>
      <c r="DH110" s="57">
        <f>IFERROR($AA111/$AA110-1,"")</f>
        <v/>
      </c>
      <c r="DI110" s="57">
        <f>IFERROR($AB111/$AB110-1,"")</f>
        <v/>
      </c>
      <c r="DJ110" s="57">
        <f>IFERROR($AC111/$AC110-1,"")</f>
        <v/>
      </c>
      <c r="DK110" s="57">
        <f>IFERROR($AD111/$AD110-1,"")</f>
        <v/>
      </c>
      <c r="DL110" s="57">
        <f>IFERROR($AE111/$AE110-1,"")</f>
        <v/>
      </c>
      <c r="DM110" s="56">
        <f>$AZ110-$AZ111</f>
        <v/>
      </c>
      <c r="DN110" s="56">
        <f>$BA110-$BA111</f>
        <v/>
      </c>
      <c r="DO110" s="56">
        <f>$BB110-$BB111</f>
        <v/>
      </c>
      <c r="DP110" s="56">
        <f>$BC110-$BC111</f>
        <v/>
      </c>
      <c r="DQ110" s="56">
        <f>$BD110-$BD111</f>
        <v/>
      </c>
      <c r="DR110" s="56">
        <f>$BE110-$BE111</f>
        <v/>
      </c>
      <c r="DS110" s="56">
        <f>$BF110-$BF111</f>
        <v/>
      </c>
      <c r="DT110" s="56">
        <f>$BG110-$BG111</f>
        <v/>
      </c>
      <c r="DU110" s="56">
        <f>$BH110-$BH111</f>
        <v/>
      </c>
      <c r="DV110" s="56">
        <f>$BI110-$BI111</f>
        <v/>
      </c>
      <c r="DW110" s="56">
        <f>$BJ110-$BJ111</f>
        <v/>
      </c>
      <c r="DX110" s="56">
        <f>$BK110-$BK111</f>
        <v/>
      </c>
      <c r="DY110" s="56">
        <f>$BL110-$BL111</f>
        <v/>
      </c>
      <c r="DZ110" s="56">
        <f>$BM110-$BM111</f>
        <v/>
      </c>
      <c r="EA110" s="56">
        <f>$BN110-$BN111</f>
        <v/>
      </c>
      <c r="EB110" s="56">
        <f>$BO110-$BO111</f>
        <v/>
      </c>
      <c r="EC110" s="56">
        <f>$BP110-$BP111</f>
        <v/>
      </c>
      <c r="ED110" s="56">
        <f>$BQ110-$BQ111</f>
        <v/>
      </c>
      <c r="EE110" s="56">
        <f>$BR110-$BR111</f>
        <v/>
      </c>
      <c r="EF110" s="56">
        <f>$BS110-$BS111</f>
        <v/>
      </c>
      <c r="EG110" s="56">
        <f>$BT110-$BT111</f>
        <v/>
      </c>
      <c r="EH110" s="56">
        <f>$BU110-$BU111</f>
        <v/>
      </c>
    </row>
    <row r="111">
      <c r="BV111" s="56">
        <f>($D111-$D112)*100</f>
        <v/>
      </c>
      <c r="BW111" s="56">
        <f>($C111-$C112)*100</f>
        <v/>
      </c>
      <c r="BX111" s="57">
        <f>IFERROR($I111/$I112-1,"")</f>
        <v/>
      </c>
      <c r="BY111" s="56">
        <f>($AF111-$AF112)*100</f>
        <v/>
      </c>
      <c r="BZ111" s="56">
        <f>($AG111-$AG112)*100</f>
        <v/>
      </c>
      <c r="CA111" s="56">
        <f>($AH111-$AH112)*100</f>
        <v/>
      </c>
      <c r="CB111" s="56">
        <f>($AI111-$AI112)*100</f>
        <v/>
      </c>
      <c r="CC111" s="56">
        <f>($AJ111-$AJ112)*100</f>
        <v/>
      </c>
      <c r="CD111" s="56">
        <f>($AK111-$AK112)*100</f>
        <v/>
      </c>
      <c r="CE111" s="56">
        <f>($AL111-$AL112)*100</f>
        <v/>
      </c>
      <c r="CF111" s="56">
        <f>($AM111-$AM112)*100</f>
        <v/>
      </c>
      <c r="CG111" s="56">
        <f>($AN111-$AN112)*100</f>
        <v/>
      </c>
      <c r="CH111" s="56">
        <f>($AO111-$AO112)*100</f>
        <v/>
      </c>
      <c r="CI111" s="56">
        <f>($AP111-$AP112)*100</f>
        <v/>
      </c>
      <c r="CJ111" s="56">
        <f>($AQ111-$AQ112)*100</f>
        <v/>
      </c>
      <c r="CK111" s="56">
        <f>($AR111-$AR112)*100</f>
        <v/>
      </c>
      <c r="CL111" s="56">
        <f>($AS111-$AS112)*100</f>
        <v/>
      </c>
      <c r="CM111" s="56">
        <f>($AT111-$AT112)*100</f>
        <v/>
      </c>
      <c r="CN111" s="56">
        <f>($AU111-$AU112)*100</f>
        <v/>
      </c>
      <c r="CO111" s="56">
        <f>($AV111-$AV112)*100</f>
        <v/>
      </c>
      <c r="CP111" s="56">
        <f>($AW111-$AW112)*100</f>
        <v/>
      </c>
      <c r="CQ111" s="56">
        <f>($AX111-$AX112)*100</f>
        <v/>
      </c>
      <c r="CR111" s="56">
        <f>($AY111-$AY112)*100</f>
        <v/>
      </c>
      <c r="CS111" s="57">
        <f>IFERROR($L112/$L111-1,"")</f>
        <v/>
      </c>
      <c r="CT111" s="57">
        <f>IFERROR($M112/$M111-1,"")</f>
        <v/>
      </c>
      <c r="CU111" s="57">
        <f>IFERROR($N112/$N111-1,"")</f>
        <v/>
      </c>
      <c r="CV111" s="57">
        <f>IFERROR($O112/$O111-1,"")</f>
        <v/>
      </c>
      <c r="CW111" s="57">
        <f>IFERROR($P112/$P111-1,"")</f>
        <v/>
      </c>
      <c r="CX111" s="57">
        <f>IFERROR($Q112/$Q111-1,"")</f>
        <v/>
      </c>
      <c r="CY111" s="57">
        <f>IFERROR($R112/$R111-1,"")</f>
        <v/>
      </c>
      <c r="CZ111" s="57">
        <f>IFERROR($S112/$S111-1,"")</f>
        <v/>
      </c>
      <c r="DA111" s="57">
        <f>IFERROR($T112/$T111-1,"")</f>
        <v/>
      </c>
      <c r="DB111" s="57">
        <f>IFERROR($U112/$U111-1,"")</f>
        <v/>
      </c>
      <c r="DC111" s="57">
        <f>IFERROR($V112/$V111-1,"")</f>
        <v/>
      </c>
      <c r="DD111" s="57">
        <f>IFERROR($W112/$W111-1,"")</f>
        <v/>
      </c>
      <c r="DE111" s="57">
        <f>IFERROR($X112/$X111-1,"")</f>
        <v/>
      </c>
      <c r="DF111" s="57">
        <f>IFERROR($Y112/$Y111-1,"")</f>
        <v/>
      </c>
      <c r="DG111" s="57">
        <f>IFERROR($Z112/$Z111-1,"")</f>
        <v/>
      </c>
      <c r="DH111" s="57">
        <f>IFERROR($AA112/$AA111-1,"")</f>
        <v/>
      </c>
      <c r="DI111" s="57">
        <f>IFERROR($AB112/$AB111-1,"")</f>
        <v/>
      </c>
      <c r="DJ111" s="57">
        <f>IFERROR($AC112/$AC111-1,"")</f>
        <v/>
      </c>
      <c r="DK111" s="57">
        <f>IFERROR($AD112/$AD111-1,"")</f>
        <v/>
      </c>
      <c r="DL111" s="57">
        <f>IFERROR($AE112/$AE111-1,"")</f>
        <v/>
      </c>
      <c r="DM111" s="56">
        <f>$AZ111-$AZ112</f>
        <v/>
      </c>
      <c r="DN111" s="56">
        <f>$BA111-$BA112</f>
        <v/>
      </c>
      <c r="DO111" s="56">
        <f>$BB111-$BB112</f>
        <v/>
      </c>
      <c r="DP111" s="56">
        <f>$BC111-$BC112</f>
        <v/>
      </c>
      <c r="DQ111" s="56">
        <f>$BD111-$BD112</f>
        <v/>
      </c>
      <c r="DR111" s="56">
        <f>$BE111-$BE112</f>
        <v/>
      </c>
      <c r="DS111" s="56">
        <f>$BF111-$BF112</f>
        <v/>
      </c>
      <c r="DT111" s="56">
        <f>$BG111-$BG112</f>
        <v/>
      </c>
      <c r="DU111" s="56">
        <f>$BH111-$BH112</f>
        <v/>
      </c>
      <c r="DV111" s="56">
        <f>$BI111-$BI112</f>
        <v/>
      </c>
      <c r="DW111" s="56">
        <f>$BJ111-$BJ112</f>
        <v/>
      </c>
      <c r="DX111" s="56">
        <f>$BK111-$BK112</f>
        <v/>
      </c>
      <c r="DY111" s="56">
        <f>$BL111-$BL112</f>
        <v/>
      </c>
      <c r="DZ111" s="56">
        <f>$BM111-$BM112</f>
        <v/>
      </c>
      <c r="EA111" s="56">
        <f>$BN111-$BN112</f>
        <v/>
      </c>
      <c r="EB111" s="56">
        <f>$BO111-$BO112</f>
        <v/>
      </c>
      <c r="EC111" s="56">
        <f>$BP111-$BP112</f>
        <v/>
      </c>
      <c r="ED111" s="56">
        <f>$BQ111-$BQ112</f>
        <v/>
      </c>
      <c r="EE111" s="56">
        <f>$BR111-$BR112</f>
        <v/>
      </c>
      <c r="EF111" s="56">
        <f>$BS111-$BS112</f>
        <v/>
      </c>
      <c r="EG111" s="56">
        <f>$BT111-$BT112</f>
        <v/>
      </c>
      <c r="EH111" s="56">
        <f>$BU111-$BU112</f>
        <v/>
      </c>
    </row>
    <row r="112">
      <c r="BV112" s="56">
        <f>($D112-$D113)*100</f>
        <v/>
      </c>
      <c r="BW112" s="56">
        <f>($C112-$C113)*100</f>
        <v/>
      </c>
      <c r="BX112" s="57">
        <f>IFERROR($I112/$I113-1,"")</f>
        <v/>
      </c>
      <c r="BY112" s="56">
        <f>($AF112-$AF113)*100</f>
        <v/>
      </c>
      <c r="BZ112" s="56">
        <f>($AG112-$AG113)*100</f>
        <v/>
      </c>
      <c r="CA112" s="56">
        <f>($AH112-$AH113)*100</f>
        <v/>
      </c>
      <c r="CB112" s="56">
        <f>($AI112-$AI113)*100</f>
        <v/>
      </c>
      <c r="CC112" s="56">
        <f>($AJ112-$AJ113)*100</f>
        <v/>
      </c>
      <c r="CD112" s="56">
        <f>($AK112-$AK113)*100</f>
        <v/>
      </c>
      <c r="CE112" s="56">
        <f>($AL112-$AL113)*100</f>
        <v/>
      </c>
      <c r="CF112" s="56">
        <f>($AM112-$AM113)*100</f>
        <v/>
      </c>
      <c r="CG112" s="56">
        <f>($AN112-$AN113)*100</f>
        <v/>
      </c>
      <c r="CH112" s="56">
        <f>($AO112-$AO113)*100</f>
        <v/>
      </c>
      <c r="CI112" s="56">
        <f>($AP112-$AP113)*100</f>
        <v/>
      </c>
      <c r="CJ112" s="56">
        <f>($AQ112-$AQ113)*100</f>
        <v/>
      </c>
      <c r="CK112" s="56">
        <f>($AR112-$AR113)*100</f>
        <v/>
      </c>
      <c r="CL112" s="56">
        <f>($AS112-$AS113)*100</f>
        <v/>
      </c>
      <c r="CM112" s="56">
        <f>($AT112-$AT113)*100</f>
        <v/>
      </c>
      <c r="CN112" s="56">
        <f>($AU112-$AU113)*100</f>
        <v/>
      </c>
      <c r="CO112" s="56">
        <f>($AV112-$AV113)*100</f>
        <v/>
      </c>
      <c r="CP112" s="56">
        <f>($AW112-$AW113)*100</f>
        <v/>
      </c>
      <c r="CQ112" s="56">
        <f>($AX112-$AX113)*100</f>
        <v/>
      </c>
      <c r="CR112" s="56">
        <f>($AY112-$AY113)*100</f>
        <v/>
      </c>
      <c r="CS112" s="57">
        <f>IFERROR($L113/$L112-1,"")</f>
        <v/>
      </c>
      <c r="CT112" s="57">
        <f>IFERROR($M113/$M112-1,"")</f>
        <v/>
      </c>
      <c r="CU112" s="57">
        <f>IFERROR($N113/$N112-1,"")</f>
        <v/>
      </c>
      <c r="CV112" s="57">
        <f>IFERROR($O113/$O112-1,"")</f>
        <v/>
      </c>
      <c r="CW112" s="57">
        <f>IFERROR($P113/$P112-1,"")</f>
        <v/>
      </c>
      <c r="CX112" s="57">
        <f>IFERROR($Q113/$Q112-1,"")</f>
        <v/>
      </c>
      <c r="CY112" s="57">
        <f>IFERROR($R113/$R112-1,"")</f>
        <v/>
      </c>
      <c r="CZ112" s="57">
        <f>IFERROR($S113/$S112-1,"")</f>
        <v/>
      </c>
      <c r="DA112" s="57">
        <f>IFERROR($T113/$T112-1,"")</f>
        <v/>
      </c>
      <c r="DB112" s="57">
        <f>IFERROR($U113/$U112-1,"")</f>
        <v/>
      </c>
      <c r="DC112" s="57">
        <f>IFERROR($V113/$V112-1,"")</f>
        <v/>
      </c>
      <c r="DD112" s="57">
        <f>IFERROR($W113/$W112-1,"")</f>
        <v/>
      </c>
      <c r="DE112" s="57">
        <f>IFERROR($X113/$X112-1,"")</f>
        <v/>
      </c>
      <c r="DF112" s="57">
        <f>IFERROR($Y113/$Y112-1,"")</f>
        <v/>
      </c>
      <c r="DG112" s="57">
        <f>IFERROR($Z113/$Z112-1,"")</f>
        <v/>
      </c>
      <c r="DH112" s="57">
        <f>IFERROR($AA113/$AA112-1,"")</f>
        <v/>
      </c>
      <c r="DI112" s="57">
        <f>IFERROR($AB113/$AB112-1,"")</f>
        <v/>
      </c>
      <c r="DJ112" s="57">
        <f>IFERROR($AC113/$AC112-1,"")</f>
        <v/>
      </c>
      <c r="DK112" s="57">
        <f>IFERROR($AD113/$AD112-1,"")</f>
        <v/>
      </c>
      <c r="DL112" s="57">
        <f>IFERROR($AE113/$AE112-1,"")</f>
        <v/>
      </c>
      <c r="DM112" s="56">
        <f>$AZ112-$AZ113</f>
        <v/>
      </c>
      <c r="DN112" s="56">
        <f>$BA112-$BA113</f>
        <v/>
      </c>
      <c r="DO112" s="56">
        <f>$BB112-$BB113</f>
        <v/>
      </c>
      <c r="DP112" s="56">
        <f>$BC112-$BC113</f>
        <v/>
      </c>
      <c r="DQ112" s="56">
        <f>$BD112-$BD113</f>
        <v/>
      </c>
      <c r="DR112" s="56">
        <f>$BE112-$BE113</f>
        <v/>
      </c>
      <c r="DS112" s="56">
        <f>$BF112-$BF113</f>
        <v/>
      </c>
      <c r="DT112" s="56">
        <f>$BG112-$BG113</f>
        <v/>
      </c>
      <c r="DU112" s="56">
        <f>$BH112-$BH113</f>
        <v/>
      </c>
      <c r="DV112" s="56">
        <f>$BI112-$BI113</f>
        <v/>
      </c>
      <c r="DW112" s="56">
        <f>$BJ112-$BJ113</f>
        <v/>
      </c>
      <c r="DX112" s="56">
        <f>$BK112-$BK113</f>
        <v/>
      </c>
      <c r="DY112" s="56">
        <f>$BL112-$BL113</f>
        <v/>
      </c>
      <c r="DZ112" s="56">
        <f>$BM112-$BM113</f>
        <v/>
      </c>
      <c r="EA112" s="56">
        <f>$BN112-$BN113</f>
        <v/>
      </c>
      <c r="EB112" s="56">
        <f>$BO112-$BO113</f>
        <v/>
      </c>
      <c r="EC112" s="56">
        <f>$BP112-$BP113</f>
        <v/>
      </c>
      <c r="ED112" s="56">
        <f>$BQ112-$BQ113</f>
        <v/>
      </c>
      <c r="EE112" s="56">
        <f>$BR112-$BR113</f>
        <v/>
      </c>
      <c r="EF112" s="56">
        <f>$BS112-$BS113</f>
        <v/>
      </c>
      <c r="EG112" s="56">
        <f>$BT112-$BT113</f>
        <v/>
      </c>
      <c r="EH112" s="56">
        <f>$BU112-$BU113</f>
        <v/>
      </c>
    </row>
    <row r="113">
      <c r="BV113" s="56">
        <f>($D113-$D114)*100</f>
        <v/>
      </c>
      <c r="BW113" s="56">
        <f>($C113-$C114)*100</f>
        <v/>
      </c>
      <c r="BX113" s="57">
        <f>IFERROR($I113/$I114-1,"")</f>
        <v/>
      </c>
      <c r="BY113" s="56">
        <f>($AF113-$AF114)*100</f>
        <v/>
      </c>
      <c r="BZ113" s="56">
        <f>($AG113-$AG114)*100</f>
        <v/>
      </c>
      <c r="CA113" s="56">
        <f>($AH113-$AH114)*100</f>
        <v/>
      </c>
      <c r="CB113" s="56">
        <f>($AI113-$AI114)*100</f>
        <v/>
      </c>
      <c r="CC113" s="56">
        <f>($AJ113-$AJ114)*100</f>
        <v/>
      </c>
      <c r="CD113" s="56">
        <f>($AK113-$AK114)*100</f>
        <v/>
      </c>
      <c r="CE113" s="56">
        <f>($AL113-$AL114)*100</f>
        <v/>
      </c>
      <c r="CF113" s="56">
        <f>($AM113-$AM114)*100</f>
        <v/>
      </c>
      <c r="CG113" s="56">
        <f>($AN113-$AN114)*100</f>
        <v/>
      </c>
      <c r="CH113" s="56">
        <f>($AO113-$AO114)*100</f>
        <v/>
      </c>
      <c r="CI113" s="56">
        <f>($AP113-$AP114)*100</f>
        <v/>
      </c>
      <c r="CJ113" s="56">
        <f>($AQ113-$AQ114)*100</f>
        <v/>
      </c>
      <c r="CK113" s="56">
        <f>($AR113-$AR114)*100</f>
        <v/>
      </c>
      <c r="CL113" s="56">
        <f>($AS113-$AS114)*100</f>
        <v/>
      </c>
      <c r="CM113" s="56">
        <f>($AT113-$AT114)*100</f>
        <v/>
      </c>
      <c r="CN113" s="56">
        <f>($AU113-$AU114)*100</f>
        <v/>
      </c>
      <c r="CO113" s="56">
        <f>($AV113-$AV114)*100</f>
        <v/>
      </c>
      <c r="CP113" s="56">
        <f>($AW113-$AW114)*100</f>
        <v/>
      </c>
      <c r="CQ113" s="56">
        <f>($AX113-$AX114)*100</f>
        <v/>
      </c>
      <c r="CR113" s="56">
        <f>($AY113-$AY114)*100</f>
        <v/>
      </c>
      <c r="CS113" s="57">
        <f>IFERROR($L114/$L113-1,"")</f>
        <v/>
      </c>
      <c r="CT113" s="57">
        <f>IFERROR($M114/$M113-1,"")</f>
        <v/>
      </c>
      <c r="CU113" s="57">
        <f>IFERROR($N114/$N113-1,"")</f>
        <v/>
      </c>
      <c r="CV113" s="57">
        <f>IFERROR($O114/$O113-1,"")</f>
        <v/>
      </c>
      <c r="CW113" s="57">
        <f>IFERROR($P114/$P113-1,"")</f>
        <v/>
      </c>
      <c r="CX113" s="57">
        <f>IFERROR($Q114/$Q113-1,"")</f>
        <v/>
      </c>
      <c r="CY113" s="57">
        <f>IFERROR($R114/$R113-1,"")</f>
        <v/>
      </c>
      <c r="CZ113" s="57">
        <f>IFERROR($S114/$S113-1,"")</f>
        <v/>
      </c>
      <c r="DA113" s="57">
        <f>IFERROR($T114/$T113-1,"")</f>
        <v/>
      </c>
      <c r="DB113" s="57">
        <f>IFERROR($U114/$U113-1,"")</f>
        <v/>
      </c>
      <c r="DC113" s="57">
        <f>IFERROR($V114/$V113-1,"")</f>
        <v/>
      </c>
      <c r="DD113" s="57">
        <f>IFERROR($W114/$W113-1,"")</f>
        <v/>
      </c>
      <c r="DE113" s="57">
        <f>IFERROR($X114/$X113-1,"")</f>
        <v/>
      </c>
      <c r="DF113" s="57">
        <f>IFERROR($Y114/$Y113-1,"")</f>
        <v/>
      </c>
      <c r="DG113" s="57">
        <f>IFERROR($Z114/$Z113-1,"")</f>
        <v/>
      </c>
      <c r="DH113" s="57">
        <f>IFERROR($AA114/$AA113-1,"")</f>
        <v/>
      </c>
      <c r="DI113" s="57">
        <f>IFERROR($AB114/$AB113-1,"")</f>
        <v/>
      </c>
      <c r="DJ113" s="57">
        <f>IFERROR($AC114/$AC113-1,"")</f>
        <v/>
      </c>
      <c r="DK113" s="57">
        <f>IFERROR($AD114/$AD113-1,"")</f>
        <v/>
      </c>
      <c r="DL113" s="57">
        <f>IFERROR($AE114/$AE113-1,"")</f>
        <v/>
      </c>
      <c r="DM113" s="56">
        <f>$AZ113-$AZ114</f>
        <v/>
      </c>
      <c r="DN113" s="56">
        <f>$BA113-$BA114</f>
        <v/>
      </c>
      <c r="DO113" s="56">
        <f>$BB113-$BB114</f>
        <v/>
      </c>
      <c r="DP113" s="56">
        <f>$BC113-$BC114</f>
        <v/>
      </c>
      <c r="DQ113" s="56">
        <f>$BD113-$BD114</f>
        <v/>
      </c>
      <c r="DR113" s="56">
        <f>$BE113-$BE114</f>
        <v/>
      </c>
      <c r="DS113" s="56">
        <f>$BF113-$BF114</f>
        <v/>
      </c>
      <c r="DT113" s="56">
        <f>$BG113-$BG114</f>
        <v/>
      </c>
      <c r="DU113" s="56">
        <f>$BH113-$BH114</f>
        <v/>
      </c>
      <c r="DV113" s="56">
        <f>$BI113-$BI114</f>
        <v/>
      </c>
      <c r="DW113" s="56">
        <f>$BJ113-$BJ114</f>
        <v/>
      </c>
      <c r="DX113" s="56">
        <f>$BK113-$BK114</f>
        <v/>
      </c>
      <c r="DY113" s="56">
        <f>$BL113-$BL114</f>
        <v/>
      </c>
      <c r="DZ113" s="56">
        <f>$BM113-$BM114</f>
        <v/>
      </c>
      <c r="EA113" s="56">
        <f>$BN113-$BN114</f>
        <v/>
      </c>
      <c r="EB113" s="56">
        <f>$BO113-$BO114</f>
        <v/>
      </c>
      <c r="EC113" s="56">
        <f>$BP113-$BP114</f>
        <v/>
      </c>
      <c r="ED113" s="56">
        <f>$BQ113-$BQ114</f>
        <v/>
      </c>
      <c r="EE113" s="56">
        <f>$BR113-$BR114</f>
        <v/>
      </c>
      <c r="EF113" s="56">
        <f>$BS113-$BS114</f>
        <v/>
      </c>
      <c r="EG113" s="56">
        <f>$BT113-$BT114</f>
        <v/>
      </c>
      <c r="EH113" s="56">
        <f>$BU113-$BU114</f>
        <v/>
      </c>
    </row>
    <row r="114">
      <c r="BV114" s="56">
        <f>($D114-$D115)*100</f>
        <v/>
      </c>
      <c r="BW114" s="56">
        <f>($C114-$C115)*100</f>
        <v/>
      </c>
      <c r="BX114" s="57">
        <f>IFERROR($I114/$I115-1,"")</f>
        <v/>
      </c>
      <c r="BY114" s="56">
        <f>($AF114-$AF115)*100</f>
        <v/>
      </c>
      <c r="BZ114" s="56">
        <f>($AG114-$AG115)*100</f>
        <v/>
      </c>
      <c r="CA114" s="56">
        <f>($AH114-$AH115)*100</f>
        <v/>
      </c>
      <c r="CB114" s="56">
        <f>($AI114-$AI115)*100</f>
        <v/>
      </c>
      <c r="CC114" s="56">
        <f>($AJ114-$AJ115)*100</f>
        <v/>
      </c>
      <c r="CD114" s="56">
        <f>($AK114-$AK115)*100</f>
        <v/>
      </c>
      <c r="CE114" s="56">
        <f>($AL114-$AL115)*100</f>
        <v/>
      </c>
      <c r="CF114" s="56">
        <f>($AM114-$AM115)*100</f>
        <v/>
      </c>
      <c r="CG114" s="56">
        <f>($AN114-$AN115)*100</f>
        <v/>
      </c>
      <c r="CH114" s="56">
        <f>($AO114-$AO115)*100</f>
        <v/>
      </c>
      <c r="CI114" s="56">
        <f>($AP114-$AP115)*100</f>
        <v/>
      </c>
      <c r="CJ114" s="56">
        <f>($AQ114-$AQ115)*100</f>
        <v/>
      </c>
      <c r="CK114" s="56">
        <f>($AR114-$AR115)*100</f>
        <v/>
      </c>
      <c r="CL114" s="56">
        <f>($AS114-$AS115)*100</f>
        <v/>
      </c>
      <c r="CM114" s="56">
        <f>($AT114-$AT115)*100</f>
        <v/>
      </c>
      <c r="CN114" s="56">
        <f>($AU114-$AU115)*100</f>
        <v/>
      </c>
      <c r="CO114" s="56">
        <f>($AV114-$AV115)*100</f>
        <v/>
      </c>
      <c r="CP114" s="56">
        <f>($AW114-$AW115)*100</f>
        <v/>
      </c>
      <c r="CQ114" s="56">
        <f>($AX114-$AX115)*100</f>
        <v/>
      </c>
      <c r="CR114" s="56">
        <f>($AY114-$AY115)*100</f>
        <v/>
      </c>
      <c r="CS114" s="57">
        <f>IFERROR($L115/$L114-1,"")</f>
        <v/>
      </c>
      <c r="CT114" s="57">
        <f>IFERROR($M115/$M114-1,"")</f>
        <v/>
      </c>
      <c r="CU114" s="57">
        <f>IFERROR($N115/$N114-1,"")</f>
        <v/>
      </c>
      <c r="CV114" s="57">
        <f>IFERROR($O115/$O114-1,"")</f>
        <v/>
      </c>
      <c r="CW114" s="57">
        <f>IFERROR($P115/$P114-1,"")</f>
        <v/>
      </c>
      <c r="CX114" s="57">
        <f>IFERROR($Q115/$Q114-1,"")</f>
        <v/>
      </c>
      <c r="CY114" s="57">
        <f>IFERROR($R115/$R114-1,"")</f>
        <v/>
      </c>
      <c r="CZ114" s="57">
        <f>IFERROR($S115/$S114-1,"")</f>
        <v/>
      </c>
      <c r="DA114" s="57">
        <f>IFERROR($T115/$T114-1,"")</f>
        <v/>
      </c>
      <c r="DB114" s="57">
        <f>IFERROR($U115/$U114-1,"")</f>
        <v/>
      </c>
      <c r="DC114" s="57">
        <f>IFERROR($V115/$V114-1,"")</f>
        <v/>
      </c>
      <c r="DD114" s="57">
        <f>IFERROR($W115/$W114-1,"")</f>
        <v/>
      </c>
      <c r="DE114" s="57">
        <f>IFERROR($X115/$X114-1,"")</f>
        <v/>
      </c>
      <c r="DF114" s="57">
        <f>IFERROR($Y115/$Y114-1,"")</f>
        <v/>
      </c>
      <c r="DG114" s="57">
        <f>IFERROR($Z115/$Z114-1,"")</f>
        <v/>
      </c>
      <c r="DH114" s="57">
        <f>IFERROR($AA115/$AA114-1,"")</f>
        <v/>
      </c>
      <c r="DI114" s="57">
        <f>IFERROR($AB115/$AB114-1,"")</f>
        <v/>
      </c>
      <c r="DJ114" s="57">
        <f>IFERROR($AC115/$AC114-1,"")</f>
        <v/>
      </c>
      <c r="DK114" s="57">
        <f>IFERROR($AD115/$AD114-1,"")</f>
        <v/>
      </c>
      <c r="DL114" s="57">
        <f>IFERROR($AE115/$AE114-1,"")</f>
        <v/>
      </c>
      <c r="DM114" s="56">
        <f>$AZ114-$AZ115</f>
        <v/>
      </c>
      <c r="DN114" s="56">
        <f>$BA114-$BA115</f>
        <v/>
      </c>
      <c r="DO114" s="56">
        <f>$BB114-$BB115</f>
        <v/>
      </c>
      <c r="DP114" s="56">
        <f>$BC114-$BC115</f>
        <v/>
      </c>
      <c r="DQ114" s="56">
        <f>$BD114-$BD115</f>
        <v/>
      </c>
      <c r="DR114" s="56">
        <f>$BE114-$BE115</f>
        <v/>
      </c>
      <c r="DS114" s="56">
        <f>$BF114-$BF115</f>
        <v/>
      </c>
      <c r="DT114" s="56">
        <f>$BG114-$BG115</f>
        <v/>
      </c>
      <c r="DU114" s="56">
        <f>$BH114-$BH115</f>
        <v/>
      </c>
      <c r="DV114" s="56">
        <f>$BI114-$BI115</f>
        <v/>
      </c>
      <c r="DW114" s="56">
        <f>$BJ114-$BJ115</f>
        <v/>
      </c>
      <c r="DX114" s="56">
        <f>$BK114-$BK115</f>
        <v/>
      </c>
      <c r="DY114" s="56">
        <f>$BL114-$BL115</f>
        <v/>
      </c>
      <c r="DZ114" s="56">
        <f>$BM114-$BM115</f>
        <v/>
      </c>
      <c r="EA114" s="56">
        <f>$BN114-$BN115</f>
        <v/>
      </c>
      <c r="EB114" s="56">
        <f>$BO114-$BO115</f>
        <v/>
      </c>
      <c r="EC114" s="56">
        <f>$BP114-$BP115</f>
        <v/>
      </c>
      <c r="ED114" s="56">
        <f>$BQ114-$BQ115</f>
        <v/>
      </c>
      <c r="EE114" s="56">
        <f>$BR114-$BR115</f>
        <v/>
      </c>
      <c r="EF114" s="56">
        <f>$BS114-$BS115</f>
        <v/>
      </c>
      <c r="EG114" s="56">
        <f>$BT114-$BT115</f>
        <v/>
      </c>
      <c r="EH114" s="56">
        <f>$BU114-$BU115</f>
        <v/>
      </c>
    </row>
    <row r="115">
      <c r="BV115" s="56">
        <f>($D115-$D116)*100</f>
        <v/>
      </c>
      <c r="BW115" s="56">
        <f>($C115-$C116)*100</f>
        <v/>
      </c>
      <c r="BX115" s="57">
        <f>IFERROR($I115/$I116-1,"")</f>
        <v/>
      </c>
      <c r="BY115" s="56">
        <f>($AF115-$AF116)*100</f>
        <v/>
      </c>
      <c r="BZ115" s="56">
        <f>($AG115-$AG116)*100</f>
        <v/>
      </c>
      <c r="CA115" s="56">
        <f>($AH115-$AH116)*100</f>
        <v/>
      </c>
      <c r="CB115" s="56">
        <f>($AI115-$AI116)*100</f>
        <v/>
      </c>
      <c r="CC115" s="56">
        <f>($AJ115-$AJ116)*100</f>
        <v/>
      </c>
      <c r="CD115" s="56">
        <f>($AK115-$AK116)*100</f>
        <v/>
      </c>
      <c r="CE115" s="56">
        <f>($AL115-$AL116)*100</f>
        <v/>
      </c>
      <c r="CF115" s="56">
        <f>($AM115-$AM116)*100</f>
        <v/>
      </c>
      <c r="CG115" s="56">
        <f>($AN115-$AN116)*100</f>
        <v/>
      </c>
      <c r="CH115" s="56">
        <f>($AO115-$AO116)*100</f>
        <v/>
      </c>
      <c r="CI115" s="56">
        <f>($AP115-$AP116)*100</f>
        <v/>
      </c>
      <c r="CJ115" s="56">
        <f>($AQ115-$AQ116)*100</f>
        <v/>
      </c>
      <c r="CK115" s="56">
        <f>($AR115-$AR116)*100</f>
        <v/>
      </c>
      <c r="CL115" s="56">
        <f>($AS115-$AS116)*100</f>
        <v/>
      </c>
      <c r="CM115" s="56">
        <f>($AT115-$AT116)*100</f>
        <v/>
      </c>
      <c r="CN115" s="56">
        <f>($AU115-$AU116)*100</f>
        <v/>
      </c>
      <c r="CO115" s="56">
        <f>($AV115-$AV116)*100</f>
        <v/>
      </c>
      <c r="CP115" s="56">
        <f>($AW115-$AW116)*100</f>
        <v/>
      </c>
      <c r="CQ115" s="56">
        <f>($AX115-$AX116)*100</f>
        <v/>
      </c>
      <c r="CR115" s="56">
        <f>($AY115-$AY116)*100</f>
        <v/>
      </c>
      <c r="CS115" s="57">
        <f>IFERROR($L116/$L115-1,"")</f>
        <v/>
      </c>
      <c r="CT115" s="57">
        <f>IFERROR($M116/$M115-1,"")</f>
        <v/>
      </c>
      <c r="CU115" s="57">
        <f>IFERROR($N116/$N115-1,"")</f>
        <v/>
      </c>
      <c r="CV115" s="57">
        <f>IFERROR($O116/$O115-1,"")</f>
        <v/>
      </c>
      <c r="CW115" s="57">
        <f>IFERROR($P116/$P115-1,"")</f>
        <v/>
      </c>
      <c r="CX115" s="57">
        <f>IFERROR($Q116/$Q115-1,"")</f>
        <v/>
      </c>
      <c r="CY115" s="57">
        <f>IFERROR($R116/$R115-1,"")</f>
        <v/>
      </c>
      <c r="CZ115" s="57">
        <f>IFERROR($S116/$S115-1,"")</f>
        <v/>
      </c>
      <c r="DA115" s="57">
        <f>IFERROR($T116/$T115-1,"")</f>
        <v/>
      </c>
      <c r="DB115" s="57">
        <f>IFERROR($U116/$U115-1,"")</f>
        <v/>
      </c>
      <c r="DC115" s="57">
        <f>IFERROR($V116/$V115-1,"")</f>
        <v/>
      </c>
      <c r="DD115" s="57">
        <f>IFERROR($W116/$W115-1,"")</f>
        <v/>
      </c>
      <c r="DE115" s="57">
        <f>IFERROR($X116/$X115-1,"")</f>
        <v/>
      </c>
      <c r="DF115" s="57">
        <f>IFERROR($Y116/$Y115-1,"")</f>
        <v/>
      </c>
      <c r="DG115" s="57">
        <f>IFERROR($Z116/$Z115-1,"")</f>
        <v/>
      </c>
      <c r="DH115" s="57">
        <f>IFERROR($AA116/$AA115-1,"")</f>
        <v/>
      </c>
      <c r="DI115" s="57">
        <f>IFERROR($AB116/$AB115-1,"")</f>
        <v/>
      </c>
      <c r="DJ115" s="57">
        <f>IFERROR($AC116/$AC115-1,"")</f>
        <v/>
      </c>
      <c r="DK115" s="57">
        <f>IFERROR($AD116/$AD115-1,"")</f>
        <v/>
      </c>
      <c r="DL115" s="57">
        <f>IFERROR($AE116/$AE115-1,"")</f>
        <v/>
      </c>
      <c r="DM115" s="56">
        <f>$AZ115-$AZ116</f>
        <v/>
      </c>
      <c r="DN115" s="56">
        <f>$BA115-$BA116</f>
        <v/>
      </c>
      <c r="DO115" s="56">
        <f>$BB115-$BB116</f>
        <v/>
      </c>
      <c r="DP115" s="56">
        <f>$BC115-$BC116</f>
        <v/>
      </c>
      <c r="DQ115" s="56">
        <f>$BD115-$BD116</f>
        <v/>
      </c>
      <c r="DR115" s="56">
        <f>$BE115-$BE116</f>
        <v/>
      </c>
      <c r="DS115" s="56">
        <f>$BF115-$BF116</f>
        <v/>
      </c>
      <c r="DT115" s="56">
        <f>$BG115-$BG116</f>
        <v/>
      </c>
      <c r="DU115" s="56">
        <f>$BH115-$BH116</f>
        <v/>
      </c>
      <c r="DV115" s="56">
        <f>$BI115-$BI116</f>
        <v/>
      </c>
      <c r="DW115" s="56">
        <f>$BJ115-$BJ116</f>
        <v/>
      </c>
      <c r="DX115" s="56">
        <f>$BK115-$BK116</f>
        <v/>
      </c>
      <c r="DY115" s="56">
        <f>$BL115-$BL116</f>
        <v/>
      </c>
      <c r="DZ115" s="56">
        <f>$BM115-$BM116</f>
        <v/>
      </c>
      <c r="EA115" s="56">
        <f>$BN115-$BN116</f>
        <v/>
      </c>
      <c r="EB115" s="56">
        <f>$BO115-$BO116</f>
        <v/>
      </c>
      <c r="EC115" s="56">
        <f>$BP115-$BP116</f>
        <v/>
      </c>
      <c r="ED115" s="56">
        <f>$BQ115-$BQ116</f>
        <v/>
      </c>
      <c r="EE115" s="56">
        <f>$BR115-$BR116</f>
        <v/>
      </c>
      <c r="EF115" s="56">
        <f>$BS115-$BS116</f>
        <v/>
      </c>
      <c r="EG115" s="56">
        <f>$BT115-$BT116</f>
        <v/>
      </c>
      <c r="EH115" s="56">
        <f>$BU115-$BU116</f>
        <v/>
      </c>
    </row>
    <row r="116">
      <c r="BV116" s="56">
        <f>($D116-$D117)*100</f>
        <v/>
      </c>
      <c r="BW116" s="56">
        <f>($C116-$C117)*100</f>
        <v/>
      </c>
      <c r="BX116" s="57">
        <f>IFERROR($I116/$I117-1,"")</f>
        <v/>
      </c>
      <c r="BY116" s="56">
        <f>($AF116-$AF117)*100</f>
        <v/>
      </c>
      <c r="BZ116" s="56">
        <f>($AG116-$AG117)*100</f>
        <v/>
      </c>
      <c r="CA116" s="56">
        <f>($AH116-$AH117)*100</f>
        <v/>
      </c>
      <c r="CB116" s="56">
        <f>($AI116-$AI117)*100</f>
        <v/>
      </c>
      <c r="CC116" s="56">
        <f>($AJ116-$AJ117)*100</f>
        <v/>
      </c>
      <c r="CD116" s="56">
        <f>($AK116-$AK117)*100</f>
        <v/>
      </c>
      <c r="CE116" s="56">
        <f>($AL116-$AL117)*100</f>
        <v/>
      </c>
      <c r="CF116" s="56">
        <f>($AM116-$AM117)*100</f>
        <v/>
      </c>
      <c r="CG116" s="56">
        <f>($AN116-$AN117)*100</f>
        <v/>
      </c>
      <c r="CH116" s="56">
        <f>($AO116-$AO117)*100</f>
        <v/>
      </c>
      <c r="CI116" s="56">
        <f>($AP116-$AP117)*100</f>
        <v/>
      </c>
      <c r="CJ116" s="56">
        <f>($AQ116-$AQ117)*100</f>
        <v/>
      </c>
      <c r="CK116" s="56">
        <f>($AR116-$AR117)*100</f>
        <v/>
      </c>
      <c r="CL116" s="56">
        <f>($AS116-$AS117)*100</f>
        <v/>
      </c>
      <c r="CM116" s="56">
        <f>($AT116-$AT117)*100</f>
        <v/>
      </c>
      <c r="CN116" s="56">
        <f>($AU116-$AU117)*100</f>
        <v/>
      </c>
      <c r="CO116" s="56">
        <f>($AV116-$AV117)*100</f>
        <v/>
      </c>
      <c r="CP116" s="56">
        <f>($AW116-$AW117)*100</f>
        <v/>
      </c>
      <c r="CQ116" s="56">
        <f>($AX116-$AX117)*100</f>
        <v/>
      </c>
      <c r="CR116" s="56">
        <f>($AY116-$AY117)*100</f>
        <v/>
      </c>
      <c r="CS116" s="57">
        <f>IFERROR($L117/$L116-1,"")</f>
        <v/>
      </c>
      <c r="CT116" s="57">
        <f>IFERROR($M117/$M116-1,"")</f>
        <v/>
      </c>
      <c r="CU116" s="57">
        <f>IFERROR($N117/$N116-1,"")</f>
        <v/>
      </c>
      <c r="CV116" s="57">
        <f>IFERROR($O117/$O116-1,"")</f>
        <v/>
      </c>
      <c r="CW116" s="57">
        <f>IFERROR($P117/$P116-1,"")</f>
        <v/>
      </c>
      <c r="CX116" s="57">
        <f>IFERROR($Q117/$Q116-1,"")</f>
        <v/>
      </c>
      <c r="CY116" s="57">
        <f>IFERROR($R117/$R116-1,"")</f>
        <v/>
      </c>
      <c r="CZ116" s="57">
        <f>IFERROR($S117/$S116-1,"")</f>
        <v/>
      </c>
      <c r="DA116" s="57">
        <f>IFERROR($T117/$T116-1,"")</f>
        <v/>
      </c>
      <c r="DB116" s="57">
        <f>IFERROR($U117/$U116-1,"")</f>
        <v/>
      </c>
      <c r="DC116" s="57">
        <f>IFERROR($V117/$V116-1,"")</f>
        <v/>
      </c>
      <c r="DD116" s="57">
        <f>IFERROR($W117/$W116-1,"")</f>
        <v/>
      </c>
      <c r="DE116" s="57">
        <f>IFERROR($X117/$X116-1,"")</f>
        <v/>
      </c>
      <c r="DF116" s="57">
        <f>IFERROR($Y117/$Y116-1,"")</f>
        <v/>
      </c>
      <c r="DG116" s="57">
        <f>IFERROR($Z117/$Z116-1,"")</f>
        <v/>
      </c>
      <c r="DH116" s="57">
        <f>IFERROR($AA117/$AA116-1,"")</f>
        <v/>
      </c>
      <c r="DI116" s="57">
        <f>IFERROR($AB117/$AB116-1,"")</f>
        <v/>
      </c>
      <c r="DJ116" s="57">
        <f>IFERROR($AC117/$AC116-1,"")</f>
        <v/>
      </c>
      <c r="DK116" s="57">
        <f>IFERROR($AD117/$AD116-1,"")</f>
        <v/>
      </c>
      <c r="DL116" s="57">
        <f>IFERROR($AE117/$AE116-1,"")</f>
        <v/>
      </c>
      <c r="DM116" s="56">
        <f>$AZ116-$AZ117</f>
        <v/>
      </c>
      <c r="DN116" s="56">
        <f>$BA116-$BA117</f>
        <v/>
      </c>
      <c r="DO116" s="56">
        <f>$BB116-$BB117</f>
        <v/>
      </c>
      <c r="DP116" s="56">
        <f>$BC116-$BC117</f>
        <v/>
      </c>
      <c r="DQ116" s="56">
        <f>$BD116-$BD117</f>
        <v/>
      </c>
      <c r="DR116" s="56">
        <f>$BE116-$BE117</f>
        <v/>
      </c>
      <c r="DS116" s="56">
        <f>$BF116-$BF117</f>
        <v/>
      </c>
      <c r="DT116" s="56">
        <f>$BG116-$BG117</f>
        <v/>
      </c>
      <c r="DU116" s="56">
        <f>$BH116-$BH117</f>
        <v/>
      </c>
      <c r="DV116" s="56">
        <f>$BI116-$BI117</f>
        <v/>
      </c>
      <c r="DW116" s="56">
        <f>$BJ116-$BJ117</f>
        <v/>
      </c>
      <c r="DX116" s="56">
        <f>$BK116-$BK117</f>
        <v/>
      </c>
      <c r="DY116" s="56">
        <f>$BL116-$BL117</f>
        <v/>
      </c>
      <c r="DZ116" s="56">
        <f>$BM116-$BM117</f>
        <v/>
      </c>
      <c r="EA116" s="56">
        <f>$BN116-$BN117</f>
        <v/>
      </c>
      <c r="EB116" s="56">
        <f>$BO116-$BO117</f>
        <v/>
      </c>
      <c r="EC116" s="56">
        <f>$BP116-$BP117</f>
        <v/>
      </c>
      <c r="ED116" s="56">
        <f>$BQ116-$BQ117</f>
        <v/>
      </c>
      <c r="EE116" s="56">
        <f>$BR116-$BR117</f>
        <v/>
      </c>
      <c r="EF116" s="56">
        <f>$BS116-$BS117</f>
        <v/>
      </c>
      <c r="EG116" s="56">
        <f>$BT116-$BT117</f>
        <v/>
      </c>
      <c r="EH116" s="56">
        <f>$BU116-$BU117</f>
        <v/>
      </c>
    </row>
    <row r="117">
      <c r="BV117" s="56">
        <f>($D117-$D118)*100</f>
        <v/>
      </c>
      <c r="BW117" s="56">
        <f>($C117-$C118)*100</f>
        <v/>
      </c>
      <c r="BX117" s="57">
        <f>IFERROR($I117/$I118-1,"")</f>
        <v/>
      </c>
      <c r="BY117" s="56">
        <f>($AF117-$AF118)*100</f>
        <v/>
      </c>
      <c r="BZ117" s="56">
        <f>($AG117-$AG118)*100</f>
        <v/>
      </c>
      <c r="CA117" s="56">
        <f>($AH117-$AH118)*100</f>
        <v/>
      </c>
      <c r="CB117" s="56">
        <f>($AI117-$AI118)*100</f>
        <v/>
      </c>
      <c r="CC117" s="56">
        <f>($AJ117-$AJ118)*100</f>
        <v/>
      </c>
      <c r="CD117" s="56">
        <f>($AK117-$AK118)*100</f>
        <v/>
      </c>
      <c r="CE117" s="56">
        <f>($AL117-$AL118)*100</f>
        <v/>
      </c>
      <c r="CF117" s="56">
        <f>($AM117-$AM118)*100</f>
        <v/>
      </c>
      <c r="CG117" s="56">
        <f>($AN117-$AN118)*100</f>
        <v/>
      </c>
      <c r="CH117" s="56">
        <f>($AO117-$AO118)*100</f>
        <v/>
      </c>
      <c r="CI117" s="56">
        <f>($AP117-$AP118)*100</f>
        <v/>
      </c>
      <c r="CJ117" s="56">
        <f>($AQ117-$AQ118)*100</f>
        <v/>
      </c>
      <c r="CK117" s="56">
        <f>($AR117-$AR118)*100</f>
        <v/>
      </c>
      <c r="CL117" s="56">
        <f>($AS117-$AS118)*100</f>
        <v/>
      </c>
      <c r="CM117" s="56">
        <f>($AT117-$AT118)*100</f>
        <v/>
      </c>
      <c r="CN117" s="56">
        <f>($AU117-$AU118)*100</f>
        <v/>
      </c>
      <c r="CO117" s="56">
        <f>($AV117-$AV118)*100</f>
        <v/>
      </c>
      <c r="CP117" s="56">
        <f>($AW117-$AW118)*100</f>
        <v/>
      </c>
      <c r="CQ117" s="56">
        <f>($AX117-$AX118)*100</f>
        <v/>
      </c>
      <c r="CR117" s="56">
        <f>($AY117-$AY118)*100</f>
        <v/>
      </c>
      <c r="CS117" s="57">
        <f>IFERROR($L118/$L117-1,"")</f>
        <v/>
      </c>
      <c r="CT117" s="57">
        <f>IFERROR($M118/$M117-1,"")</f>
        <v/>
      </c>
      <c r="CU117" s="57">
        <f>IFERROR($N118/$N117-1,"")</f>
        <v/>
      </c>
      <c r="CV117" s="57">
        <f>IFERROR($O118/$O117-1,"")</f>
        <v/>
      </c>
      <c r="CW117" s="57">
        <f>IFERROR($P118/$P117-1,"")</f>
        <v/>
      </c>
      <c r="CX117" s="57">
        <f>IFERROR($Q118/$Q117-1,"")</f>
        <v/>
      </c>
      <c r="CY117" s="57">
        <f>IFERROR($R118/$R117-1,"")</f>
        <v/>
      </c>
      <c r="CZ117" s="57">
        <f>IFERROR($S118/$S117-1,"")</f>
        <v/>
      </c>
      <c r="DA117" s="57">
        <f>IFERROR($T118/$T117-1,"")</f>
        <v/>
      </c>
      <c r="DB117" s="57">
        <f>IFERROR($U118/$U117-1,"")</f>
        <v/>
      </c>
      <c r="DC117" s="57">
        <f>IFERROR($V118/$V117-1,"")</f>
        <v/>
      </c>
      <c r="DD117" s="57">
        <f>IFERROR($W118/$W117-1,"")</f>
        <v/>
      </c>
      <c r="DE117" s="57">
        <f>IFERROR($X118/$X117-1,"")</f>
        <v/>
      </c>
      <c r="DF117" s="57">
        <f>IFERROR($Y118/$Y117-1,"")</f>
        <v/>
      </c>
      <c r="DG117" s="57">
        <f>IFERROR($Z118/$Z117-1,"")</f>
        <v/>
      </c>
      <c r="DH117" s="57">
        <f>IFERROR($AA118/$AA117-1,"")</f>
        <v/>
      </c>
      <c r="DI117" s="57">
        <f>IFERROR($AB118/$AB117-1,"")</f>
        <v/>
      </c>
      <c r="DJ117" s="57">
        <f>IFERROR($AC118/$AC117-1,"")</f>
        <v/>
      </c>
      <c r="DK117" s="57">
        <f>IFERROR($AD118/$AD117-1,"")</f>
        <v/>
      </c>
      <c r="DL117" s="57">
        <f>IFERROR($AE118/$AE117-1,"")</f>
        <v/>
      </c>
      <c r="DM117" s="56">
        <f>$AZ117-$AZ118</f>
        <v/>
      </c>
      <c r="DN117" s="56">
        <f>$BA117-$BA118</f>
        <v/>
      </c>
      <c r="DO117" s="56">
        <f>$BB117-$BB118</f>
        <v/>
      </c>
      <c r="DP117" s="56">
        <f>$BC117-$BC118</f>
        <v/>
      </c>
      <c r="DQ117" s="56">
        <f>$BD117-$BD118</f>
        <v/>
      </c>
      <c r="DR117" s="56">
        <f>$BE117-$BE118</f>
        <v/>
      </c>
      <c r="DS117" s="56">
        <f>$BF117-$BF118</f>
        <v/>
      </c>
      <c r="DT117" s="56">
        <f>$BG117-$BG118</f>
        <v/>
      </c>
      <c r="DU117" s="56">
        <f>$BH117-$BH118</f>
        <v/>
      </c>
      <c r="DV117" s="56">
        <f>$BI117-$BI118</f>
        <v/>
      </c>
      <c r="DW117" s="56">
        <f>$BJ117-$BJ118</f>
        <v/>
      </c>
      <c r="DX117" s="56">
        <f>$BK117-$BK118</f>
        <v/>
      </c>
      <c r="DY117" s="56">
        <f>$BL117-$BL118</f>
        <v/>
      </c>
      <c r="DZ117" s="56">
        <f>$BM117-$BM118</f>
        <v/>
      </c>
      <c r="EA117" s="56">
        <f>$BN117-$BN118</f>
        <v/>
      </c>
      <c r="EB117" s="56">
        <f>$BO117-$BO118</f>
        <v/>
      </c>
      <c r="EC117" s="56">
        <f>$BP117-$BP118</f>
        <v/>
      </c>
      <c r="ED117" s="56">
        <f>$BQ117-$BQ118</f>
        <v/>
      </c>
      <c r="EE117" s="56">
        <f>$BR117-$BR118</f>
        <v/>
      </c>
      <c r="EF117" s="56">
        <f>$BS117-$BS118</f>
        <v/>
      </c>
      <c r="EG117" s="56">
        <f>$BT117-$BT118</f>
        <v/>
      </c>
      <c r="EH117" s="56">
        <f>$BU117-$BU118</f>
        <v/>
      </c>
    </row>
    <row r="118">
      <c r="BV118" s="56">
        <f>($D118-$D119)*100</f>
        <v/>
      </c>
      <c r="BW118" s="56">
        <f>($C118-$C119)*100</f>
        <v/>
      </c>
      <c r="BX118" s="57">
        <f>IFERROR($I118/$I119-1,"")</f>
        <v/>
      </c>
      <c r="BY118" s="56">
        <f>($AF118-$AF119)*100</f>
        <v/>
      </c>
      <c r="BZ118" s="56">
        <f>($AG118-$AG119)*100</f>
        <v/>
      </c>
      <c r="CA118" s="56">
        <f>($AH118-$AH119)*100</f>
        <v/>
      </c>
      <c r="CB118" s="56">
        <f>($AI118-$AI119)*100</f>
        <v/>
      </c>
      <c r="CC118" s="56">
        <f>($AJ118-$AJ119)*100</f>
        <v/>
      </c>
      <c r="CD118" s="56">
        <f>($AK118-$AK119)*100</f>
        <v/>
      </c>
      <c r="CE118" s="56">
        <f>($AL118-$AL119)*100</f>
        <v/>
      </c>
      <c r="CF118" s="56">
        <f>($AM118-$AM119)*100</f>
        <v/>
      </c>
      <c r="CG118" s="56">
        <f>($AN118-$AN119)*100</f>
        <v/>
      </c>
      <c r="CH118" s="56">
        <f>($AO118-$AO119)*100</f>
        <v/>
      </c>
      <c r="CI118" s="56">
        <f>($AP118-$AP119)*100</f>
        <v/>
      </c>
      <c r="CJ118" s="56">
        <f>($AQ118-$AQ119)*100</f>
        <v/>
      </c>
      <c r="CK118" s="56">
        <f>($AR118-$AR119)*100</f>
        <v/>
      </c>
      <c r="CL118" s="56">
        <f>($AS118-$AS119)*100</f>
        <v/>
      </c>
      <c r="CM118" s="56">
        <f>($AT118-$AT119)*100</f>
        <v/>
      </c>
      <c r="CN118" s="56">
        <f>($AU118-$AU119)*100</f>
        <v/>
      </c>
      <c r="CO118" s="56">
        <f>($AV118-$AV119)*100</f>
        <v/>
      </c>
      <c r="CP118" s="56">
        <f>($AW118-$AW119)*100</f>
        <v/>
      </c>
      <c r="CQ118" s="56">
        <f>($AX118-$AX119)*100</f>
        <v/>
      </c>
      <c r="CR118" s="56">
        <f>($AY118-$AY119)*100</f>
        <v/>
      </c>
      <c r="CS118" s="57">
        <f>IFERROR($L119/$L118-1,"")</f>
        <v/>
      </c>
      <c r="CT118" s="57">
        <f>IFERROR($M119/$M118-1,"")</f>
        <v/>
      </c>
      <c r="CU118" s="57">
        <f>IFERROR($N119/$N118-1,"")</f>
        <v/>
      </c>
      <c r="CV118" s="57">
        <f>IFERROR($O119/$O118-1,"")</f>
        <v/>
      </c>
      <c r="CW118" s="57">
        <f>IFERROR($P119/$P118-1,"")</f>
        <v/>
      </c>
      <c r="CX118" s="57">
        <f>IFERROR($Q119/$Q118-1,"")</f>
        <v/>
      </c>
      <c r="CY118" s="57">
        <f>IFERROR($R119/$R118-1,"")</f>
        <v/>
      </c>
      <c r="CZ118" s="57">
        <f>IFERROR($S119/$S118-1,"")</f>
        <v/>
      </c>
      <c r="DA118" s="57">
        <f>IFERROR($T119/$T118-1,"")</f>
        <v/>
      </c>
      <c r="DB118" s="57">
        <f>IFERROR($U119/$U118-1,"")</f>
        <v/>
      </c>
      <c r="DC118" s="57">
        <f>IFERROR($V119/$V118-1,"")</f>
        <v/>
      </c>
      <c r="DD118" s="57">
        <f>IFERROR($W119/$W118-1,"")</f>
        <v/>
      </c>
      <c r="DE118" s="57">
        <f>IFERROR($X119/$X118-1,"")</f>
        <v/>
      </c>
      <c r="DF118" s="57">
        <f>IFERROR($Y119/$Y118-1,"")</f>
        <v/>
      </c>
      <c r="DG118" s="57">
        <f>IFERROR($Z119/$Z118-1,"")</f>
        <v/>
      </c>
      <c r="DH118" s="57">
        <f>IFERROR($AA119/$AA118-1,"")</f>
        <v/>
      </c>
      <c r="DI118" s="57">
        <f>IFERROR($AB119/$AB118-1,"")</f>
        <v/>
      </c>
      <c r="DJ118" s="57">
        <f>IFERROR($AC119/$AC118-1,"")</f>
        <v/>
      </c>
      <c r="DK118" s="57">
        <f>IFERROR($AD119/$AD118-1,"")</f>
        <v/>
      </c>
      <c r="DL118" s="57">
        <f>IFERROR($AE119/$AE118-1,"")</f>
        <v/>
      </c>
      <c r="DM118" s="56">
        <f>$AZ118-$AZ119</f>
        <v/>
      </c>
      <c r="DN118" s="56">
        <f>$BA118-$BA119</f>
        <v/>
      </c>
      <c r="DO118" s="56">
        <f>$BB118-$BB119</f>
        <v/>
      </c>
      <c r="DP118" s="56">
        <f>$BC118-$BC119</f>
        <v/>
      </c>
      <c r="DQ118" s="56">
        <f>$BD118-$BD119</f>
        <v/>
      </c>
      <c r="DR118" s="56">
        <f>$BE118-$BE119</f>
        <v/>
      </c>
      <c r="DS118" s="56">
        <f>$BF118-$BF119</f>
        <v/>
      </c>
      <c r="DT118" s="56">
        <f>$BG118-$BG119</f>
        <v/>
      </c>
      <c r="DU118" s="56">
        <f>$BH118-$BH119</f>
        <v/>
      </c>
      <c r="DV118" s="56">
        <f>$BI118-$BI119</f>
        <v/>
      </c>
      <c r="DW118" s="56">
        <f>$BJ118-$BJ119</f>
        <v/>
      </c>
      <c r="DX118" s="56">
        <f>$BK118-$BK119</f>
        <v/>
      </c>
      <c r="DY118" s="56">
        <f>$BL118-$BL119</f>
        <v/>
      </c>
      <c r="DZ118" s="56">
        <f>$BM118-$BM119</f>
        <v/>
      </c>
      <c r="EA118" s="56">
        <f>$BN118-$BN119</f>
        <v/>
      </c>
      <c r="EB118" s="56">
        <f>$BO118-$BO119</f>
        <v/>
      </c>
      <c r="EC118" s="56">
        <f>$BP118-$BP119</f>
        <v/>
      </c>
      <c r="ED118" s="56">
        <f>$BQ118-$BQ119</f>
        <v/>
      </c>
      <c r="EE118" s="56">
        <f>$BR118-$BR119</f>
        <v/>
      </c>
      <c r="EF118" s="56">
        <f>$BS118-$BS119</f>
        <v/>
      </c>
      <c r="EG118" s="56">
        <f>$BT118-$BT119</f>
        <v/>
      </c>
      <c r="EH118" s="56">
        <f>$BU118-$BU119</f>
        <v/>
      </c>
    </row>
    <row r="119">
      <c r="BV119" s="56">
        <f>($D119-$D120)*100</f>
        <v/>
      </c>
      <c r="BW119" s="56">
        <f>($C119-$C120)*100</f>
        <v/>
      </c>
      <c r="BX119" s="57">
        <f>IFERROR($I119/$I120-1,"")</f>
        <v/>
      </c>
      <c r="BY119" s="56">
        <f>($AF119-$AF120)*100</f>
        <v/>
      </c>
      <c r="BZ119" s="56">
        <f>($AG119-$AG120)*100</f>
        <v/>
      </c>
      <c r="CA119" s="56">
        <f>($AH119-$AH120)*100</f>
        <v/>
      </c>
      <c r="CB119" s="56">
        <f>($AI119-$AI120)*100</f>
        <v/>
      </c>
      <c r="CC119" s="56">
        <f>($AJ119-$AJ120)*100</f>
        <v/>
      </c>
      <c r="CD119" s="56">
        <f>($AK119-$AK120)*100</f>
        <v/>
      </c>
      <c r="CE119" s="56">
        <f>($AL119-$AL120)*100</f>
        <v/>
      </c>
      <c r="CF119" s="56">
        <f>($AM119-$AM120)*100</f>
        <v/>
      </c>
      <c r="CG119" s="56">
        <f>($AN119-$AN120)*100</f>
        <v/>
      </c>
      <c r="CH119" s="56">
        <f>($AO119-$AO120)*100</f>
        <v/>
      </c>
      <c r="CI119" s="56">
        <f>($AP119-$AP120)*100</f>
        <v/>
      </c>
      <c r="CJ119" s="56">
        <f>($AQ119-$AQ120)*100</f>
        <v/>
      </c>
      <c r="CK119" s="56">
        <f>($AR119-$AR120)*100</f>
        <v/>
      </c>
      <c r="CL119" s="56">
        <f>($AS119-$AS120)*100</f>
        <v/>
      </c>
      <c r="CM119" s="56">
        <f>($AT119-$AT120)*100</f>
        <v/>
      </c>
      <c r="CN119" s="56">
        <f>($AU119-$AU120)*100</f>
        <v/>
      </c>
      <c r="CO119" s="56">
        <f>($AV119-$AV120)*100</f>
        <v/>
      </c>
      <c r="CP119" s="56">
        <f>($AW119-$AW120)*100</f>
        <v/>
      </c>
      <c r="CQ119" s="56">
        <f>($AX119-$AX120)*100</f>
        <v/>
      </c>
      <c r="CR119" s="56">
        <f>($AY119-$AY120)*100</f>
        <v/>
      </c>
      <c r="CS119" s="57">
        <f>IFERROR($L120/$L119-1,"")</f>
        <v/>
      </c>
      <c r="CT119" s="57">
        <f>IFERROR($M120/$M119-1,"")</f>
        <v/>
      </c>
      <c r="CU119" s="57">
        <f>IFERROR($N120/$N119-1,"")</f>
        <v/>
      </c>
      <c r="CV119" s="57">
        <f>IFERROR($O120/$O119-1,"")</f>
        <v/>
      </c>
      <c r="CW119" s="57">
        <f>IFERROR($P120/$P119-1,"")</f>
        <v/>
      </c>
      <c r="CX119" s="57">
        <f>IFERROR($Q120/$Q119-1,"")</f>
        <v/>
      </c>
      <c r="CY119" s="57">
        <f>IFERROR($R120/$R119-1,"")</f>
        <v/>
      </c>
      <c r="CZ119" s="57">
        <f>IFERROR($S120/$S119-1,"")</f>
        <v/>
      </c>
      <c r="DA119" s="57">
        <f>IFERROR($T120/$T119-1,"")</f>
        <v/>
      </c>
      <c r="DB119" s="57">
        <f>IFERROR($U120/$U119-1,"")</f>
        <v/>
      </c>
      <c r="DC119" s="57">
        <f>IFERROR($V120/$V119-1,"")</f>
        <v/>
      </c>
      <c r="DD119" s="57">
        <f>IFERROR($W120/$W119-1,"")</f>
        <v/>
      </c>
      <c r="DE119" s="57">
        <f>IFERROR($X120/$X119-1,"")</f>
        <v/>
      </c>
      <c r="DF119" s="57">
        <f>IFERROR($Y120/$Y119-1,"")</f>
        <v/>
      </c>
      <c r="DG119" s="57">
        <f>IFERROR($Z120/$Z119-1,"")</f>
        <v/>
      </c>
      <c r="DH119" s="57">
        <f>IFERROR($AA120/$AA119-1,"")</f>
        <v/>
      </c>
      <c r="DI119" s="57">
        <f>IFERROR($AB120/$AB119-1,"")</f>
        <v/>
      </c>
      <c r="DJ119" s="57">
        <f>IFERROR($AC120/$AC119-1,"")</f>
        <v/>
      </c>
      <c r="DK119" s="57">
        <f>IFERROR($AD120/$AD119-1,"")</f>
        <v/>
      </c>
      <c r="DL119" s="57">
        <f>IFERROR($AE120/$AE119-1,"")</f>
        <v/>
      </c>
      <c r="DM119" s="56">
        <f>$AZ119-$AZ120</f>
        <v/>
      </c>
      <c r="DN119" s="56">
        <f>$BA119-$BA120</f>
        <v/>
      </c>
      <c r="DO119" s="56">
        <f>$BB119-$BB120</f>
        <v/>
      </c>
      <c r="DP119" s="56">
        <f>$BC119-$BC120</f>
        <v/>
      </c>
      <c r="DQ119" s="56">
        <f>$BD119-$BD120</f>
        <v/>
      </c>
      <c r="DR119" s="56">
        <f>$BE119-$BE120</f>
        <v/>
      </c>
      <c r="DS119" s="56">
        <f>$BF119-$BF120</f>
        <v/>
      </c>
      <c r="DT119" s="56">
        <f>$BG119-$BG120</f>
        <v/>
      </c>
      <c r="DU119" s="56">
        <f>$BH119-$BH120</f>
        <v/>
      </c>
      <c r="DV119" s="56">
        <f>$BI119-$BI120</f>
        <v/>
      </c>
      <c r="DW119" s="56">
        <f>$BJ119-$BJ120</f>
        <v/>
      </c>
      <c r="DX119" s="56">
        <f>$BK119-$BK120</f>
        <v/>
      </c>
      <c r="DY119" s="56">
        <f>$BL119-$BL120</f>
        <v/>
      </c>
      <c r="DZ119" s="56">
        <f>$BM119-$BM120</f>
        <v/>
      </c>
      <c r="EA119" s="56">
        <f>$BN119-$BN120</f>
        <v/>
      </c>
      <c r="EB119" s="56">
        <f>$BO119-$BO120</f>
        <v/>
      </c>
      <c r="EC119" s="56">
        <f>$BP119-$BP120</f>
        <v/>
      </c>
      <c r="ED119" s="56">
        <f>$BQ119-$BQ120</f>
        <v/>
      </c>
      <c r="EE119" s="56">
        <f>$BR119-$BR120</f>
        <v/>
      </c>
      <c r="EF119" s="56">
        <f>$BS119-$BS120</f>
        <v/>
      </c>
      <c r="EG119" s="56">
        <f>$BT119-$BT120</f>
        <v/>
      </c>
      <c r="EH119" s="56">
        <f>$BU119-$BU120</f>
        <v/>
      </c>
    </row>
    <row r="120">
      <c r="BV120" s="56">
        <f>($D120-$D121)*100</f>
        <v/>
      </c>
      <c r="BW120" s="56">
        <f>($C120-$C121)*100</f>
        <v/>
      </c>
      <c r="BX120" s="57">
        <f>IFERROR($I120/$I121-1,"")</f>
        <v/>
      </c>
      <c r="BY120" s="56">
        <f>($AF120-$AF121)*100</f>
        <v/>
      </c>
      <c r="BZ120" s="56">
        <f>($AG120-$AG121)*100</f>
        <v/>
      </c>
      <c r="CA120" s="56">
        <f>($AH120-$AH121)*100</f>
        <v/>
      </c>
      <c r="CB120" s="56">
        <f>($AI120-$AI121)*100</f>
        <v/>
      </c>
      <c r="CC120" s="56">
        <f>($AJ120-$AJ121)*100</f>
        <v/>
      </c>
      <c r="CD120" s="56">
        <f>($AK120-$AK121)*100</f>
        <v/>
      </c>
      <c r="CE120" s="56">
        <f>($AL120-$AL121)*100</f>
        <v/>
      </c>
      <c r="CF120" s="56">
        <f>($AM120-$AM121)*100</f>
        <v/>
      </c>
      <c r="CG120" s="56">
        <f>($AN120-$AN121)*100</f>
        <v/>
      </c>
      <c r="CH120" s="56">
        <f>($AO120-$AO121)*100</f>
        <v/>
      </c>
      <c r="CI120" s="56">
        <f>($AP120-$AP121)*100</f>
        <v/>
      </c>
      <c r="CJ120" s="56">
        <f>($AQ120-$AQ121)*100</f>
        <v/>
      </c>
      <c r="CK120" s="56">
        <f>($AR120-$AR121)*100</f>
        <v/>
      </c>
      <c r="CL120" s="56">
        <f>($AS120-$AS121)*100</f>
        <v/>
      </c>
      <c r="CM120" s="56">
        <f>($AT120-$AT121)*100</f>
        <v/>
      </c>
      <c r="CN120" s="56">
        <f>($AU120-$AU121)*100</f>
        <v/>
      </c>
      <c r="CO120" s="56">
        <f>($AV120-$AV121)*100</f>
        <v/>
      </c>
      <c r="CP120" s="56">
        <f>($AW120-$AW121)*100</f>
        <v/>
      </c>
      <c r="CQ120" s="56">
        <f>($AX120-$AX121)*100</f>
        <v/>
      </c>
      <c r="CR120" s="56">
        <f>($AY120-$AY121)*100</f>
        <v/>
      </c>
      <c r="CS120" s="57">
        <f>IFERROR($L121/$L120-1,"")</f>
        <v/>
      </c>
      <c r="CT120" s="57">
        <f>IFERROR($M121/$M120-1,"")</f>
        <v/>
      </c>
      <c r="CU120" s="57">
        <f>IFERROR($N121/$N120-1,"")</f>
        <v/>
      </c>
      <c r="CV120" s="57">
        <f>IFERROR($O121/$O120-1,"")</f>
        <v/>
      </c>
      <c r="CW120" s="57">
        <f>IFERROR($P121/$P120-1,"")</f>
        <v/>
      </c>
      <c r="CX120" s="57">
        <f>IFERROR($Q121/$Q120-1,"")</f>
        <v/>
      </c>
      <c r="CY120" s="57">
        <f>IFERROR($R121/$R120-1,"")</f>
        <v/>
      </c>
      <c r="CZ120" s="57">
        <f>IFERROR($S121/$S120-1,"")</f>
        <v/>
      </c>
      <c r="DA120" s="57">
        <f>IFERROR($T121/$T120-1,"")</f>
        <v/>
      </c>
      <c r="DB120" s="57">
        <f>IFERROR($U121/$U120-1,"")</f>
        <v/>
      </c>
      <c r="DC120" s="57">
        <f>IFERROR($V121/$V120-1,"")</f>
        <v/>
      </c>
      <c r="DD120" s="57">
        <f>IFERROR($W121/$W120-1,"")</f>
        <v/>
      </c>
      <c r="DE120" s="57">
        <f>IFERROR($X121/$X120-1,"")</f>
        <v/>
      </c>
      <c r="DF120" s="57">
        <f>IFERROR($Y121/$Y120-1,"")</f>
        <v/>
      </c>
      <c r="DG120" s="57">
        <f>IFERROR($Z121/$Z120-1,"")</f>
        <v/>
      </c>
      <c r="DH120" s="57">
        <f>IFERROR($AA121/$AA120-1,"")</f>
        <v/>
      </c>
      <c r="DI120" s="57">
        <f>IFERROR($AB121/$AB120-1,"")</f>
        <v/>
      </c>
      <c r="DJ120" s="57">
        <f>IFERROR($AC121/$AC120-1,"")</f>
        <v/>
      </c>
      <c r="DK120" s="57">
        <f>IFERROR($AD121/$AD120-1,"")</f>
        <v/>
      </c>
      <c r="DL120" s="57">
        <f>IFERROR($AE121/$AE120-1,"")</f>
        <v/>
      </c>
      <c r="DM120" s="56">
        <f>$AZ120-$AZ121</f>
        <v/>
      </c>
      <c r="DN120" s="56">
        <f>$BA120-$BA121</f>
        <v/>
      </c>
      <c r="DO120" s="56">
        <f>$BB120-$BB121</f>
        <v/>
      </c>
      <c r="DP120" s="56">
        <f>$BC120-$BC121</f>
        <v/>
      </c>
      <c r="DQ120" s="56">
        <f>$BD120-$BD121</f>
        <v/>
      </c>
      <c r="DR120" s="56">
        <f>$BE120-$BE121</f>
        <v/>
      </c>
      <c r="DS120" s="56">
        <f>$BF120-$BF121</f>
        <v/>
      </c>
      <c r="DT120" s="56">
        <f>$BG120-$BG121</f>
        <v/>
      </c>
      <c r="DU120" s="56">
        <f>$BH120-$BH121</f>
        <v/>
      </c>
      <c r="DV120" s="56">
        <f>$BI120-$BI121</f>
        <v/>
      </c>
      <c r="DW120" s="56">
        <f>$BJ120-$BJ121</f>
        <v/>
      </c>
      <c r="DX120" s="56">
        <f>$BK120-$BK121</f>
        <v/>
      </c>
      <c r="DY120" s="56">
        <f>$BL120-$BL121</f>
        <v/>
      </c>
      <c r="DZ120" s="56">
        <f>$BM120-$BM121</f>
        <v/>
      </c>
      <c r="EA120" s="56">
        <f>$BN120-$BN121</f>
        <v/>
      </c>
      <c r="EB120" s="56">
        <f>$BO120-$BO121</f>
        <v/>
      </c>
      <c r="EC120" s="56">
        <f>$BP120-$BP121</f>
        <v/>
      </c>
      <c r="ED120" s="56">
        <f>$BQ120-$BQ121</f>
        <v/>
      </c>
      <c r="EE120" s="56">
        <f>$BR120-$BR121</f>
        <v/>
      </c>
      <c r="EF120" s="56">
        <f>$BS120-$BS121</f>
        <v/>
      </c>
      <c r="EG120" s="56">
        <f>$BT120-$BT121</f>
        <v/>
      </c>
      <c r="EH120" s="56">
        <f>$BU120-$BU121</f>
        <v/>
      </c>
    </row>
    <row r="121">
      <c r="BV121" s="56">
        <f>($D121-$D122)*100</f>
        <v/>
      </c>
      <c r="BW121" s="56">
        <f>($C121-$C122)*100</f>
        <v/>
      </c>
      <c r="BX121" s="57">
        <f>IFERROR($I121/$I122-1,"")</f>
        <v/>
      </c>
      <c r="BY121" s="56">
        <f>($AF121-$AF122)*100</f>
        <v/>
      </c>
      <c r="BZ121" s="56">
        <f>($AG121-$AG122)*100</f>
        <v/>
      </c>
      <c r="CA121" s="56">
        <f>($AH121-$AH122)*100</f>
        <v/>
      </c>
      <c r="CB121" s="56">
        <f>($AI121-$AI122)*100</f>
        <v/>
      </c>
      <c r="CC121" s="56">
        <f>($AJ121-$AJ122)*100</f>
        <v/>
      </c>
      <c r="CD121" s="56">
        <f>($AK121-$AK122)*100</f>
        <v/>
      </c>
      <c r="CE121" s="56">
        <f>($AL121-$AL122)*100</f>
        <v/>
      </c>
      <c r="CF121" s="56">
        <f>($AM121-$AM122)*100</f>
        <v/>
      </c>
      <c r="CG121" s="56">
        <f>($AN121-$AN122)*100</f>
        <v/>
      </c>
      <c r="CH121" s="56">
        <f>($AO121-$AO122)*100</f>
        <v/>
      </c>
      <c r="CI121" s="56">
        <f>($AP121-$AP122)*100</f>
        <v/>
      </c>
      <c r="CJ121" s="56">
        <f>($AQ121-$AQ122)*100</f>
        <v/>
      </c>
      <c r="CK121" s="56">
        <f>($AR121-$AR122)*100</f>
        <v/>
      </c>
      <c r="CL121" s="56">
        <f>($AS121-$AS122)*100</f>
        <v/>
      </c>
      <c r="CM121" s="56">
        <f>($AT121-$AT122)*100</f>
        <v/>
      </c>
      <c r="CN121" s="56">
        <f>($AU121-$AU122)*100</f>
        <v/>
      </c>
      <c r="CO121" s="56">
        <f>($AV121-$AV122)*100</f>
        <v/>
      </c>
      <c r="CP121" s="56">
        <f>($AW121-$AW122)*100</f>
        <v/>
      </c>
      <c r="CQ121" s="56">
        <f>($AX121-$AX122)*100</f>
        <v/>
      </c>
      <c r="CR121" s="56">
        <f>($AY121-$AY122)*100</f>
        <v/>
      </c>
      <c r="CS121" s="57">
        <f>IFERROR($L122/$L121-1,"")</f>
        <v/>
      </c>
      <c r="CT121" s="57">
        <f>IFERROR($M122/$M121-1,"")</f>
        <v/>
      </c>
      <c r="CU121" s="57">
        <f>IFERROR($N122/$N121-1,"")</f>
        <v/>
      </c>
      <c r="CV121" s="57">
        <f>IFERROR($O122/$O121-1,"")</f>
        <v/>
      </c>
      <c r="CW121" s="57">
        <f>IFERROR($P122/$P121-1,"")</f>
        <v/>
      </c>
      <c r="CX121" s="57">
        <f>IFERROR($Q122/$Q121-1,"")</f>
        <v/>
      </c>
      <c r="CY121" s="57">
        <f>IFERROR($R122/$R121-1,"")</f>
        <v/>
      </c>
      <c r="CZ121" s="57">
        <f>IFERROR($S122/$S121-1,"")</f>
        <v/>
      </c>
      <c r="DA121" s="57">
        <f>IFERROR($T122/$T121-1,"")</f>
        <v/>
      </c>
      <c r="DB121" s="57">
        <f>IFERROR($U122/$U121-1,"")</f>
        <v/>
      </c>
      <c r="DC121" s="57">
        <f>IFERROR($V122/$V121-1,"")</f>
        <v/>
      </c>
      <c r="DD121" s="57">
        <f>IFERROR($W122/$W121-1,"")</f>
        <v/>
      </c>
      <c r="DE121" s="57">
        <f>IFERROR($X122/$X121-1,"")</f>
        <v/>
      </c>
      <c r="DF121" s="57">
        <f>IFERROR($Y122/$Y121-1,"")</f>
        <v/>
      </c>
      <c r="DG121" s="57">
        <f>IFERROR($Z122/$Z121-1,"")</f>
        <v/>
      </c>
      <c r="DH121" s="57">
        <f>IFERROR($AA122/$AA121-1,"")</f>
        <v/>
      </c>
      <c r="DI121" s="57">
        <f>IFERROR($AB122/$AB121-1,"")</f>
        <v/>
      </c>
      <c r="DJ121" s="57">
        <f>IFERROR($AC122/$AC121-1,"")</f>
        <v/>
      </c>
      <c r="DK121" s="57">
        <f>IFERROR($AD122/$AD121-1,"")</f>
        <v/>
      </c>
      <c r="DL121" s="57">
        <f>IFERROR($AE122/$AE121-1,"")</f>
        <v/>
      </c>
      <c r="DM121" s="56">
        <f>$AZ121-$AZ122</f>
        <v/>
      </c>
      <c r="DN121" s="56">
        <f>$BA121-$BA122</f>
        <v/>
      </c>
      <c r="DO121" s="56">
        <f>$BB121-$BB122</f>
        <v/>
      </c>
      <c r="DP121" s="56">
        <f>$BC121-$BC122</f>
        <v/>
      </c>
      <c r="DQ121" s="56">
        <f>$BD121-$BD122</f>
        <v/>
      </c>
      <c r="DR121" s="56">
        <f>$BE121-$BE122</f>
        <v/>
      </c>
      <c r="DS121" s="56">
        <f>$BF121-$BF122</f>
        <v/>
      </c>
      <c r="DT121" s="56">
        <f>$BG121-$BG122</f>
        <v/>
      </c>
      <c r="DU121" s="56">
        <f>$BH121-$BH122</f>
        <v/>
      </c>
      <c r="DV121" s="56">
        <f>$BI121-$BI122</f>
        <v/>
      </c>
      <c r="DW121" s="56">
        <f>$BJ121-$BJ122</f>
        <v/>
      </c>
      <c r="DX121" s="56">
        <f>$BK121-$BK122</f>
        <v/>
      </c>
      <c r="DY121" s="56">
        <f>$BL121-$BL122</f>
        <v/>
      </c>
      <c r="DZ121" s="56">
        <f>$BM121-$BM122</f>
        <v/>
      </c>
      <c r="EA121" s="56">
        <f>$BN121-$BN122</f>
        <v/>
      </c>
      <c r="EB121" s="56">
        <f>$BO121-$BO122</f>
        <v/>
      </c>
      <c r="EC121" s="56">
        <f>$BP121-$BP122</f>
        <v/>
      </c>
      <c r="ED121" s="56">
        <f>$BQ121-$BQ122</f>
        <v/>
      </c>
      <c r="EE121" s="56">
        <f>$BR121-$BR122</f>
        <v/>
      </c>
      <c r="EF121" s="56">
        <f>$BS121-$BS122</f>
        <v/>
      </c>
      <c r="EG121" s="56">
        <f>$BT121-$BT122</f>
        <v/>
      </c>
      <c r="EH121" s="56">
        <f>$BU121-$BU122</f>
        <v/>
      </c>
    </row>
    <row r="122">
      <c r="BV122" s="56">
        <f>($D122-$D123)*100</f>
        <v/>
      </c>
      <c r="BW122" s="56">
        <f>($C122-$C123)*100</f>
        <v/>
      </c>
      <c r="BX122" s="57">
        <f>IFERROR($I122/$I123-1,"")</f>
        <v/>
      </c>
      <c r="BY122" s="56">
        <f>($AF122-$AF123)*100</f>
        <v/>
      </c>
      <c r="BZ122" s="56">
        <f>($AG122-$AG123)*100</f>
        <v/>
      </c>
      <c r="CA122" s="56">
        <f>($AH122-$AH123)*100</f>
        <v/>
      </c>
      <c r="CB122" s="56">
        <f>($AI122-$AI123)*100</f>
        <v/>
      </c>
      <c r="CC122" s="56">
        <f>($AJ122-$AJ123)*100</f>
        <v/>
      </c>
      <c r="CD122" s="56">
        <f>($AK122-$AK123)*100</f>
        <v/>
      </c>
      <c r="CE122" s="56">
        <f>($AL122-$AL123)*100</f>
        <v/>
      </c>
      <c r="CF122" s="56">
        <f>($AM122-$AM123)*100</f>
        <v/>
      </c>
      <c r="CG122" s="56">
        <f>($AN122-$AN123)*100</f>
        <v/>
      </c>
      <c r="CH122" s="56">
        <f>($AO122-$AO123)*100</f>
        <v/>
      </c>
      <c r="CI122" s="56">
        <f>($AP122-$AP123)*100</f>
        <v/>
      </c>
      <c r="CJ122" s="56">
        <f>($AQ122-$AQ123)*100</f>
        <v/>
      </c>
      <c r="CK122" s="56">
        <f>($AR122-$AR123)*100</f>
        <v/>
      </c>
      <c r="CL122" s="56">
        <f>($AS122-$AS123)*100</f>
        <v/>
      </c>
      <c r="CM122" s="56">
        <f>($AT122-$AT123)*100</f>
        <v/>
      </c>
      <c r="CN122" s="56">
        <f>($AU122-$AU123)*100</f>
        <v/>
      </c>
      <c r="CO122" s="56">
        <f>($AV122-$AV123)*100</f>
        <v/>
      </c>
      <c r="CP122" s="56">
        <f>($AW122-$AW123)*100</f>
        <v/>
      </c>
      <c r="CQ122" s="56">
        <f>($AX122-$AX123)*100</f>
        <v/>
      </c>
      <c r="CR122" s="56">
        <f>($AY122-$AY123)*100</f>
        <v/>
      </c>
      <c r="CS122" s="57">
        <f>IFERROR($L123/$L122-1,"")</f>
        <v/>
      </c>
      <c r="CT122" s="57">
        <f>IFERROR($M123/$M122-1,"")</f>
        <v/>
      </c>
      <c r="CU122" s="57">
        <f>IFERROR($N123/$N122-1,"")</f>
        <v/>
      </c>
      <c r="CV122" s="57">
        <f>IFERROR($O123/$O122-1,"")</f>
        <v/>
      </c>
      <c r="CW122" s="57">
        <f>IFERROR($P123/$P122-1,"")</f>
        <v/>
      </c>
      <c r="CX122" s="57">
        <f>IFERROR($Q123/$Q122-1,"")</f>
        <v/>
      </c>
      <c r="CY122" s="57">
        <f>IFERROR($R123/$R122-1,"")</f>
        <v/>
      </c>
      <c r="CZ122" s="57">
        <f>IFERROR($S123/$S122-1,"")</f>
        <v/>
      </c>
      <c r="DA122" s="57">
        <f>IFERROR($T123/$T122-1,"")</f>
        <v/>
      </c>
      <c r="DB122" s="57">
        <f>IFERROR($U123/$U122-1,"")</f>
        <v/>
      </c>
      <c r="DC122" s="57">
        <f>IFERROR($V123/$V122-1,"")</f>
        <v/>
      </c>
      <c r="DD122" s="57">
        <f>IFERROR($W123/$W122-1,"")</f>
        <v/>
      </c>
      <c r="DE122" s="57">
        <f>IFERROR($X123/$X122-1,"")</f>
        <v/>
      </c>
      <c r="DF122" s="57">
        <f>IFERROR($Y123/$Y122-1,"")</f>
        <v/>
      </c>
      <c r="DG122" s="57">
        <f>IFERROR($Z123/$Z122-1,"")</f>
        <v/>
      </c>
      <c r="DH122" s="57">
        <f>IFERROR($AA123/$AA122-1,"")</f>
        <v/>
      </c>
      <c r="DI122" s="57">
        <f>IFERROR($AB123/$AB122-1,"")</f>
        <v/>
      </c>
      <c r="DJ122" s="57">
        <f>IFERROR($AC123/$AC122-1,"")</f>
        <v/>
      </c>
      <c r="DK122" s="57">
        <f>IFERROR($AD123/$AD122-1,"")</f>
        <v/>
      </c>
      <c r="DL122" s="57">
        <f>IFERROR($AE123/$AE122-1,"")</f>
        <v/>
      </c>
      <c r="DM122" s="56">
        <f>$AZ122-$AZ123</f>
        <v/>
      </c>
      <c r="DN122" s="56">
        <f>$BA122-$BA123</f>
        <v/>
      </c>
      <c r="DO122" s="56">
        <f>$BB122-$BB123</f>
        <v/>
      </c>
      <c r="DP122" s="56">
        <f>$BC122-$BC123</f>
        <v/>
      </c>
      <c r="DQ122" s="56">
        <f>$BD122-$BD123</f>
        <v/>
      </c>
      <c r="DR122" s="56">
        <f>$BE122-$BE123</f>
        <v/>
      </c>
      <c r="DS122" s="56">
        <f>$BF122-$BF123</f>
        <v/>
      </c>
      <c r="DT122" s="56">
        <f>$BG122-$BG123</f>
        <v/>
      </c>
      <c r="DU122" s="56">
        <f>$BH122-$BH123</f>
        <v/>
      </c>
      <c r="DV122" s="56">
        <f>$BI122-$BI123</f>
        <v/>
      </c>
      <c r="DW122" s="56">
        <f>$BJ122-$BJ123</f>
        <v/>
      </c>
      <c r="DX122" s="56">
        <f>$BK122-$BK123</f>
        <v/>
      </c>
      <c r="DY122" s="56">
        <f>$BL122-$BL123</f>
        <v/>
      </c>
      <c r="DZ122" s="56">
        <f>$BM122-$BM123</f>
        <v/>
      </c>
      <c r="EA122" s="56">
        <f>$BN122-$BN123</f>
        <v/>
      </c>
      <c r="EB122" s="56">
        <f>$BO122-$BO123</f>
        <v/>
      </c>
      <c r="EC122" s="56">
        <f>$BP122-$BP123</f>
        <v/>
      </c>
      <c r="ED122" s="56">
        <f>$BQ122-$BQ123</f>
        <v/>
      </c>
      <c r="EE122" s="56">
        <f>$BR122-$BR123</f>
        <v/>
      </c>
      <c r="EF122" s="56">
        <f>$BS122-$BS123</f>
        <v/>
      </c>
      <c r="EG122" s="56">
        <f>$BT122-$BT123</f>
        <v/>
      </c>
      <c r="EH122" s="56">
        <f>$BU122-$BU123</f>
        <v/>
      </c>
    </row>
    <row r="123">
      <c r="BV123" s="56">
        <f>($D123-$D124)*100</f>
        <v/>
      </c>
      <c r="BW123" s="56">
        <f>($C123-$C124)*100</f>
        <v/>
      </c>
      <c r="BX123" s="57">
        <f>IFERROR($I123/$I124-1,"")</f>
        <v/>
      </c>
      <c r="BY123" s="56">
        <f>($AF123-$AF124)*100</f>
        <v/>
      </c>
      <c r="BZ123" s="56">
        <f>($AG123-$AG124)*100</f>
        <v/>
      </c>
      <c r="CA123" s="56">
        <f>($AH123-$AH124)*100</f>
        <v/>
      </c>
      <c r="CB123" s="56">
        <f>($AI123-$AI124)*100</f>
        <v/>
      </c>
      <c r="CC123" s="56">
        <f>($AJ123-$AJ124)*100</f>
        <v/>
      </c>
      <c r="CD123" s="56">
        <f>($AK123-$AK124)*100</f>
        <v/>
      </c>
      <c r="CE123" s="56">
        <f>($AL123-$AL124)*100</f>
        <v/>
      </c>
      <c r="CF123" s="56">
        <f>($AM123-$AM124)*100</f>
        <v/>
      </c>
      <c r="CG123" s="56">
        <f>($AN123-$AN124)*100</f>
        <v/>
      </c>
      <c r="CH123" s="56">
        <f>($AO123-$AO124)*100</f>
        <v/>
      </c>
      <c r="CI123" s="56">
        <f>($AP123-$AP124)*100</f>
        <v/>
      </c>
      <c r="CJ123" s="56">
        <f>($AQ123-$AQ124)*100</f>
        <v/>
      </c>
      <c r="CK123" s="56">
        <f>($AR123-$AR124)*100</f>
        <v/>
      </c>
      <c r="CL123" s="56">
        <f>($AS123-$AS124)*100</f>
        <v/>
      </c>
      <c r="CM123" s="56">
        <f>($AT123-$AT124)*100</f>
        <v/>
      </c>
      <c r="CN123" s="56">
        <f>($AU123-$AU124)*100</f>
        <v/>
      </c>
      <c r="CO123" s="56">
        <f>($AV123-$AV124)*100</f>
        <v/>
      </c>
      <c r="CP123" s="56">
        <f>($AW123-$AW124)*100</f>
        <v/>
      </c>
      <c r="CQ123" s="56">
        <f>($AX123-$AX124)*100</f>
        <v/>
      </c>
      <c r="CR123" s="56">
        <f>($AY123-$AY124)*100</f>
        <v/>
      </c>
      <c r="CS123" s="57">
        <f>IFERROR($L124/$L123-1,"")</f>
        <v/>
      </c>
      <c r="CT123" s="57">
        <f>IFERROR($M124/$M123-1,"")</f>
        <v/>
      </c>
      <c r="CU123" s="57">
        <f>IFERROR($N124/$N123-1,"")</f>
        <v/>
      </c>
      <c r="CV123" s="57">
        <f>IFERROR($O124/$O123-1,"")</f>
        <v/>
      </c>
      <c r="CW123" s="57">
        <f>IFERROR($P124/$P123-1,"")</f>
        <v/>
      </c>
      <c r="CX123" s="57">
        <f>IFERROR($Q124/$Q123-1,"")</f>
        <v/>
      </c>
      <c r="CY123" s="57">
        <f>IFERROR($R124/$R123-1,"")</f>
        <v/>
      </c>
      <c r="CZ123" s="57">
        <f>IFERROR($S124/$S123-1,"")</f>
        <v/>
      </c>
      <c r="DA123" s="57">
        <f>IFERROR($T124/$T123-1,"")</f>
        <v/>
      </c>
      <c r="DB123" s="57">
        <f>IFERROR($U124/$U123-1,"")</f>
        <v/>
      </c>
      <c r="DC123" s="57">
        <f>IFERROR($V124/$V123-1,"")</f>
        <v/>
      </c>
      <c r="DD123" s="57">
        <f>IFERROR($W124/$W123-1,"")</f>
        <v/>
      </c>
      <c r="DE123" s="57">
        <f>IFERROR($X124/$X123-1,"")</f>
        <v/>
      </c>
      <c r="DF123" s="57">
        <f>IFERROR($Y124/$Y123-1,"")</f>
        <v/>
      </c>
      <c r="DG123" s="57">
        <f>IFERROR($Z124/$Z123-1,"")</f>
        <v/>
      </c>
      <c r="DH123" s="57">
        <f>IFERROR($AA124/$AA123-1,"")</f>
        <v/>
      </c>
      <c r="DI123" s="57">
        <f>IFERROR($AB124/$AB123-1,"")</f>
        <v/>
      </c>
      <c r="DJ123" s="57">
        <f>IFERROR($AC124/$AC123-1,"")</f>
        <v/>
      </c>
      <c r="DK123" s="57">
        <f>IFERROR($AD124/$AD123-1,"")</f>
        <v/>
      </c>
      <c r="DL123" s="57">
        <f>IFERROR($AE124/$AE123-1,"")</f>
        <v/>
      </c>
      <c r="DM123" s="56">
        <f>$AZ123-$AZ124</f>
        <v/>
      </c>
      <c r="DN123" s="56">
        <f>$BA123-$BA124</f>
        <v/>
      </c>
      <c r="DO123" s="56">
        <f>$BB123-$BB124</f>
        <v/>
      </c>
      <c r="DP123" s="56">
        <f>$BC123-$BC124</f>
        <v/>
      </c>
      <c r="DQ123" s="56">
        <f>$BD123-$BD124</f>
        <v/>
      </c>
      <c r="DR123" s="56">
        <f>$BE123-$BE124</f>
        <v/>
      </c>
      <c r="DS123" s="56">
        <f>$BF123-$BF124</f>
        <v/>
      </c>
      <c r="DT123" s="56">
        <f>$BG123-$BG124</f>
        <v/>
      </c>
      <c r="DU123" s="56">
        <f>$BH123-$BH124</f>
        <v/>
      </c>
      <c r="DV123" s="56">
        <f>$BI123-$BI124</f>
        <v/>
      </c>
      <c r="DW123" s="56">
        <f>$BJ123-$BJ124</f>
        <v/>
      </c>
      <c r="DX123" s="56">
        <f>$BK123-$BK124</f>
        <v/>
      </c>
      <c r="DY123" s="56">
        <f>$BL123-$BL124</f>
        <v/>
      </c>
      <c r="DZ123" s="56">
        <f>$BM123-$BM124</f>
        <v/>
      </c>
      <c r="EA123" s="56">
        <f>$BN123-$BN124</f>
        <v/>
      </c>
      <c r="EB123" s="56">
        <f>$BO123-$BO124</f>
        <v/>
      </c>
      <c r="EC123" s="56">
        <f>$BP123-$BP124</f>
        <v/>
      </c>
      <c r="ED123" s="56">
        <f>$BQ123-$BQ124</f>
        <v/>
      </c>
      <c r="EE123" s="56">
        <f>$BR123-$BR124</f>
        <v/>
      </c>
      <c r="EF123" s="56">
        <f>$BS123-$BS124</f>
        <v/>
      </c>
      <c r="EG123" s="56">
        <f>$BT123-$BT124</f>
        <v/>
      </c>
      <c r="EH123" s="56">
        <f>$BU123-$BU124</f>
        <v/>
      </c>
    </row>
    <row r="124">
      <c r="BV124" s="56">
        <f>($D124-$D125)*100</f>
        <v/>
      </c>
      <c r="BW124" s="56">
        <f>($C124-$C125)*100</f>
        <v/>
      </c>
      <c r="BX124" s="57">
        <f>IFERROR($I124/$I125-1,"")</f>
        <v/>
      </c>
      <c r="BY124" s="56">
        <f>($AF124-$AF125)*100</f>
        <v/>
      </c>
      <c r="BZ124" s="56">
        <f>($AG124-$AG125)*100</f>
        <v/>
      </c>
      <c r="CA124" s="56">
        <f>($AH124-$AH125)*100</f>
        <v/>
      </c>
      <c r="CB124" s="56">
        <f>($AI124-$AI125)*100</f>
        <v/>
      </c>
      <c r="CC124" s="56">
        <f>($AJ124-$AJ125)*100</f>
        <v/>
      </c>
      <c r="CD124" s="56">
        <f>($AK124-$AK125)*100</f>
        <v/>
      </c>
      <c r="CE124" s="56">
        <f>($AL124-$AL125)*100</f>
        <v/>
      </c>
      <c r="CF124" s="56">
        <f>($AM124-$AM125)*100</f>
        <v/>
      </c>
      <c r="CG124" s="56">
        <f>($AN124-$AN125)*100</f>
        <v/>
      </c>
      <c r="CH124" s="56">
        <f>($AO124-$AO125)*100</f>
        <v/>
      </c>
      <c r="CI124" s="56">
        <f>($AP124-$AP125)*100</f>
        <v/>
      </c>
      <c r="CJ124" s="56">
        <f>($AQ124-$AQ125)*100</f>
        <v/>
      </c>
      <c r="CK124" s="56">
        <f>($AR124-$AR125)*100</f>
        <v/>
      </c>
      <c r="CL124" s="56">
        <f>($AS124-$AS125)*100</f>
        <v/>
      </c>
      <c r="CM124" s="56">
        <f>($AT124-$AT125)*100</f>
        <v/>
      </c>
      <c r="CN124" s="56">
        <f>($AU124-$AU125)*100</f>
        <v/>
      </c>
      <c r="CO124" s="56">
        <f>($AV124-$AV125)*100</f>
        <v/>
      </c>
      <c r="CP124" s="56">
        <f>($AW124-$AW125)*100</f>
        <v/>
      </c>
      <c r="CQ124" s="56">
        <f>($AX124-$AX125)*100</f>
        <v/>
      </c>
      <c r="CR124" s="56">
        <f>($AY124-$AY125)*100</f>
        <v/>
      </c>
      <c r="CS124" s="57">
        <f>IFERROR($L125/$L124-1,"")</f>
        <v/>
      </c>
      <c r="CT124" s="57">
        <f>IFERROR($M125/$M124-1,"")</f>
        <v/>
      </c>
      <c r="CU124" s="57">
        <f>IFERROR($N125/$N124-1,"")</f>
        <v/>
      </c>
      <c r="CV124" s="57">
        <f>IFERROR($O125/$O124-1,"")</f>
        <v/>
      </c>
      <c r="CW124" s="57">
        <f>IFERROR($P125/$P124-1,"")</f>
        <v/>
      </c>
      <c r="CX124" s="57">
        <f>IFERROR($Q125/$Q124-1,"")</f>
        <v/>
      </c>
      <c r="CY124" s="57">
        <f>IFERROR($R125/$R124-1,"")</f>
        <v/>
      </c>
      <c r="CZ124" s="57">
        <f>IFERROR($S125/$S124-1,"")</f>
        <v/>
      </c>
      <c r="DA124" s="57">
        <f>IFERROR($T125/$T124-1,"")</f>
        <v/>
      </c>
      <c r="DB124" s="57">
        <f>IFERROR($U125/$U124-1,"")</f>
        <v/>
      </c>
      <c r="DC124" s="57">
        <f>IFERROR($V125/$V124-1,"")</f>
        <v/>
      </c>
      <c r="DD124" s="57">
        <f>IFERROR($W125/$W124-1,"")</f>
        <v/>
      </c>
      <c r="DE124" s="57">
        <f>IFERROR($X125/$X124-1,"")</f>
        <v/>
      </c>
      <c r="DF124" s="57">
        <f>IFERROR($Y125/$Y124-1,"")</f>
        <v/>
      </c>
      <c r="DG124" s="57">
        <f>IFERROR($Z125/$Z124-1,"")</f>
        <v/>
      </c>
      <c r="DH124" s="57">
        <f>IFERROR($AA125/$AA124-1,"")</f>
        <v/>
      </c>
      <c r="DI124" s="57">
        <f>IFERROR($AB125/$AB124-1,"")</f>
        <v/>
      </c>
      <c r="DJ124" s="57">
        <f>IFERROR($AC125/$AC124-1,"")</f>
        <v/>
      </c>
      <c r="DK124" s="57">
        <f>IFERROR($AD125/$AD124-1,"")</f>
        <v/>
      </c>
      <c r="DL124" s="57">
        <f>IFERROR($AE125/$AE124-1,"")</f>
        <v/>
      </c>
      <c r="DM124" s="56">
        <f>$AZ124-$AZ125</f>
        <v/>
      </c>
      <c r="DN124" s="56">
        <f>$BA124-$BA125</f>
        <v/>
      </c>
      <c r="DO124" s="56">
        <f>$BB124-$BB125</f>
        <v/>
      </c>
      <c r="DP124" s="56">
        <f>$BC124-$BC125</f>
        <v/>
      </c>
      <c r="DQ124" s="56">
        <f>$BD124-$BD125</f>
        <v/>
      </c>
      <c r="DR124" s="56">
        <f>$BE124-$BE125</f>
        <v/>
      </c>
      <c r="DS124" s="56">
        <f>$BF124-$BF125</f>
        <v/>
      </c>
      <c r="DT124" s="56">
        <f>$BG124-$BG125</f>
        <v/>
      </c>
      <c r="DU124" s="56">
        <f>$BH124-$BH125</f>
        <v/>
      </c>
      <c r="DV124" s="56">
        <f>$BI124-$BI125</f>
        <v/>
      </c>
      <c r="DW124" s="56">
        <f>$BJ124-$BJ125</f>
        <v/>
      </c>
      <c r="DX124" s="56">
        <f>$BK124-$BK125</f>
        <v/>
      </c>
      <c r="DY124" s="56">
        <f>$BL124-$BL125</f>
        <v/>
      </c>
      <c r="DZ124" s="56">
        <f>$BM124-$BM125</f>
        <v/>
      </c>
      <c r="EA124" s="56">
        <f>$BN124-$BN125</f>
        <v/>
      </c>
      <c r="EB124" s="56">
        <f>$BO124-$BO125</f>
        <v/>
      </c>
      <c r="EC124" s="56">
        <f>$BP124-$BP125</f>
        <v/>
      </c>
      <c r="ED124" s="56">
        <f>$BQ124-$BQ125</f>
        <v/>
      </c>
      <c r="EE124" s="56">
        <f>$BR124-$BR125</f>
        <v/>
      </c>
      <c r="EF124" s="56">
        <f>$BS124-$BS125</f>
        <v/>
      </c>
      <c r="EG124" s="56">
        <f>$BT124-$BT125</f>
        <v/>
      </c>
      <c r="EH124" s="56">
        <f>$BU124-$BU125</f>
        <v/>
      </c>
    </row>
    <row r="125">
      <c r="BV125" s="56">
        <f>($D125-$D126)*100</f>
        <v/>
      </c>
      <c r="BW125" s="56">
        <f>($C125-$C126)*100</f>
        <v/>
      </c>
      <c r="BX125" s="57">
        <f>IFERROR($I125/$I126-1,"")</f>
        <v/>
      </c>
      <c r="BY125" s="56">
        <f>($AF125-$AF126)*100</f>
        <v/>
      </c>
      <c r="BZ125" s="56">
        <f>($AG125-$AG126)*100</f>
        <v/>
      </c>
      <c r="CA125" s="56">
        <f>($AH125-$AH126)*100</f>
        <v/>
      </c>
      <c r="CB125" s="56">
        <f>($AI125-$AI126)*100</f>
        <v/>
      </c>
      <c r="CC125" s="56">
        <f>($AJ125-$AJ126)*100</f>
        <v/>
      </c>
      <c r="CD125" s="56">
        <f>($AK125-$AK126)*100</f>
        <v/>
      </c>
      <c r="CE125" s="56">
        <f>($AL125-$AL126)*100</f>
        <v/>
      </c>
      <c r="CF125" s="56">
        <f>($AM125-$AM126)*100</f>
        <v/>
      </c>
      <c r="CG125" s="56">
        <f>($AN125-$AN126)*100</f>
        <v/>
      </c>
      <c r="CH125" s="56">
        <f>($AO125-$AO126)*100</f>
        <v/>
      </c>
      <c r="CI125" s="56">
        <f>($AP125-$AP126)*100</f>
        <v/>
      </c>
      <c r="CJ125" s="56">
        <f>($AQ125-$AQ126)*100</f>
        <v/>
      </c>
      <c r="CK125" s="56">
        <f>($AR125-$AR126)*100</f>
        <v/>
      </c>
      <c r="CL125" s="56">
        <f>($AS125-$AS126)*100</f>
        <v/>
      </c>
      <c r="CM125" s="56">
        <f>($AT125-$AT126)*100</f>
        <v/>
      </c>
      <c r="CN125" s="56">
        <f>($AU125-$AU126)*100</f>
        <v/>
      </c>
      <c r="CO125" s="56">
        <f>($AV125-$AV126)*100</f>
        <v/>
      </c>
      <c r="CP125" s="56">
        <f>($AW125-$AW126)*100</f>
        <v/>
      </c>
      <c r="CQ125" s="56">
        <f>($AX125-$AX126)*100</f>
        <v/>
      </c>
      <c r="CR125" s="56">
        <f>($AY125-$AY126)*100</f>
        <v/>
      </c>
      <c r="CS125" s="57">
        <f>IFERROR($L126/$L125-1,"")</f>
        <v/>
      </c>
      <c r="CT125" s="57">
        <f>IFERROR($M126/$M125-1,"")</f>
        <v/>
      </c>
      <c r="CU125" s="57">
        <f>IFERROR($N126/$N125-1,"")</f>
        <v/>
      </c>
      <c r="CV125" s="57">
        <f>IFERROR($O126/$O125-1,"")</f>
        <v/>
      </c>
      <c r="CW125" s="57">
        <f>IFERROR($P126/$P125-1,"")</f>
        <v/>
      </c>
      <c r="CX125" s="57">
        <f>IFERROR($Q126/$Q125-1,"")</f>
        <v/>
      </c>
      <c r="CY125" s="57">
        <f>IFERROR($R126/$R125-1,"")</f>
        <v/>
      </c>
      <c r="CZ125" s="57">
        <f>IFERROR($S126/$S125-1,"")</f>
        <v/>
      </c>
      <c r="DA125" s="57">
        <f>IFERROR($T126/$T125-1,"")</f>
        <v/>
      </c>
      <c r="DB125" s="57">
        <f>IFERROR($U126/$U125-1,"")</f>
        <v/>
      </c>
      <c r="DC125" s="57">
        <f>IFERROR($V126/$V125-1,"")</f>
        <v/>
      </c>
      <c r="DD125" s="57">
        <f>IFERROR($W126/$W125-1,"")</f>
        <v/>
      </c>
      <c r="DE125" s="57">
        <f>IFERROR($X126/$X125-1,"")</f>
        <v/>
      </c>
      <c r="DF125" s="57">
        <f>IFERROR($Y126/$Y125-1,"")</f>
        <v/>
      </c>
      <c r="DG125" s="57">
        <f>IFERROR($Z126/$Z125-1,"")</f>
        <v/>
      </c>
      <c r="DH125" s="57">
        <f>IFERROR($AA126/$AA125-1,"")</f>
        <v/>
      </c>
      <c r="DI125" s="57">
        <f>IFERROR($AB126/$AB125-1,"")</f>
        <v/>
      </c>
      <c r="DJ125" s="57">
        <f>IFERROR($AC126/$AC125-1,"")</f>
        <v/>
      </c>
      <c r="DK125" s="57">
        <f>IFERROR($AD126/$AD125-1,"")</f>
        <v/>
      </c>
      <c r="DL125" s="57">
        <f>IFERROR($AE126/$AE125-1,"")</f>
        <v/>
      </c>
      <c r="DM125" s="56">
        <f>$AZ125-$AZ126</f>
        <v/>
      </c>
      <c r="DN125" s="56">
        <f>$BA125-$BA126</f>
        <v/>
      </c>
      <c r="DO125" s="56">
        <f>$BB125-$BB126</f>
        <v/>
      </c>
      <c r="DP125" s="56">
        <f>$BC125-$BC126</f>
        <v/>
      </c>
      <c r="DQ125" s="56">
        <f>$BD125-$BD126</f>
        <v/>
      </c>
      <c r="DR125" s="56">
        <f>$BE125-$BE126</f>
        <v/>
      </c>
      <c r="DS125" s="56">
        <f>$BF125-$BF126</f>
        <v/>
      </c>
      <c r="DT125" s="56">
        <f>$BG125-$BG126</f>
        <v/>
      </c>
      <c r="DU125" s="56">
        <f>$BH125-$BH126</f>
        <v/>
      </c>
      <c r="DV125" s="56">
        <f>$BI125-$BI126</f>
        <v/>
      </c>
      <c r="DW125" s="56">
        <f>$BJ125-$BJ126</f>
        <v/>
      </c>
      <c r="DX125" s="56">
        <f>$BK125-$BK126</f>
        <v/>
      </c>
      <c r="DY125" s="56">
        <f>$BL125-$BL126</f>
        <v/>
      </c>
      <c r="DZ125" s="56">
        <f>$BM125-$BM126</f>
        <v/>
      </c>
      <c r="EA125" s="56">
        <f>$BN125-$BN126</f>
        <v/>
      </c>
      <c r="EB125" s="56">
        <f>$BO125-$BO126</f>
        <v/>
      </c>
      <c r="EC125" s="56">
        <f>$BP125-$BP126</f>
        <v/>
      </c>
      <c r="ED125" s="56">
        <f>$BQ125-$BQ126</f>
        <v/>
      </c>
      <c r="EE125" s="56">
        <f>$BR125-$BR126</f>
        <v/>
      </c>
      <c r="EF125" s="56">
        <f>$BS125-$BS126</f>
        <v/>
      </c>
      <c r="EG125" s="56">
        <f>$BT125-$BT126</f>
        <v/>
      </c>
      <c r="EH125" s="56">
        <f>$BU125-$BU126</f>
        <v/>
      </c>
    </row>
    <row r="126">
      <c r="BV126" s="56">
        <f>($D126-$D127)*100</f>
        <v/>
      </c>
      <c r="BW126" s="56">
        <f>($C126-$C127)*100</f>
        <v/>
      </c>
      <c r="BX126" s="57">
        <f>IFERROR($I126/$I127-1,"")</f>
        <v/>
      </c>
      <c r="BY126" s="56">
        <f>($AF126-$AF127)*100</f>
        <v/>
      </c>
      <c r="BZ126" s="56">
        <f>($AG126-$AG127)*100</f>
        <v/>
      </c>
      <c r="CA126" s="56">
        <f>($AH126-$AH127)*100</f>
        <v/>
      </c>
      <c r="CB126" s="56">
        <f>($AI126-$AI127)*100</f>
        <v/>
      </c>
      <c r="CC126" s="56">
        <f>($AJ126-$AJ127)*100</f>
        <v/>
      </c>
      <c r="CD126" s="56">
        <f>($AK126-$AK127)*100</f>
        <v/>
      </c>
      <c r="CE126" s="56">
        <f>($AL126-$AL127)*100</f>
        <v/>
      </c>
      <c r="CF126" s="56">
        <f>($AM126-$AM127)*100</f>
        <v/>
      </c>
      <c r="CG126" s="56">
        <f>($AN126-$AN127)*100</f>
        <v/>
      </c>
      <c r="CH126" s="56">
        <f>($AO126-$AO127)*100</f>
        <v/>
      </c>
      <c r="CI126" s="56">
        <f>($AP126-$AP127)*100</f>
        <v/>
      </c>
      <c r="CJ126" s="56">
        <f>($AQ126-$AQ127)*100</f>
        <v/>
      </c>
      <c r="CK126" s="56">
        <f>($AR126-$AR127)*100</f>
        <v/>
      </c>
      <c r="CL126" s="56">
        <f>($AS126-$AS127)*100</f>
        <v/>
      </c>
      <c r="CM126" s="56">
        <f>($AT126-$AT127)*100</f>
        <v/>
      </c>
      <c r="CN126" s="56">
        <f>($AU126-$AU127)*100</f>
        <v/>
      </c>
      <c r="CO126" s="56">
        <f>($AV126-$AV127)*100</f>
        <v/>
      </c>
      <c r="CP126" s="56">
        <f>($AW126-$AW127)*100</f>
        <v/>
      </c>
      <c r="CQ126" s="56">
        <f>($AX126-$AX127)*100</f>
        <v/>
      </c>
      <c r="CR126" s="56">
        <f>($AY126-$AY127)*100</f>
        <v/>
      </c>
      <c r="CS126" s="57">
        <f>IFERROR($L127/$L126-1,"")</f>
        <v/>
      </c>
      <c r="CT126" s="57">
        <f>IFERROR($M127/$M126-1,"")</f>
        <v/>
      </c>
      <c r="CU126" s="57">
        <f>IFERROR($N127/$N126-1,"")</f>
        <v/>
      </c>
      <c r="CV126" s="57">
        <f>IFERROR($O127/$O126-1,"")</f>
        <v/>
      </c>
      <c r="CW126" s="57">
        <f>IFERROR($P127/$P126-1,"")</f>
        <v/>
      </c>
      <c r="CX126" s="57">
        <f>IFERROR($Q127/$Q126-1,"")</f>
        <v/>
      </c>
      <c r="CY126" s="57">
        <f>IFERROR($R127/$R126-1,"")</f>
        <v/>
      </c>
      <c r="CZ126" s="57">
        <f>IFERROR($S127/$S126-1,"")</f>
        <v/>
      </c>
      <c r="DA126" s="57">
        <f>IFERROR($T127/$T126-1,"")</f>
        <v/>
      </c>
      <c r="DB126" s="57">
        <f>IFERROR($U127/$U126-1,"")</f>
        <v/>
      </c>
      <c r="DC126" s="57">
        <f>IFERROR($V127/$V126-1,"")</f>
        <v/>
      </c>
      <c r="DD126" s="57">
        <f>IFERROR($W127/$W126-1,"")</f>
        <v/>
      </c>
      <c r="DE126" s="57">
        <f>IFERROR($X127/$X126-1,"")</f>
        <v/>
      </c>
      <c r="DF126" s="57">
        <f>IFERROR($Y127/$Y126-1,"")</f>
        <v/>
      </c>
      <c r="DG126" s="57">
        <f>IFERROR($Z127/$Z126-1,"")</f>
        <v/>
      </c>
      <c r="DH126" s="57">
        <f>IFERROR($AA127/$AA126-1,"")</f>
        <v/>
      </c>
      <c r="DI126" s="57">
        <f>IFERROR($AB127/$AB126-1,"")</f>
        <v/>
      </c>
      <c r="DJ126" s="57">
        <f>IFERROR($AC127/$AC126-1,"")</f>
        <v/>
      </c>
      <c r="DK126" s="57">
        <f>IFERROR($AD127/$AD126-1,"")</f>
        <v/>
      </c>
      <c r="DL126" s="57">
        <f>IFERROR($AE127/$AE126-1,"")</f>
        <v/>
      </c>
      <c r="DM126" s="56">
        <f>$AZ126-$AZ127</f>
        <v/>
      </c>
      <c r="DN126" s="56">
        <f>$BA126-$BA127</f>
        <v/>
      </c>
      <c r="DO126" s="56">
        <f>$BB126-$BB127</f>
        <v/>
      </c>
      <c r="DP126" s="56">
        <f>$BC126-$BC127</f>
        <v/>
      </c>
      <c r="DQ126" s="56">
        <f>$BD126-$BD127</f>
        <v/>
      </c>
      <c r="DR126" s="56">
        <f>$BE126-$BE127</f>
        <v/>
      </c>
      <c r="DS126" s="56">
        <f>$BF126-$BF127</f>
        <v/>
      </c>
      <c r="DT126" s="56">
        <f>$BG126-$BG127</f>
        <v/>
      </c>
      <c r="DU126" s="56">
        <f>$BH126-$BH127</f>
        <v/>
      </c>
      <c r="DV126" s="56">
        <f>$BI126-$BI127</f>
        <v/>
      </c>
      <c r="DW126" s="56">
        <f>$BJ126-$BJ127</f>
        <v/>
      </c>
      <c r="DX126" s="56">
        <f>$BK126-$BK127</f>
        <v/>
      </c>
      <c r="DY126" s="56">
        <f>$BL126-$BL127</f>
        <v/>
      </c>
      <c r="DZ126" s="56">
        <f>$BM126-$BM127</f>
        <v/>
      </c>
      <c r="EA126" s="56">
        <f>$BN126-$BN127</f>
        <v/>
      </c>
      <c r="EB126" s="56">
        <f>$BO126-$BO127</f>
        <v/>
      </c>
      <c r="EC126" s="56">
        <f>$BP126-$BP127</f>
        <v/>
      </c>
      <c r="ED126" s="56">
        <f>$BQ126-$BQ127</f>
        <v/>
      </c>
      <c r="EE126" s="56">
        <f>$BR126-$BR127</f>
        <v/>
      </c>
      <c r="EF126" s="56">
        <f>$BS126-$BS127</f>
        <v/>
      </c>
      <c r="EG126" s="56">
        <f>$BT126-$BT127</f>
        <v/>
      </c>
      <c r="EH126" s="56">
        <f>$BU126-$BU127</f>
        <v/>
      </c>
    </row>
    <row r="127">
      <c r="BV127" s="56">
        <f>($D127-$D128)*100</f>
        <v/>
      </c>
      <c r="BW127" s="56">
        <f>($C127-$C128)*100</f>
        <v/>
      </c>
      <c r="BX127" s="57">
        <f>IFERROR($I127/$I128-1,"")</f>
        <v/>
      </c>
      <c r="BY127" s="56">
        <f>($AF127-$AF128)*100</f>
        <v/>
      </c>
      <c r="BZ127" s="56">
        <f>($AG127-$AG128)*100</f>
        <v/>
      </c>
      <c r="CA127" s="56">
        <f>($AH127-$AH128)*100</f>
        <v/>
      </c>
      <c r="CB127" s="56">
        <f>($AI127-$AI128)*100</f>
        <v/>
      </c>
      <c r="CC127" s="56">
        <f>($AJ127-$AJ128)*100</f>
        <v/>
      </c>
      <c r="CD127" s="56">
        <f>($AK127-$AK128)*100</f>
        <v/>
      </c>
      <c r="CE127" s="56">
        <f>($AL127-$AL128)*100</f>
        <v/>
      </c>
      <c r="CF127" s="56">
        <f>($AM127-$AM128)*100</f>
        <v/>
      </c>
      <c r="CG127" s="56">
        <f>($AN127-$AN128)*100</f>
        <v/>
      </c>
      <c r="CH127" s="56">
        <f>($AO127-$AO128)*100</f>
        <v/>
      </c>
      <c r="CI127" s="56">
        <f>($AP127-$AP128)*100</f>
        <v/>
      </c>
      <c r="CJ127" s="56">
        <f>($AQ127-$AQ128)*100</f>
        <v/>
      </c>
      <c r="CK127" s="56">
        <f>($AR127-$AR128)*100</f>
        <v/>
      </c>
      <c r="CL127" s="56">
        <f>($AS127-$AS128)*100</f>
        <v/>
      </c>
      <c r="CM127" s="56">
        <f>($AT127-$AT128)*100</f>
        <v/>
      </c>
      <c r="CN127" s="56">
        <f>($AU127-$AU128)*100</f>
        <v/>
      </c>
      <c r="CO127" s="56">
        <f>($AV127-$AV128)*100</f>
        <v/>
      </c>
      <c r="CP127" s="56">
        <f>($AW127-$AW128)*100</f>
        <v/>
      </c>
      <c r="CQ127" s="56">
        <f>($AX127-$AX128)*100</f>
        <v/>
      </c>
      <c r="CR127" s="56">
        <f>($AY127-$AY128)*100</f>
        <v/>
      </c>
      <c r="CS127" s="57">
        <f>IFERROR($L128/$L127-1,"")</f>
        <v/>
      </c>
      <c r="CT127" s="57">
        <f>IFERROR($M128/$M127-1,"")</f>
        <v/>
      </c>
      <c r="CU127" s="57">
        <f>IFERROR($N128/$N127-1,"")</f>
        <v/>
      </c>
      <c r="CV127" s="57">
        <f>IFERROR($O128/$O127-1,"")</f>
        <v/>
      </c>
      <c r="CW127" s="57">
        <f>IFERROR($P128/$P127-1,"")</f>
        <v/>
      </c>
      <c r="CX127" s="57">
        <f>IFERROR($Q128/$Q127-1,"")</f>
        <v/>
      </c>
      <c r="CY127" s="57">
        <f>IFERROR($R128/$R127-1,"")</f>
        <v/>
      </c>
      <c r="CZ127" s="57">
        <f>IFERROR($S128/$S127-1,"")</f>
        <v/>
      </c>
      <c r="DA127" s="57">
        <f>IFERROR($T128/$T127-1,"")</f>
        <v/>
      </c>
      <c r="DB127" s="57">
        <f>IFERROR($U128/$U127-1,"")</f>
        <v/>
      </c>
      <c r="DC127" s="57">
        <f>IFERROR($V128/$V127-1,"")</f>
        <v/>
      </c>
      <c r="DD127" s="57">
        <f>IFERROR($W128/$W127-1,"")</f>
        <v/>
      </c>
      <c r="DE127" s="57">
        <f>IFERROR($X128/$X127-1,"")</f>
        <v/>
      </c>
      <c r="DF127" s="57">
        <f>IFERROR($Y128/$Y127-1,"")</f>
        <v/>
      </c>
      <c r="DG127" s="57">
        <f>IFERROR($Z128/$Z127-1,"")</f>
        <v/>
      </c>
      <c r="DH127" s="57">
        <f>IFERROR($AA128/$AA127-1,"")</f>
        <v/>
      </c>
      <c r="DI127" s="57">
        <f>IFERROR($AB128/$AB127-1,"")</f>
        <v/>
      </c>
      <c r="DJ127" s="57">
        <f>IFERROR($AC128/$AC127-1,"")</f>
        <v/>
      </c>
      <c r="DK127" s="57">
        <f>IFERROR($AD128/$AD127-1,"")</f>
        <v/>
      </c>
      <c r="DL127" s="57">
        <f>IFERROR($AE128/$AE127-1,"")</f>
        <v/>
      </c>
      <c r="DM127" s="56">
        <f>$AZ127-$AZ128</f>
        <v/>
      </c>
      <c r="DN127" s="56">
        <f>$BA127-$BA128</f>
        <v/>
      </c>
      <c r="DO127" s="56">
        <f>$BB127-$BB128</f>
        <v/>
      </c>
      <c r="DP127" s="56">
        <f>$BC127-$BC128</f>
        <v/>
      </c>
      <c r="DQ127" s="56">
        <f>$BD127-$BD128</f>
        <v/>
      </c>
      <c r="DR127" s="56">
        <f>$BE127-$BE128</f>
        <v/>
      </c>
      <c r="DS127" s="56">
        <f>$BF127-$BF128</f>
        <v/>
      </c>
      <c r="DT127" s="56">
        <f>$BG127-$BG128</f>
        <v/>
      </c>
      <c r="DU127" s="56">
        <f>$BH127-$BH128</f>
        <v/>
      </c>
      <c r="DV127" s="56">
        <f>$BI127-$BI128</f>
        <v/>
      </c>
      <c r="DW127" s="56">
        <f>$BJ127-$BJ128</f>
        <v/>
      </c>
      <c r="DX127" s="56">
        <f>$BK127-$BK128</f>
        <v/>
      </c>
      <c r="DY127" s="56">
        <f>$BL127-$BL128</f>
        <v/>
      </c>
      <c r="DZ127" s="56">
        <f>$BM127-$BM128</f>
        <v/>
      </c>
      <c r="EA127" s="56">
        <f>$BN127-$BN128</f>
        <v/>
      </c>
      <c r="EB127" s="56">
        <f>$BO127-$BO128</f>
        <v/>
      </c>
      <c r="EC127" s="56">
        <f>$BP127-$BP128</f>
        <v/>
      </c>
      <c r="ED127" s="56">
        <f>$BQ127-$BQ128</f>
        <v/>
      </c>
      <c r="EE127" s="56">
        <f>$BR127-$BR128</f>
        <v/>
      </c>
      <c r="EF127" s="56">
        <f>$BS127-$BS128</f>
        <v/>
      </c>
      <c r="EG127" s="56">
        <f>$BT127-$BT128</f>
        <v/>
      </c>
      <c r="EH127" s="56">
        <f>$BU127-$BU128</f>
        <v/>
      </c>
    </row>
    <row r="128">
      <c r="BV128" s="56">
        <f>($D128-$D129)*100</f>
        <v/>
      </c>
      <c r="BW128" s="56">
        <f>($C128-$C129)*100</f>
        <v/>
      </c>
      <c r="BX128" s="57">
        <f>IFERROR($I128/$I129-1,"")</f>
        <v/>
      </c>
      <c r="BY128" s="56">
        <f>($AF128-$AF129)*100</f>
        <v/>
      </c>
      <c r="BZ128" s="56">
        <f>($AG128-$AG129)*100</f>
        <v/>
      </c>
      <c r="CA128" s="56">
        <f>($AH128-$AH129)*100</f>
        <v/>
      </c>
      <c r="CB128" s="56">
        <f>($AI128-$AI129)*100</f>
        <v/>
      </c>
      <c r="CC128" s="56">
        <f>($AJ128-$AJ129)*100</f>
        <v/>
      </c>
      <c r="CD128" s="56">
        <f>($AK128-$AK129)*100</f>
        <v/>
      </c>
      <c r="CE128" s="56">
        <f>($AL128-$AL129)*100</f>
        <v/>
      </c>
      <c r="CF128" s="56">
        <f>($AM128-$AM129)*100</f>
        <v/>
      </c>
      <c r="CG128" s="56">
        <f>($AN128-$AN129)*100</f>
        <v/>
      </c>
      <c r="CH128" s="56">
        <f>($AO128-$AO129)*100</f>
        <v/>
      </c>
      <c r="CI128" s="56">
        <f>($AP128-$AP129)*100</f>
        <v/>
      </c>
      <c r="CJ128" s="56">
        <f>($AQ128-$AQ129)*100</f>
        <v/>
      </c>
      <c r="CK128" s="56">
        <f>($AR128-$AR129)*100</f>
        <v/>
      </c>
      <c r="CL128" s="56">
        <f>($AS128-$AS129)*100</f>
        <v/>
      </c>
      <c r="CM128" s="56">
        <f>($AT128-$AT129)*100</f>
        <v/>
      </c>
      <c r="CN128" s="56">
        <f>($AU128-$AU129)*100</f>
        <v/>
      </c>
      <c r="CO128" s="56">
        <f>($AV128-$AV129)*100</f>
        <v/>
      </c>
      <c r="CP128" s="56">
        <f>($AW128-$AW129)*100</f>
        <v/>
      </c>
      <c r="CQ128" s="56">
        <f>($AX128-$AX129)*100</f>
        <v/>
      </c>
      <c r="CR128" s="56">
        <f>($AY128-$AY129)*100</f>
        <v/>
      </c>
      <c r="CS128" s="57">
        <f>IFERROR($L129/$L128-1,"")</f>
        <v/>
      </c>
      <c r="CT128" s="57">
        <f>IFERROR($M129/$M128-1,"")</f>
        <v/>
      </c>
      <c r="CU128" s="57">
        <f>IFERROR($N129/$N128-1,"")</f>
        <v/>
      </c>
      <c r="CV128" s="57">
        <f>IFERROR($O129/$O128-1,"")</f>
        <v/>
      </c>
      <c r="CW128" s="57">
        <f>IFERROR($P129/$P128-1,"")</f>
        <v/>
      </c>
      <c r="CX128" s="57">
        <f>IFERROR($Q129/$Q128-1,"")</f>
        <v/>
      </c>
      <c r="CY128" s="57">
        <f>IFERROR($R129/$R128-1,"")</f>
        <v/>
      </c>
      <c r="CZ128" s="57">
        <f>IFERROR($S129/$S128-1,"")</f>
        <v/>
      </c>
      <c r="DA128" s="57">
        <f>IFERROR($T129/$T128-1,"")</f>
        <v/>
      </c>
      <c r="DB128" s="57">
        <f>IFERROR($U129/$U128-1,"")</f>
        <v/>
      </c>
      <c r="DC128" s="57">
        <f>IFERROR($V129/$V128-1,"")</f>
        <v/>
      </c>
      <c r="DD128" s="57">
        <f>IFERROR($W129/$W128-1,"")</f>
        <v/>
      </c>
      <c r="DE128" s="57">
        <f>IFERROR($X129/$X128-1,"")</f>
        <v/>
      </c>
      <c r="DF128" s="57">
        <f>IFERROR($Y129/$Y128-1,"")</f>
        <v/>
      </c>
      <c r="DG128" s="57">
        <f>IFERROR($Z129/$Z128-1,"")</f>
        <v/>
      </c>
      <c r="DH128" s="57">
        <f>IFERROR($AA129/$AA128-1,"")</f>
        <v/>
      </c>
      <c r="DI128" s="57">
        <f>IFERROR($AB129/$AB128-1,"")</f>
        <v/>
      </c>
      <c r="DJ128" s="57">
        <f>IFERROR($AC129/$AC128-1,"")</f>
        <v/>
      </c>
      <c r="DK128" s="57">
        <f>IFERROR($AD129/$AD128-1,"")</f>
        <v/>
      </c>
      <c r="DL128" s="57">
        <f>IFERROR($AE129/$AE128-1,"")</f>
        <v/>
      </c>
      <c r="DM128" s="56">
        <f>$AZ128-$AZ129</f>
        <v/>
      </c>
      <c r="DN128" s="56">
        <f>$BA128-$BA129</f>
        <v/>
      </c>
      <c r="DO128" s="56">
        <f>$BB128-$BB129</f>
        <v/>
      </c>
      <c r="DP128" s="56">
        <f>$BC128-$BC129</f>
        <v/>
      </c>
      <c r="DQ128" s="56">
        <f>$BD128-$BD129</f>
        <v/>
      </c>
      <c r="DR128" s="56">
        <f>$BE128-$BE129</f>
        <v/>
      </c>
      <c r="DS128" s="56">
        <f>$BF128-$BF129</f>
        <v/>
      </c>
      <c r="DT128" s="56">
        <f>$BG128-$BG129</f>
        <v/>
      </c>
      <c r="DU128" s="56">
        <f>$BH128-$BH129</f>
        <v/>
      </c>
      <c r="DV128" s="56">
        <f>$BI128-$BI129</f>
        <v/>
      </c>
      <c r="DW128" s="56">
        <f>$BJ128-$BJ129</f>
        <v/>
      </c>
      <c r="DX128" s="56">
        <f>$BK128-$BK129</f>
        <v/>
      </c>
      <c r="DY128" s="56">
        <f>$BL128-$BL129</f>
        <v/>
      </c>
      <c r="DZ128" s="56">
        <f>$BM128-$BM129</f>
        <v/>
      </c>
      <c r="EA128" s="56">
        <f>$BN128-$BN129</f>
        <v/>
      </c>
      <c r="EB128" s="56">
        <f>$BO128-$BO129</f>
        <v/>
      </c>
      <c r="EC128" s="56">
        <f>$BP128-$BP129</f>
        <v/>
      </c>
      <c r="ED128" s="56">
        <f>$BQ128-$BQ129</f>
        <v/>
      </c>
      <c r="EE128" s="56">
        <f>$BR128-$BR129</f>
        <v/>
      </c>
      <c r="EF128" s="56">
        <f>$BS128-$BS129</f>
        <v/>
      </c>
      <c r="EG128" s="56">
        <f>$BT128-$BT129</f>
        <v/>
      </c>
      <c r="EH128" s="56">
        <f>$BU128-$BU129</f>
        <v/>
      </c>
    </row>
    <row r="129">
      <c r="BV129" s="56">
        <f>($D129-$D130)*100</f>
        <v/>
      </c>
      <c r="BW129" s="56">
        <f>($C129-$C130)*100</f>
        <v/>
      </c>
      <c r="BX129" s="57">
        <f>IFERROR($I129/$I130-1,"")</f>
        <v/>
      </c>
      <c r="BY129" s="56">
        <f>($AF129-$AF130)*100</f>
        <v/>
      </c>
      <c r="BZ129" s="56">
        <f>($AG129-$AG130)*100</f>
        <v/>
      </c>
      <c r="CA129" s="56">
        <f>($AH129-$AH130)*100</f>
        <v/>
      </c>
      <c r="CB129" s="56">
        <f>($AI129-$AI130)*100</f>
        <v/>
      </c>
      <c r="CC129" s="56">
        <f>($AJ129-$AJ130)*100</f>
        <v/>
      </c>
      <c r="CD129" s="56">
        <f>($AK129-$AK130)*100</f>
        <v/>
      </c>
      <c r="CE129" s="56">
        <f>($AL129-$AL130)*100</f>
        <v/>
      </c>
      <c r="CF129" s="56">
        <f>($AM129-$AM130)*100</f>
        <v/>
      </c>
      <c r="CG129" s="56">
        <f>($AN129-$AN130)*100</f>
        <v/>
      </c>
      <c r="CH129" s="56">
        <f>($AO129-$AO130)*100</f>
        <v/>
      </c>
      <c r="CI129" s="56">
        <f>($AP129-$AP130)*100</f>
        <v/>
      </c>
      <c r="CJ129" s="56">
        <f>($AQ129-$AQ130)*100</f>
        <v/>
      </c>
      <c r="CK129" s="56">
        <f>($AR129-$AR130)*100</f>
        <v/>
      </c>
      <c r="CL129" s="56">
        <f>($AS129-$AS130)*100</f>
        <v/>
      </c>
      <c r="CM129" s="56">
        <f>($AT129-$AT130)*100</f>
        <v/>
      </c>
      <c r="CN129" s="56">
        <f>($AU129-$AU130)*100</f>
        <v/>
      </c>
      <c r="CO129" s="56">
        <f>($AV129-$AV130)*100</f>
        <v/>
      </c>
      <c r="CP129" s="56">
        <f>($AW129-$AW130)*100</f>
        <v/>
      </c>
      <c r="CQ129" s="56">
        <f>($AX129-$AX130)*100</f>
        <v/>
      </c>
      <c r="CR129" s="56">
        <f>($AY129-$AY130)*100</f>
        <v/>
      </c>
      <c r="CS129" s="57">
        <f>IFERROR($L130/$L129-1,"")</f>
        <v/>
      </c>
      <c r="CT129" s="57">
        <f>IFERROR($M130/$M129-1,"")</f>
        <v/>
      </c>
      <c r="CU129" s="57">
        <f>IFERROR($N130/$N129-1,"")</f>
        <v/>
      </c>
      <c r="CV129" s="57">
        <f>IFERROR($O130/$O129-1,"")</f>
        <v/>
      </c>
      <c r="CW129" s="57">
        <f>IFERROR($P130/$P129-1,"")</f>
        <v/>
      </c>
      <c r="CX129" s="57">
        <f>IFERROR($Q130/$Q129-1,"")</f>
        <v/>
      </c>
      <c r="CY129" s="57">
        <f>IFERROR($R130/$R129-1,"")</f>
        <v/>
      </c>
      <c r="CZ129" s="57">
        <f>IFERROR($S130/$S129-1,"")</f>
        <v/>
      </c>
      <c r="DA129" s="57">
        <f>IFERROR($T130/$T129-1,"")</f>
        <v/>
      </c>
      <c r="DB129" s="57">
        <f>IFERROR($U130/$U129-1,"")</f>
        <v/>
      </c>
      <c r="DC129" s="57">
        <f>IFERROR($V130/$V129-1,"")</f>
        <v/>
      </c>
      <c r="DD129" s="57">
        <f>IFERROR($W130/$W129-1,"")</f>
        <v/>
      </c>
      <c r="DE129" s="57">
        <f>IFERROR($X130/$X129-1,"")</f>
        <v/>
      </c>
      <c r="DF129" s="57">
        <f>IFERROR($Y130/$Y129-1,"")</f>
        <v/>
      </c>
      <c r="DG129" s="57">
        <f>IFERROR($Z130/$Z129-1,"")</f>
        <v/>
      </c>
      <c r="DH129" s="57">
        <f>IFERROR($AA130/$AA129-1,"")</f>
        <v/>
      </c>
      <c r="DI129" s="57">
        <f>IFERROR($AB130/$AB129-1,"")</f>
        <v/>
      </c>
      <c r="DJ129" s="57">
        <f>IFERROR($AC130/$AC129-1,"")</f>
        <v/>
      </c>
      <c r="DK129" s="57">
        <f>IFERROR($AD130/$AD129-1,"")</f>
        <v/>
      </c>
      <c r="DL129" s="57">
        <f>IFERROR($AE130/$AE129-1,"")</f>
        <v/>
      </c>
      <c r="DM129" s="56">
        <f>$AZ129-$AZ130</f>
        <v/>
      </c>
      <c r="DN129" s="56">
        <f>$BA129-$BA130</f>
        <v/>
      </c>
      <c r="DO129" s="56">
        <f>$BB129-$BB130</f>
        <v/>
      </c>
      <c r="DP129" s="56">
        <f>$BC129-$BC130</f>
        <v/>
      </c>
      <c r="DQ129" s="56">
        <f>$BD129-$BD130</f>
        <v/>
      </c>
      <c r="DR129" s="56">
        <f>$BE129-$BE130</f>
        <v/>
      </c>
      <c r="DS129" s="56">
        <f>$BF129-$BF130</f>
        <v/>
      </c>
      <c r="DT129" s="56">
        <f>$BG129-$BG130</f>
        <v/>
      </c>
      <c r="DU129" s="56">
        <f>$BH129-$BH130</f>
        <v/>
      </c>
      <c r="DV129" s="56">
        <f>$BI129-$BI130</f>
        <v/>
      </c>
      <c r="DW129" s="56">
        <f>$BJ129-$BJ130</f>
        <v/>
      </c>
      <c r="DX129" s="56">
        <f>$BK129-$BK130</f>
        <v/>
      </c>
      <c r="DY129" s="56">
        <f>$BL129-$BL130</f>
        <v/>
      </c>
      <c r="DZ129" s="56">
        <f>$BM129-$BM130</f>
        <v/>
      </c>
      <c r="EA129" s="56">
        <f>$BN129-$BN130</f>
        <v/>
      </c>
      <c r="EB129" s="56">
        <f>$BO129-$BO130</f>
        <v/>
      </c>
      <c r="EC129" s="56">
        <f>$BP129-$BP130</f>
        <v/>
      </c>
      <c r="ED129" s="56">
        <f>$BQ129-$BQ130</f>
        <v/>
      </c>
      <c r="EE129" s="56">
        <f>$BR129-$BR130</f>
        <v/>
      </c>
      <c r="EF129" s="56">
        <f>$BS129-$BS130</f>
        <v/>
      </c>
      <c r="EG129" s="56">
        <f>$BT129-$BT130</f>
        <v/>
      </c>
      <c r="EH129" s="56">
        <f>$BU129-$BU130</f>
        <v/>
      </c>
    </row>
    <row r="130">
      <c r="BV130" s="56">
        <f>($D130-$D131)*100</f>
        <v/>
      </c>
      <c r="BW130" s="56">
        <f>($C130-$C131)*100</f>
        <v/>
      </c>
      <c r="BX130" s="57">
        <f>IFERROR($I130/$I131-1,"")</f>
        <v/>
      </c>
      <c r="BY130" s="56">
        <f>($AF130-$AF131)*100</f>
        <v/>
      </c>
      <c r="BZ130" s="56">
        <f>($AG130-$AG131)*100</f>
        <v/>
      </c>
      <c r="CA130" s="56">
        <f>($AH130-$AH131)*100</f>
        <v/>
      </c>
      <c r="CB130" s="56">
        <f>($AI130-$AI131)*100</f>
        <v/>
      </c>
      <c r="CC130" s="56">
        <f>($AJ130-$AJ131)*100</f>
        <v/>
      </c>
      <c r="CD130" s="56">
        <f>($AK130-$AK131)*100</f>
        <v/>
      </c>
      <c r="CE130" s="56">
        <f>($AL130-$AL131)*100</f>
        <v/>
      </c>
      <c r="CF130" s="56">
        <f>($AM130-$AM131)*100</f>
        <v/>
      </c>
      <c r="CG130" s="56">
        <f>($AN130-$AN131)*100</f>
        <v/>
      </c>
      <c r="CH130" s="56">
        <f>($AO130-$AO131)*100</f>
        <v/>
      </c>
      <c r="CI130" s="56">
        <f>($AP130-$AP131)*100</f>
        <v/>
      </c>
      <c r="CJ130" s="56">
        <f>($AQ130-$AQ131)*100</f>
        <v/>
      </c>
      <c r="CK130" s="56">
        <f>($AR130-$AR131)*100</f>
        <v/>
      </c>
      <c r="CL130" s="56">
        <f>($AS130-$AS131)*100</f>
        <v/>
      </c>
      <c r="CM130" s="56">
        <f>($AT130-$AT131)*100</f>
        <v/>
      </c>
      <c r="CN130" s="56">
        <f>($AU130-$AU131)*100</f>
        <v/>
      </c>
      <c r="CO130" s="56">
        <f>($AV130-$AV131)*100</f>
        <v/>
      </c>
      <c r="CP130" s="56">
        <f>($AW130-$AW131)*100</f>
        <v/>
      </c>
      <c r="CQ130" s="56">
        <f>($AX130-$AX131)*100</f>
        <v/>
      </c>
      <c r="CR130" s="56">
        <f>($AY130-$AY131)*100</f>
        <v/>
      </c>
      <c r="CS130" s="57">
        <f>IFERROR($L131/$L130-1,"")</f>
        <v/>
      </c>
      <c r="CT130" s="57">
        <f>IFERROR($M131/$M130-1,"")</f>
        <v/>
      </c>
      <c r="CU130" s="57">
        <f>IFERROR($N131/$N130-1,"")</f>
        <v/>
      </c>
      <c r="CV130" s="57">
        <f>IFERROR($O131/$O130-1,"")</f>
        <v/>
      </c>
      <c r="CW130" s="57">
        <f>IFERROR($P131/$P130-1,"")</f>
        <v/>
      </c>
      <c r="CX130" s="57">
        <f>IFERROR($Q131/$Q130-1,"")</f>
        <v/>
      </c>
      <c r="CY130" s="57">
        <f>IFERROR($R131/$R130-1,"")</f>
        <v/>
      </c>
      <c r="CZ130" s="57">
        <f>IFERROR($S131/$S130-1,"")</f>
        <v/>
      </c>
      <c r="DA130" s="57">
        <f>IFERROR($T131/$T130-1,"")</f>
        <v/>
      </c>
      <c r="DB130" s="57">
        <f>IFERROR($U131/$U130-1,"")</f>
        <v/>
      </c>
      <c r="DC130" s="57">
        <f>IFERROR($V131/$V130-1,"")</f>
        <v/>
      </c>
      <c r="DD130" s="57">
        <f>IFERROR($W131/$W130-1,"")</f>
        <v/>
      </c>
      <c r="DE130" s="57">
        <f>IFERROR($X131/$X130-1,"")</f>
        <v/>
      </c>
      <c r="DF130" s="57">
        <f>IFERROR($Y131/$Y130-1,"")</f>
        <v/>
      </c>
      <c r="DG130" s="57">
        <f>IFERROR($Z131/$Z130-1,"")</f>
        <v/>
      </c>
      <c r="DH130" s="57">
        <f>IFERROR($AA131/$AA130-1,"")</f>
        <v/>
      </c>
      <c r="DI130" s="57">
        <f>IFERROR($AB131/$AB130-1,"")</f>
        <v/>
      </c>
      <c r="DJ130" s="57">
        <f>IFERROR($AC131/$AC130-1,"")</f>
        <v/>
      </c>
      <c r="DK130" s="57">
        <f>IFERROR($AD131/$AD130-1,"")</f>
        <v/>
      </c>
      <c r="DL130" s="57">
        <f>IFERROR($AE131/$AE130-1,"")</f>
        <v/>
      </c>
      <c r="DM130" s="56">
        <f>$AZ130-$AZ131</f>
        <v/>
      </c>
      <c r="DN130" s="56">
        <f>$BA130-$BA131</f>
        <v/>
      </c>
      <c r="DO130" s="56">
        <f>$BB130-$BB131</f>
        <v/>
      </c>
      <c r="DP130" s="56">
        <f>$BC130-$BC131</f>
        <v/>
      </c>
      <c r="DQ130" s="56">
        <f>$BD130-$BD131</f>
        <v/>
      </c>
      <c r="DR130" s="56">
        <f>$BE130-$BE131</f>
        <v/>
      </c>
      <c r="DS130" s="56">
        <f>$BF130-$BF131</f>
        <v/>
      </c>
      <c r="DT130" s="56">
        <f>$BG130-$BG131</f>
        <v/>
      </c>
      <c r="DU130" s="56">
        <f>$BH130-$BH131</f>
        <v/>
      </c>
      <c r="DV130" s="56">
        <f>$BI130-$BI131</f>
        <v/>
      </c>
      <c r="DW130" s="56">
        <f>$BJ130-$BJ131</f>
        <v/>
      </c>
      <c r="DX130" s="56">
        <f>$BK130-$BK131</f>
        <v/>
      </c>
      <c r="DY130" s="56">
        <f>$BL130-$BL131</f>
        <v/>
      </c>
      <c r="DZ130" s="56">
        <f>$BM130-$BM131</f>
        <v/>
      </c>
      <c r="EA130" s="56">
        <f>$BN130-$BN131</f>
        <v/>
      </c>
      <c r="EB130" s="56">
        <f>$BO130-$BO131</f>
        <v/>
      </c>
      <c r="EC130" s="56">
        <f>$BP130-$BP131</f>
        <v/>
      </c>
      <c r="ED130" s="56">
        <f>$BQ130-$BQ131</f>
        <v/>
      </c>
      <c r="EE130" s="56">
        <f>$BR130-$BR131</f>
        <v/>
      </c>
      <c r="EF130" s="56">
        <f>$BS130-$BS131</f>
        <v/>
      </c>
      <c r="EG130" s="56">
        <f>$BT130-$BT131</f>
        <v/>
      </c>
      <c r="EH130" s="56">
        <f>$BU130-$BU131</f>
        <v/>
      </c>
    </row>
    <row r="131">
      <c r="BV131" s="56">
        <f>($D131-$D132)*100</f>
        <v/>
      </c>
      <c r="BW131" s="56">
        <f>($C131-$C132)*100</f>
        <v/>
      </c>
      <c r="BX131" s="57">
        <f>IFERROR($I131/$I132-1,"")</f>
        <v/>
      </c>
      <c r="BY131" s="56">
        <f>($AF131-$AF132)*100</f>
        <v/>
      </c>
      <c r="BZ131" s="56">
        <f>($AG131-$AG132)*100</f>
        <v/>
      </c>
      <c r="CA131" s="56">
        <f>($AH131-$AH132)*100</f>
        <v/>
      </c>
      <c r="CB131" s="56">
        <f>($AI131-$AI132)*100</f>
        <v/>
      </c>
      <c r="CC131" s="56">
        <f>($AJ131-$AJ132)*100</f>
        <v/>
      </c>
      <c r="CD131" s="56">
        <f>($AK131-$AK132)*100</f>
        <v/>
      </c>
      <c r="CE131" s="56">
        <f>($AL131-$AL132)*100</f>
        <v/>
      </c>
      <c r="CF131" s="56">
        <f>($AM131-$AM132)*100</f>
        <v/>
      </c>
      <c r="CG131" s="56">
        <f>($AN131-$AN132)*100</f>
        <v/>
      </c>
      <c r="CH131" s="56">
        <f>($AO131-$AO132)*100</f>
        <v/>
      </c>
      <c r="CI131" s="56">
        <f>($AP131-$AP132)*100</f>
        <v/>
      </c>
      <c r="CJ131" s="56">
        <f>($AQ131-$AQ132)*100</f>
        <v/>
      </c>
      <c r="CK131" s="56">
        <f>($AR131-$AR132)*100</f>
        <v/>
      </c>
      <c r="CL131" s="56">
        <f>($AS131-$AS132)*100</f>
        <v/>
      </c>
      <c r="CM131" s="56">
        <f>($AT131-$AT132)*100</f>
        <v/>
      </c>
      <c r="CN131" s="56">
        <f>($AU131-$AU132)*100</f>
        <v/>
      </c>
      <c r="CO131" s="56">
        <f>($AV131-$AV132)*100</f>
        <v/>
      </c>
      <c r="CP131" s="56">
        <f>($AW131-$AW132)*100</f>
        <v/>
      </c>
      <c r="CQ131" s="56">
        <f>($AX131-$AX132)*100</f>
        <v/>
      </c>
      <c r="CR131" s="56">
        <f>($AY131-$AY132)*100</f>
        <v/>
      </c>
      <c r="CS131" s="57">
        <f>IFERROR($L132/$L131-1,"")</f>
        <v/>
      </c>
      <c r="CT131" s="57">
        <f>IFERROR($M132/$M131-1,"")</f>
        <v/>
      </c>
      <c r="CU131" s="57">
        <f>IFERROR($N132/$N131-1,"")</f>
        <v/>
      </c>
      <c r="CV131" s="57">
        <f>IFERROR($O132/$O131-1,"")</f>
        <v/>
      </c>
      <c r="CW131" s="57">
        <f>IFERROR($P132/$P131-1,"")</f>
        <v/>
      </c>
      <c r="CX131" s="57">
        <f>IFERROR($Q132/$Q131-1,"")</f>
        <v/>
      </c>
      <c r="CY131" s="57">
        <f>IFERROR($R132/$R131-1,"")</f>
        <v/>
      </c>
      <c r="CZ131" s="57">
        <f>IFERROR($S132/$S131-1,"")</f>
        <v/>
      </c>
      <c r="DA131" s="57">
        <f>IFERROR($T132/$T131-1,"")</f>
        <v/>
      </c>
      <c r="DB131" s="57">
        <f>IFERROR($U132/$U131-1,"")</f>
        <v/>
      </c>
      <c r="DC131" s="57">
        <f>IFERROR($V132/$V131-1,"")</f>
        <v/>
      </c>
      <c r="DD131" s="57">
        <f>IFERROR($W132/$W131-1,"")</f>
        <v/>
      </c>
      <c r="DE131" s="57">
        <f>IFERROR($X132/$X131-1,"")</f>
        <v/>
      </c>
      <c r="DF131" s="57">
        <f>IFERROR($Y132/$Y131-1,"")</f>
        <v/>
      </c>
      <c r="DG131" s="57">
        <f>IFERROR($Z132/$Z131-1,"")</f>
        <v/>
      </c>
      <c r="DH131" s="57">
        <f>IFERROR($AA132/$AA131-1,"")</f>
        <v/>
      </c>
      <c r="DI131" s="57">
        <f>IFERROR($AB132/$AB131-1,"")</f>
        <v/>
      </c>
      <c r="DJ131" s="57">
        <f>IFERROR($AC132/$AC131-1,"")</f>
        <v/>
      </c>
      <c r="DK131" s="57">
        <f>IFERROR($AD132/$AD131-1,"")</f>
        <v/>
      </c>
      <c r="DL131" s="57">
        <f>IFERROR($AE132/$AE131-1,"")</f>
        <v/>
      </c>
      <c r="DM131" s="56">
        <f>$AZ131-$AZ132</f>
        <v/>
      </c>
      <c r="DN131" s="56">
        <f>$BA131-$BA132</f>
        <v/>
      </c>
      <c r="DO131" s="56">
        <f>$BB131-$BB132</f>
        <v/>
      </c>
      <c r="DP131" s="56">
        <f>$BC131-$BC132</f>
        <v/>
      </c>
      <c r="DQ131" s="56">
        <f>$BD131-$BD132</f>
        <v/>
      </c>
      <c r="DR131" s="56">
        <f>$BE131-$BE132</f>
        <v/>
      </c>
      <c r="DS131" s="56">
        <f>$BF131-$BF132</f>
        <v/>
      </c>
      <c r="DT131" s="56">
        <f>$BG131-$BG132</f>
        <v/>
      </c>
      <c r="DU131" s="56">
        <f>$BH131-$BH132</f>
        <v/>
      </c>
      <c r="DV131" s="56">
        <f>$BI131-$BI132</f>
        <v/>
      </c>
      <c r="DW131" s="56">
        <f>$BJ131-$BJ132</f>
        <v/>
      </c>
      <c r="DX131" s="56">
        <f>$BK131-$BK132</f>
        <v/>
      </c>
      <c r="DY131" s="56">
        <f>$BL131-$BL132</f>
        <v/>
      </c>
      <c r="DZ131" s="56">
        <f>$BM131-$BM132</f>
        <v/>
      </c>
      <c r="EA131" s="56">
        <f>$BN131-$BN132</f>
        <v/>
      </c>
      <c r="EB131" s="56">
        <f>$BO131-$BO132</f>
        <v/>
      </c>
      <c r="EC131" s="56">
        <f>$BP131-$BP132</f>
        <v/>
      </c>
      <c r="ED131" s="56">
        <f>$BQ131-$BQ132</f>
        <v/>
      </c>
      <c r="EE131" s="56">
        <f>$BR131-$BR132</f>
        <v/>
      </c>
      <c r="EF131" s="56">
        <f>$BS131-$BS132</f>
        <v/>
      </c>
      <c r="EG131" s="56">
        <f>$BT131-$BT132</f>
        <v/>
      </c>
      <c r="EH131" s="56">
        <f>$BU131-$BU132</f>
        <v/>
      </c>
    </row>
    <row r="132">
      <c r="BV132" s="56">
        <f>($D132-$D133)*100</f>
        <v/>
      </c>
      <c r="BW132" s="56">
        <f>($C132-$C133)*100</f>
        <v/>
      </c>
      <c r="BX132" s="57">
        <f>IFERROR($I132/$I133-1,"")</f>
        <v/>
      </c>
      <c r="BY132" s="56">
        <f>($AF132-$AF133)*100</f>
        <v/>
      </c>
      <c r="BZ132" s="56">
        <f>($AG132-$AG133)*100</f>
        <v/>
      </c>
      <c r="CA132" s="56">
        <f>($AH132-$AH133)*100</f>
        <v/>
      </c>
      <c r="CB132" s="56">
        <f>($AI132-$AI133)*100</f>
        <v/>
      </c>
      <c r="CC132" s="56">
        <f>($AJ132-$AJ133)*100</f>
        <v/>
      </c>
      <c r="CD132" s="56">
        <f>($AK132-$AK133)*100</f>
        <v/>
      </c>
      <c r="CE132" s="56">
        <f>($AL132-$AL133)*100</f>
        <v/>
      </c>
      <c r="CF132" s="56">
        <f>($AM132-$AM133)*100</f>
        <v/>
      </c>
      <c r="CG132" s="56">
        <f>($AN132-$AN133)*100</f>
        <v/>
      </c>
      <c r="CH132" s="56">
        <f>($AO132-$AO133)*100</f>
        <v/>
      </c>
      <c r="CI132" s="56">
        <f>($AP132-$AP133)*100</f>
        <v/>
      </c>
      <c r="CJ132" s="56">
        <f>($AQ132-$AQ133)*100</f>
        <v/>
      </c>
      <c r="CK132" s="56">
        <f>($AR132-$AR133)*100</f>
        <v/>
      </c>
      <c r="CL132" s="56">
        <f>($AS132-$AS133)*100</f>
        <v/>
      </c>
      <c r="CM132" s="56">
        <f>($AT132-$AT133)*100</f>
        <v/>
      </c>
      <c r="CN132" s="56">
        <f>($AU132-$AU133)*100</f>
        <v/>
      </c>
      <c r="CO132" s="56">
        <f>($AV132-$AV133)*100</f>
        <v/>
      </c>
      <c r="CP132" s="56">
        <f>($AW132-$AW133)*100</f>
        <v/>
      </c>
      <c r="CQ132" s="56">
        <f>($AX132-$AX133)*100</f>
        <v/>
      </c>
      <c r="CR132" s="56">
        <f>($AY132-$AY133)*100</f>
        <v/>
      </c>
      <c r="CS132" s="57">
        <f>IFERROR($L133/$L132-1,"")</f>
        <v/>
      </c>
      <c r="CT132" s="57">
        <f>IFERROR($M133/$M132-1,"")</f>
        <v/>
      </c>
      <c r="CU132" s="57">
        <f>IFERROR($N133/$N132-1,"")</f>
        <v/>
      </c>
      <c r="CV132" s="57">
        <f>IFERROR($O133/$O132-1,"")</f>
        <v/>
      </c>
      <c r="CW132" s="57">
        <f>IFERROR($P133/$P132-1,"")</f>
        <v/>
      </c>
      <c r="CX132" s="57">
        <f>IFERROR($Q133/$Q132-1,"")</f>
        <v/>
      </c>
      <c r="CY132" s="57">
        <f>IFERROR($R133/$R132-1,"")</f>
        <v/>
      </c>
      <c r="CZ132" s="57">
        <f>IFERROR($S133/$S132-1,"")</f>
        <v/>
      </c>
      <c r="DA132" s="57">
        <f>IFERROR($T133/$T132-1,"")</f>
        <v/>
      </c>
      <c r="DB132" s="57">
        <f>IFERROR($U133/$U132-1,"")</f>
        <v/>
      </c>
      <c r="DC132" s="57">
        <f>IFERROR($V133/$V132-1,"")</f>
        <v/>
      </c>
      <c r="DD132" s="57">
        <f>IFERROR($W133/$W132-1,"")</f>
        <v/>
      </c>
      <c r="DE132" s="57">
        <f>IFERROR($X133/$X132-1,"")</f>
        <v/>
      </c>
      <c r="DF132" s="57">
        <f>IFERROR($Y133/$Y132-1,"")</f>
        <v/>
      </c>
      <c r="DG132" s="57">
        <f>IFERROR($Z133/$Z132-1,"")</f>
        <v/>
      </c>
      <c r="DH132" s="57">
        <f>IFERROR($AA133/$AA132-1,"")</f>
        <v/>
      </c>
      <c r="DI132" s="57">
        <f>IFERROR($AB133/$AB132-1,"")</f>
        <v/>
      </c>
      <c r="DJ132" s="57">
        <f>IFERROR($AC133/$AC132-1,"")</f>
        <v/>
      </c>
      <c r="DK132" s="57">
        <f>IFERROR($AD133/$AD132-1,"")</f>
        <v/>
      </c>
      <c r="DL132" s="57">
        <f>IFERROR($AE133/$AE132-1,"")</f>
        <v/>
      </c>
      <c r="DM132" s="56">
        <f>$AZ132-$AZ133</f>
        <v/>
      </c>
      <c r="DN132" s="56">
        <f>$BA132-$BA133</f>
        <v/>
      </c>
      <c r="DO132" s="56">
        <f>$BB132-$BB133</f>
        <v/>
      </c>
      <c r="DP132" s="56">
        <f>$BC132-$BC133</f>
        <v/>
      </c>
      <c r="DQ132" s="56">
        <f>$BD132-$BD133</f>
        <v/>
      </c>
      <c r="DR132" s="56">
        <f>$BE132-$BE133</f>
        <v/>
      </c>
      <c r="DS132" s="56">
        <f>$BF132-$BF133</f>
        <v/>
      </c>
      <c r="DT132" s="56">
        <f>$BG132-$BG133</f>
        <v/>
      </c>
      <c r="DU132" s="56">
        <f>$BH132-$BH133</f>
        <v/>
      </c>
      <c r="DV132" s="56">
        <f>$BI132-$BI133</f>
        <v/>
      </c>
      <c r="DW132" s="56">
        <f>$BJ132-$BJ133</f>
        <v/>
      </c>
      <c r="DX132" s="56">
        <f>$BK132-$BK133</f>
        <v/>
      </c>
      <c r="DY132" s="56">
        <f>$BL132-$BL133</f>
        <v/>
      </c>
      <c r="DZ132" s="56">
        <f>$BM132-$BM133</f>
        <v/>
      </c>
      <c r="EA132" s="56">
        <f>$BN132-$BN133</f>
        <v/>
      </c>
      <c r="EB132" s="56">
        <f>$BO132-$BO133</f>
        <v/>
      </c>
      <c r="EC132" s="56">
        <f>$BP132-$BP133</f>
        <v/>
      </c>
      <c r="ED132" s="56">
        <f>$BQ132-$BQ133</f>
        <v/>
      </c>
      <c r="EE132" s="56">
        <f>$BR132-$BR133</f>
        <v/>
      </c>
      <c r="EF132" s="56">
        <f>$BS132-$BS133</f>
        <v/>
      </c>
      <c r="EG132" s="56">
        <f>$BT132-$BT133</f>
        <v/>
      </c>
      <c r="EH132" s="56">
        <f>$BU132-$BU133</f>
        <v/>
      </c>
    </row>
    <row r="133">
      <c r="BV133" s="56">
        <f>($D133-$D134)*100</f>
        <v/>
      </c>
      <c r="BW133" s="56">
        <f>($C133-$C134)*100</f>
        <v/>
      </c>
      <c r="BX133" s="57">
        <f>IFERROR($I133/$I134-1,"")</f>
        <v/>
      </c>
      <c r="BY133" s="56">
        <f>($AF133-$AF134)*100</f>
        <v/>
      </c>
      <c r="BZ133" s="56">
        <f>($AG133-$AG134)*100</f>
        <v/>
      </c>
      <c r="CA133" s="56">
        <f>($AH133-$AH134)*100</f>
        <v/>
      </c>
      <c r="CB133" s="56">
        <f>($AI133-$AI134)*100</f>
        <v/>
      </c>
      <c r="CC133" s="56">
        <f>($AJ133-$AJ134)*100</f>
        <v/>
      </c>
      <c r="CD133" s="56">
        <f>($AK133-$AK134)*100</f>
        <v/>
      </c>
      <c r="CE133" s="56">
        <f>($AL133-$AL134)*100</f>
        <v/>
      </c>
      <c r="CF133" s="56">
        <f>($AM133-$AM134)*100</f>
        <v/>
      </c>
      <c r="CG133" s="56">
        <f>($AN133-$AN134)*100</f>
        <v/>
      </c>
      <c r="CH133" s="56">
        <f>($AO133-$AO134)*100</f>
        <v/>
      </c>
      <c r="CI133" s="56">
        <f>($AP133-$AP134)*100</f>
        <v/>
      </c>
      <c r="CJ133" s="56">
        <f>($AQ133-$AQ134)*100</f>
        <v/>
      </c>
      <c r="CK133" s="56">
        <f>($AR133-$AR134)*100</f>
        <v/>
      </c>
      <c r="CL133" s="56">
        <f>($AS133-$AS134)*100</f>
        <v/>
      </c>
      <c r="CM133" s="56">
        <f>($AT133-$AT134)*100</f>
        <v/>
      </c>
      <c r="CN133" s="56">
        <f>($AU133-$AU134)*100</f>
        <v/>
      </c>
      <c r="CO133" s="56">
        <f>($AV133-$AV134)*100</f>
        <v/>
      </c>
      <c r="CP133" s="56">
        <f>($AW133-$AW134)*100</f>
        <v/>
      </c>
      <c r="CQ133" s="56">
        <f>($AX133-$AX134)*100</f>
        <v/>
      </c>
      <c r="CR133" s="56">
        <f>($AY133-$AY134)*100</f>
        <v/>
      </c>
      <c r="CS133" s="57">
        <f>IFERROR($L134/$L133-1,"")</f>
        <v/>
      </c>
      <c r="CT133" s="57">
        <f>IFERROR($M134/$M133-1,"")</f>
        <v/>
      </c>
      <c r="CU133" s="57">
        <f>IFERROR($N134/$N133-1,"")</f>
        <v/>
      </c>
      <c r="CV133" s="57">
        <f>IFERROR($O134/$O133-1,"")</f>
        <v/>
      </c>
      <c r="CW133" s="57">
        <f>IFERROR($P134/$P133-1,"")</f>
        <v/>
      </c>
      <c r="CX133" s="57">
        <f>IFERROR($Q134/$Q133-1,"")</f>
        <v/>
      </c>
      <c r="CY133" s="57">
        <f>IFERROR($R134/$R133-1,"")</f>
        <v/>
      </c>
      <c r="CZ133" s="57">
        <f>IFERROR($S134/$S133-1,"")</f>
        <v/>
      </c>
      <c r="DA133" s="57">
        <f>IFERROR($T134/$T133-1,"")</f>
        <v/>
      </c>
      <c r="DB133" s="57">
        <f>IFERROR($U134/$U133-1,"")</f>
        <v/>
      </c>
      <c r="DC133" s="57">
        <f>IFERROR($V134/$V133-1,"")</f>
        <v/>
      </c>
      <c r="DD133" s="57">
        <f>IFERROR($W134/$W133-1,"")</f>
        <v/>
      </c>
      <c r="DE133" s="57">
        <f>IFERROR($X134/$X133-1,"")</f>
        <v/>
      </c>
      <c r="DF133" s="57">
        <f>IFERROR($Y134/$Y133-1,"")</f>
        <v/>
      </c>
      <c r="DG133" s="57">
        <f>IFERROR($Z134/$Z133-1,"")</f>
        <v/>
      </c>
      <c r="DH133" s="57">
        <f>IFERROR($AA134/$AA133-1,"")</f>
        <v/>
      </c>
      <c r="DI133" s="57">
        <f>IFERROR($AB134/$AB133-1,"")</f>
        <v/>
      </c>
      <c r="DJ133" s="57">
        <f>IFERROR($AC134/$AC133-1,"")</f>
        <v/>
      </c>
      <c r="DK133" s="57">
        <f>IFERROR($AD134/$AD133-1,"")</f>
        <v/>
      </c>
      <c r="DL133" s="57">
        <f>IFERROR($AE134/$AE133-1,"")</f>
        <v/>
      </c>
      <c r="DM133" s="56">
        <f>$AZ133-$AZ134</f>
        <v/>
      </c>
      <c r="DN133" s="56">
        <f>$BA133-$BA134</f>
        <v/>
      </c>
      <c r="DO133" s="56">
        <f>$BB133-$BB134</f>
        <v/>
      </c>
      <c r="DP133" s="56">
        <f>$BC133-$BC134</f>
        <v/>
      </c>
      <c r="DQ133" s="56">
        <f>$BD133-$BD134</f>
        <v/>
      </c>
      <c r="DR133" s="56">
        <f>$BE133-$BE134</f>
        <v/>
      </c>
      <c r="DS133" s="56">
        <f>$BF133-$BF134</f>
        <v/>
      </c>
      <c r="DT133" s="56">
        <f>$BG133-$BG134</f>
        <v/>
      </c>
      <c r="DU133" s="56">
        <f>$BH133-$BH134</f>
        <v/>
      </c>
      <c r="DV133" s="56">
        <f>$BI133-$BI134</f>
        <v/>
      </c>
      <c r="DW133" s="56">
        <f>$BJ133-$BJ134</f>
        <v/>
      </c>
      <c r="DX133" s="56">
        <f>$BK133-$BK134</f>
        <v/>
      </c>
      <c r="DY133" s="56">
        <f>$BL133-$BL134</f>
        <v/>
      </c>
      <c r="DZ133" s="56">
        <f>$BM133-$BM134</f>
        <v/>
      </c>
      <c r="EA133" s="56">
        <f>$BN133-$BN134</f>
        <v/>
      </c>
      <c r="EB133" s="56">
        <f>$BO133-$BO134</f>
        <v/>
      </c>
      <c r="EC133" s="56">
        <f>$BP133-$BP134</f>
        <v/>
      </c>
      <c r="ED133" s="56">
        <f>$BQ133-$BQ134</f>
        <v/>
      </c>
      <c r="EE133" s="56">
        <f>$BR133-$BR134</f>
        <v/>
      </c>
      <c r="EF133" s="56">
        <f>$BS133-$BS134</f>
        <v/>
      </c>
      <c r="EG133" s="56">
        <f>$BT133-$BT134</f>
        <v/>
      </c>
      <c r="EH133" s="56">
        <f>$BU133-$BU134</f>
        <v/>
      </c>
    </row>
    <row r="134">
      <c r="BV134" s="56">
        <f>($D134-$D135)*100</f>
        <v/>
      </c>
      <c r="BW134" s="56">
        <f>($C134-$C135)*100</f>
        <v/>
      </c>
      <c r="BX134" s="57">
        <f>IFERROR($I134/$I135-1,"")</f>
        <v/>
      </c>
      <c r="BY134" s="56">
        <f>($AF134-$AF135)*100</f>
        <v/>
      </c>
      <c r="BZ134" s="56">
        <f>($AG134-$AG135)*100</f>
        <v/>
      </c>
      <c r="CA134" s="56">
        <f>($AH134-$AH135)*100</f>
        <v/>
      </c>
      <c r="CB134" s="56">
        <f>($AI134-$AI135)*100</f>
        <v/>
      </c>
      <c r="CC134" s="56">
        <f>($AJ134-$AJ135)*100</f>
        <v/>
      </c>
      <c r="CD134" s="56">
        <f>($AK134-$AK135)*100</f>
        <v/>
      </c>
      <c r="CE134" s="56">
        <f>($AL134-$AL135)*100</f>
        <v/>
      </c>
      <c r="CF134" s="56">
        <f>($AM134-$AM135)*100</f>
        <v/>
      </c>
      <c r="CG134" s="56">
        <f>($AN134-$AN135)*100</f>
        <v/>
      </c>
      <c r="CH134" s="56">
        <f>($AO134-$AO135)*100</f>
        <v/>
      </c>
      <c r="CI134" s="56">
        <f>($AP134-$AP135)*100</f>
        <v/>
      </c>
      <c r="CJ134" s="56">
        <f>($AQ134-$AQ135)*100</f>
        <v/>
      </c>
      <c r="CK134" s="56">
        <f>($AR134-$AR135)*100</f>
        <v/>
      </c>
      <c r="CL134" s="56">
        <f>($AS134-$AS135)*100</f>
        <v/>
      </c>
      <c r="CM134" s="56">
        <f>($AT134-$AT135)*100</f>
        <v/>
      </c>
      <c r="CN134" s="56">
        <f>($AU134-$AU135)*100</f>
        <v/>
      </c>
      <c r="CO134" s="56">
        <f>($AV134-$AV135)*100</f>
        <v/>
      </c>
      <c r="CP134" s="56">
        <f>($AW134-$AW135)*100</f>
        <v/>
      </c>
      <c r="CQ134" s="56">
        <f>($AX134-$AX135)*100</f>
        <v/>
      </c>
      <c r="CR134" s="56">
        <f>($AY134-$AY135)*100</f>
        <v/>
      </c>
      <c r="CS134" s="57">
        <f>IFERROR($L135/$L134-1,"")</f>
        <v/>
      </c>
      <c r="CT134" s="57">
        <f>IFERROR($M135/$M134-1,"")</f>
        <v/>
      </c>
      <c r="CU134" s="57">
        <f>IFERROR($N135/$N134-1,"")</f>
        <v/>
      </c>
      <c r="CV134" s="57">
        <f>IFERROR($O135/$O134-1,"")</f>
        <v/>
      </c>
      <c r="CW134" s="57">
        <f>IFERROR($P135/$P134-1,"")</f>
        <v/>
      </c>
      <c r="CX134" s="57">
        <f>IFERROR($Q135/$Q134-1,"")</f>
        <v/>
      </c>
      <c r="CY134" s="57">
        <f>IFERROR($R135/$R134-1,"")</f>
        <v/>
      </c>
      <c r="CZ134" s="57">
        <f>IFERROR($S135/$S134-1,"")</f>
        <v/>
      </c>
      <c r="DA134" s="57">
        <f>IFERROR($T135/$T134-1,"")</f>
        <v/>
      </c>
      <c r="DB134" s="57">
        <f>IFERROR($U135/$U134-1,"")</f>
        <v/>
      </c>
      <c r="DC134" s="57">
        <f>IFERROR($V135/$V134-1,"")</f>
        <v/>
      </c>
      <c r="DD134" s="57">
        <f>IFERROR($W135/$W134-1,"")</f>
        <v/>
      </c>
      <c r="DE134" s="57">
        <f>IFERROR($X135/$X134-1,"")</f>
        <v/>
      </c>
      <c r="DF134" s="57">
        <f>IFERROR($Y135/$Y134-1,"")</f>
        <v/>
      </c>
      <c r="DG134" s="57">
        <f>IFERROR($Z135/$Z134-1,"")</f>
        <v/>
      </c>
      <c r="DH134" s="57">
        <f>IFERROR($AA135/$AA134-1,"")</f>
        <v/>
      </c>
      <c r="DI134" s="57">
        <f>IFERROR($AB135/$AB134-1,"")</f>
        <v/>
      </c>
      <c r="DJ134" s="57">
        <f>IFERROR($AC135/$AC134-1,"")</f>
        <v/>
      </c>
      <c r="DK134" s="57">
        <f>IFERROR($AD135/$AD134-1,"")</f>
        <v/>
      </c>
      <c r="DL134" s="57">
        <f>IFERROR($AE135/$AE134-1,"")</f>
        <v/>
      </c>
      <c r="DM134" s="56">
        <f>$AZ134-$AZ135</f>
        <v/>
      </c>
      <c r="DN134" s="56">
        <f>$BA134-$BA135</f>
        <v/>
      </c>
      <c r="DO134" s="56">
        <f>$BB134-$BB135</f>
        <v/>
      </c>
      <c r="DP134" s="56">
        <f>$BC134-$BC135</f>
        <v/>
      </c>
      <c r="DQ134" s="56">
        <f>$BD134-$BD135</f>
        <v/>
      </c>
      <c r="DR134" s="56">
        <f>$BE134-$BE135</f>
        <v/>
      </c>
      <c r="DS134" s="56">
        <f>$BF134-$BF135</f>
        <v/>
      </c>
      <c r="DT134" s="56">
        <f>$BG134-$BG135</f>
        <v/>
      </c>
      <c r="DU134" s="56">
        <f>$BH134-$BH135</f>
        <v/>
      </c>
      <c r="DV134" s="56">
        <f>$BI134-$BI135</f>
        <v/>
      </c>
      <c r="DW134" s="56">
        <f>$BJ134-$BJ135</f>
        <v/>
      </c>
      <c r="DX134" s="56">
        <f>$BK134-$BK135</f>
        <v/>
      </c>
      <c r="DY134" s="56">
        <f>$BL134-$BL135</f>
        <v/>
      </c>
      <c r="DZ134" s="56">
        <f>$BM134-$BM135</f>
        <v/>
      </c>
      <c r="EA134" s="56">
        <f>$BN134-$BN135</f>
        <v/>
      </c>
      <c r="EB134" s="56">
        <f>$BO134-$BO135</f>
        <v/>
      </c>
      <c r="EC134" s="56">
        <f>$BP134-$BP135</f>
        <v/>
      </c>
      <c r="ED134" s="56">
        <f>$BQ134-$BQ135</f>
        <v/>
      </c>
      <c r="EE134" s="56">
        <f>$BR134-$BR135</f>
        <v/>
      </c>
      <c r="EF134" s="56">
        <f>$BS134-$BS135</f>
        <v/>
      </c>
      <c r="EG134" s="56">
        <f>$BT134-$BT135</f>
        <v/>
      </c>
      <c r="EH134" s="56">
        <f>$BU134-$BU135</f>
        <v/>
      </c>
    </row>
    <row r="135">
      <c r="BV135" s="56">
        <f>($D135-$D136)*100</f>
        <v/>
      </c>
      <c r="BW135" s="56">
        <f>($C135-$C136)*100</f>
        <v/>
      </c>
      <c r="BX135" s="57">
        <f>IFERROR($I135/$I136-1,"")</f>
        <v/>
      </c>
      <c r="BY135" s="56">
        <f>($AF135-$AF136)*100</f>
        <v/>
      </c>
      <c r="BZ135" s="56">
        <f>($AG135-$AG136)*100</f>
        <v/>
      </c>
      <c r="CA135" s="56">
        <f>($AH135-$AH136)*100</f>
        <v/>
      </c>
      <c r="CB135" s="56">
        <f>($AI135-$AI136)*100</f>
        <v/>
      </c>
      <c r="CC135" s="56">
        <f>($AJ135-$AJ136)*100</f>
        <v/>
      </c>
      <c r="CD135" s="56">
        <f>($AK135-$AK136)*100</f>
        <v/>
      </c>
      <c r="CE135" s="56">
        <f>($AL135-$AL136)*100</f>
        <v/>
      </c>
      <c r="CF135" s="56">
        <f>($AM135-$AM136)*100</f>
        <v/>
      </c>
      <c r="CG135" s="56">
        <f>($AN135-$AN136)*100</f>
        <v/>
      </c>
      <c r="CH135" s="56">
        <f>($AO135-$AO136)*100</f>
        <v/>
      </c>
      <c r="CI135" s="56">
        <f>($AP135-$AP136)*100</f>
        <v/>
      </c>
      <c r="CJ135" s="56">
        <f>($AQ135-$AQ136)*100</f>
        <v/>
      </c>
      <c r="CK135" s="56">
        <f>($AR135-$AR136)*100</f>
        <v/>
      </c>
      <c r="CL135" s="56">
        <f>($AS135-$AS136)*100</f>
        <v/>
      </c>
      <c r="CM135" s="56">
        <f>($AT135-$AT136)*100</f>
        <v/>
      </c>
      <c r="CN135" s="56">
        <f>($AU135-$AU136)*100</f>
        <v/>
      </c>
      <c r="CO135" s="56">
        <f>($AV135-$AV136)*100</f>
        <v/>
      </c>
      <c r="CP135" s="56">
        <f>($AW135-$AW136)*100</f>
        <v/>
      </c>
      <c r="CQ135" s="56">
        <f>($AX135-$AX136)*100</f>
        <v/>
      </c>
      <c r="CR135" s="56">
        <f>($AY135-$AY136)*100</f>
        <v/>
      </c>
      <c r="CS135" s="57">
        <f>IFERROR($L136/$L135-1,"")</f>
        <v/>
      </c>
      <c r="CT135" s="57">
        <f>IFERROR($M136/$M135-1,"")</f>
        <v/>
      </c>
      <c r="CU135" s="57">
        <f>IFERROR($N136/$N135-1,"")</f>
        <v/>
      </c>
      <c r="CV135" s="57">
        <f>IFERROR($O136/$O135-1,"")</f>
        <v/>
      </c>
      <c r="CW135" s="57">
        <f>IFERROR($P136/$P135-1,"")</f>
        <v/>
      </c>
      <c r="CX135" s="57">
        <f>IFERROR($Q136/$Q135-1,"")</f>
        <v/>
      </c>
      <c r="CY135" s="57">
        <f>IFERROR($R136/$R135-1,"")</f>
        <v/>
      </c>
      <c r="CZ135" s="57">
        <f>IFERROR($S136/$S135-1,"")</f>
        <v/>
      </c>
      <c r="DA135" s="57">
        <f>IFERROR($T136/$T135-1,"")</f>
        <v/>
      </c>
      <c r="DB135" s="57">
        <f>IFERROR($U136/$U135-1,"")</f>
        <v/>
      </c>
      <c r="DC135" s="57">
        <f>IFERROR($V136/$V135-1,"")</f>
        <v/>
      </c>
      <c r="DD135" s="57">
        <f>IFERROR($W136/$W135-1,"")</f>
        <v/>
      </c>
      <c r="DE135" s="57">
        <f>IFERROR($X136/$X135-1,"")</f>
        <v/>
      </c>
      <c r="DF135" s="57">
        <f>IFERROR($Y136/$Y135-1,"")</f>
        <v/>
      </c>
      <c r="DG135" s="57">
        <f>IFERROR($Z136/$Z135-1,"")</f>
        <v/>
      </c>
      <c r="DH135" s="57">
        <f>IFERROR($AA136/$AA135-1,"")</f>
        <v/>
      </c>
      <c r="DI135" s="57">
        <f>IFERROR($AB136/$AB135-1,"")</f>
        <v/>
      </c>
      <c r="DJ135" s="57">
        <f>IFERROR($AC136/$AC135-1,"")</f>
        <v/>
      </c>
      <c r="DK135" s="57">
        <f>IFERROR($AD136/$AD135-1,"")</f>
        <v/>
      </c>
      <c r="DL135" s="57">
        <f>IFERROR($AE136/$AE135-1,"")</f>
        <v/>
      </c>
      <c r="DM135" s="56">
        <f>$AZ135-$AZ136</f>
        <v/>
      </c>
      <c r="DN135" s="56">
        <f>$BA135-$BA136</f>
        <v/>
      </c>
      <c r="DO135" s="56">
        <f>$BB135-$BB136</f>
        <v/>
      </c>
      <c r="DP135" s="56">
        <f>$BC135-$BC136</f>
        <v/>
      </c>
      <c r="DQ135" s="56">
        <f>$BD135-$BD136</f>
        <v/>
      </c>
      <c r="DR135" s="56">
        <f>$BE135-$BE136</f>
        <v/>
      </c>
      <c r="DS135" s="56">
        <f>$BF135-$BF136</f>
        <v/>
      </c>
      <c r="DT135" s="56">
        <f>$BG135-$BG136</f>
        <v/>
      </c>
      <c r="DU135" s="56">
        <f>$BH135-$BH136</f>
        <v/>
      </c>
      <c r="DV135" s="56">
        <f>$BI135-$BI136</f>
        <v/>
      </c>
      <c r="DW135" s="56">
        <f>$BJ135-$BJ136</f>
        <v/>
      </c>
      <c r="DX135" s="56">
        <f>$BK135-$BK136</f>
        <v/>
      </c>
      <c r="DY135" s="56">
        <f>$BL135-$BL136</f>
        <v/>
      </c>
      <c r="DZ135" s="56">
        <f>$BM135-$BM136</f>
        <v/>
      </c>
      <c r="EA135" s="56">
        <f>$BN135-$BN136</f>
        <v/>
      </c>
      <c r="EB135" s="56">
        <f>$BO135-$BO136</f>
        <v/>
      </c>
      <c r="EC135" s="56">
        <f>$BP135-$BP136</f>
        <v/>
      </c>
      <c r="ED135" s="56">
        <f>$BQ135-$BQ136</f>
        <v/>
      </c>
      <c r="EE135" s="56">
        <f>$BR135-$BR136</f>
        <v/>
      </c>
      <c r="EF135" s="56">
        <f>$BS135-$BS136</f>
        <v/>
      </c>
      <c r="EG135" s="56">
        <f>$BT135-$BT136</f>
        <v/>
      </c>
      <c r="EH135" s="56">
        <f>$BU135-$BU136</f>
        <v/>
      </c>
    </row>
    <row r="136">
      <c r="BV136" s="56">
        <f>($D136-$D137)*100</f>
        <v/>
      </c>
      <c r="BW136" s="56">
        <f>($C136-$C137)*100</f>
        <v/>
      </c>
      <c r="BX136" s="57">
        <f>IFERROR($I136/$I137-1,"")</f>
        <v/>
      </c>
      <c r="BY136" s="56">
        <f>($AF136-$AF137)*100</f>
        <v/>
      </c>
      <c r="BZ136" s="56">
        <f>($AG136-$AG137)*100</f>
        <v/>
      </c>
      <c r="CA136" s="56">
        <f>($AH136-$AH137)*100</f>
        <v/>
      </c>
      <c r="CB136" s="56">
        <f>($AI136-$AI137)*100</f>
        <v/>
      </c>
      <c r="CC136" s="56">
        <f>($AJ136-$AJ137)*100</f>
        <v/>
      </c>
      <c r="CD136" s="56">
        <f>($AK136-$AK137)*100</f>
        <v/>
      </c>
      <c r="CE136" s="56">
        <f>($AL136-$AL137)*100</f>
        <v/>
      </c>
      <c r="CF136" s="56">
        <f>($AM136-$AM137)*100</f>
        <v/>
      </c>
      <c r="CG136" s="56">
        <f>($AN136-$AN137)*100</f>
        <v/>
      </c>
      <c r="CH136" s="56">
        <f>($AO136-$AO137)*100</f>
        <v/>
      </c>
      <c r="CI136" s="56">
        <f>($AP136-$AP137)*100</f>
        <v/>
      </c>
      <c r="CJ136" s="56">
        <f>($AQ136-$AQ137)*100</f>
        <v/>
      </c>
      <c r="CK136" s="56">
        <f>($AR136-$AR137)*100</f>
        <v/>
      </c>
      <c r="CL136" s="56">
        <f>($AS136-$AS137)*100</f>
        <v/>
      </c>
      <c r="CM136" s="56">
        <f>($AT136-$AT137)*100</f>
        <v/>
      </c>
      <c r="CN136" s="56">
        <f>($AU136-$AU137)*100</f>
        <v/>
      </c>
      <c r="CO136" s="56">
        <f>($AV136-$AV137)*100</f>
        <v/>
      </c>
      <c r="CP136" s="56">
        <f>($AW136-$AW137)*100</f>
        <v/>
      </c>
      <c r="CQ136" s="56">
        <f>($AX136-$AX137)*100</f>
        <v/>
      </c>
      <c r="CR136" s="56">
        <f>($AY136-$AY137)*100</f>
        <v/>
      </c>
      <c r="CS136" s="57">
        <f>IFERROR($L137/$L136-1,"")</f>
        <v/>
      </c>
      <c r="CT136" s="57">
        <f>IFERROR($M137/$M136-1,"")</f>
        <v/>
      </c>
      <c r="CU136" s="57">
        <f>IFERROR($N137/$N136-1,"")</f>
        <v/>
      </c>
      <c r="CV136" s="57">
        <f>IFERROR($O137/$O136-1,"")</f>
        <v/>
      </c>
      <c r="CW136" s="57">
        <f>IFERROR($P137/$P136-1,"")</f>
        <v/>
      </c>
      <c r="CX136" s="57">
        <f>IFERROR($Q137/$Q136-1,"")</f>
        <v/>
      </c>
      <c r="CY136" s="57">
        <f>IFERROR($R137/$R136-1,"")</f>
        <v/>
      </c>
      <c r="CZ136" s="57">
        <f>IFERROR($S137/$S136-1,"")</f>
        <v/>
      </c>
      <c r="DA136" s="57">
        <f>IFERROR($T137/$T136-1,"")</f>
        <v/>
      </c>
      <c r="DB136" s="57">
        <f>IFERROR($U137/$U136-1,"")</f>
        <v/>
      </c>
      <c r="DC136" s="57">
        <f>IFERROR($V137/$V136-1,"")</f>
        <v/>
      </c>
      <c r="DD136" s="57">
        <f>IFERROR($W137/$W136-1,"")</f>
        <v/>
      </c>
      <c r="DE136" s="57">
        <f>IFERROR($X137/$X136-1,"")</f>
        <v/>
      </c>
      <c r="DF136" s="57">
        <f>IFERROR($Y137/$Y136-1,"")</f>
        <v/>
      </c>
      <c r="DG136" s="57">
        <f>IFERROR($Z137/$Z136-1,"")</f>
        <v/>
      </c>
      <c r="DH136" s="57">
        <f>IFERROR($AA137/$AA136-1,"")</f>
        <v/>
      </c>
      <c r="DI136" s="57">
        <f>IFERROR($AB137/$AB136-1,"")</f>
        <v/>
      </c>
      <c r="DJ136" s="57">
        <f>IFERROR($AC137/$AC136-1,"")</f>
        <v/>
      </c>
      <c r="DK136" s="57">
        <f>IFERROR($AD137/$AD136-1,"")</f>
        <v/>
      </c>
      <c r="DL136" s="57">
        <f>IFERROR($AE137/$AE136-1,"")</f>
        <v/>
      </c>
      <c r="DM136" s="56">
        <f>$AZ136-$AZ137</f>
        <v/>
      </c>
      <c r="DN136" s="56">
        <f>$BA136-$BA137</f>
        <v/>
      </c>
      <c r="DO136" s="56">
        <f>$BB136-$BB137</f>
        <v/>
      </c>
      <c r="DP136" s="56">
        <f>$BC136-$BC137</f>
        <v/>
      </c>
      <c r="DQ136" s="56">
        <f>$BD136-$BD137</f>
        <v/>
      </c>
      <c r="DR136" s="56">
        <f>$BE136-$BE137</f>
        <v/>
      </c>
      <c r="DS136" s="56">
        <f>$BF136-$BF137</f>
        <v/>
      </c>
      <c r="DT136" s="56">
        <f>$BG136-$BG137</f>
        <v/>
      </c>
      <c r="DU136" s="56">
        <f>$BH136-$BH137</f>
        <v/>
      </c>
      <c r="DV136" s="56">
        <f>$BI136-$BI137</f>
        <v/>
      </c>
      <c r="DW136" s="56">
        <f>$BJ136-$BJ137</f>
        <v/>
      </c>
      <c r="DX136" s="56">
        <f>$BK136-$BK137</f>
        <v/>
      </c>
      <c r="DY136" s="56">
        <f>$BL136-$BL137</f>
        <v/>
      </c>
      <c r="DZ136" s="56">
        <f>$BM136-$BM137</f>
        <v/>
      </c>
      <c r="EA136" s="56">
        <f>$BN136-$BN137</f>
        <v/>
      </c>
      <c r="EB136" s="56">
        <f>$BO136-$BO137</f>
        <v/>
      </c>
      <c r="EC136" s="56">
        <f>$BP136-$BP137</f>
        <v/>
      </c>
      <c r="ED136" s="56">
        <f>$BQ136-$BQ137</f>
        <v/>
      </c>
      <c r="EE136" s="56">
        <f>$BR136-$BR137</f>
        <v/>
      </c>
      <c r="EF136" s="56">
        <f>$BS136-$BS137</f>
        <v/>
      </c>
      <c r="EG136" s="56">
        <f>$BT136-$BT137</f>
        <v/>
      </c>
      <c r="EH136" s="56">
        <f>$BU136-$BU137</f>
        <v/>
      </c>
    </row>
    <row r="137">
      <c r="BV137" s="56">
        <f>($D137-$D138)*100</f>
        <v/>
      </c>
      <c r="BW137" s="56">
        <f>($C137-$C138)*100</f>
        <v/>
      </c>
      <c r="BX137" s="57">
        <f>IFERROR($I137/$I138-1,"")</f>
        <v/>
      </c>
      <c r="BY137" s="56">
        <f>($AF137-$AF138)*100</f>
        <v/>
      </c>
      <c r="BZ137" s="56">
        <f>($AG137-$AG138)*100</f>
        <v/>
      </c>
      <c r="CA137" s="56">
        <f>($AH137-$AH138)*100</f>
        <v/>
      </c>
      <c r="CB137" s="56">
        <f>($AI137-$AI138)*100</f>
        <v/>
      </c>
      <c r="CC137" s="56">
        <f>($AJ137-$AJ138)*100</f>
        <v/>
      </c>
      <c r="CD137" s="56">
        <f>($AK137-$AK138)*100</f>
        <v/>
      </c>
      <c r="CE137" s="56">
        <f>($AL137-$AL138)*100</f>
        <v/>
      </c>
      <c r="CF137" s="56">
        <f>($AM137-$AM138)*100</f>
        <v/>
      </c>
      <c r="CG137" s="56">
        <f>($AN137-$AN138)*100</f>
        <v/>
      </c>
      <c r="CH137" s="56">
        <f>($AO137-$AO138)*100</f>
        <v/>
      </c>
      <c r="CI137" s="56">
        <f>($AP137-$AP138)*100</f>
        <v/>
      </c>
      <c r="CJ137" s="56">
        <f>($AQ137-$AQ138)*100</f>
        <v/>
      </c>
      <c r="CK137" s="56">
        <f>($AR137-$AR138)*100</f>
        <v/>
      </c>
      <c r="CL137" s="56">
        <f>($AS137-$AS138)*100</f>
        <v/>
      </c>
      <c r="CM137" s="56">
        <f>($AT137-$AT138)*100</f>
        <v/>
      </c>
      <c r="CN137" s="56">
        <f>($AU137-$AU138)*100</f>
        <v/>
      </c>
      <c r="CO137" s="56">
        <f>($AV137-$AV138)*100</f>
        <v/>
      </c>
      <c r="CP137" s="56">
        <f>($AW137-$AW138)*100</f>
        <v/>
      </c>
      <c r="CQ137" s="56">
        <f>($AX137-$AX138)*100</f>
        <v/>
      </c>
      <c r="CR137" s="56">
        <f>($AY137-$AY138)*100</f>
        <v/>
      </c>
      <c r="CS137" s="57">
        <f>IFERROR($L138/$L137-1,"")</f>
        <v/>
      </c>
      <c r="CT137" s="57">
        <f>IFERROR($M138/$M137-1,"")</f>
        <v/>
      </c>
      <c r="CU137" s="57">
        <f>IFERROR($N138/$N137-1,"")</f>
        <v/>
      </c>
      <c r="CV137" s="57">
        <f>IFERROR($O138/$O137-1,"")</f>
        <v/>
      </c>
      <c r="CW137" s="57">
        <f>IFERROR($P138/$P137-1,"")</f>
        <v/>
      </c>
      <c r="CX137" s="57">
        <f>IFERROR($Q138/$Q137-1,"")</f>
        <v/>
      </c>
      <c r="CY137" s="57">
        <f>IFERROR($R138/$R137-1,"")</f>
        <v/>
      </c>
      <c r="CZ137" s="57">
        <f>IFERROR($S138/$S137-1,"")</f>
        <v/>
      </c>
      <c r="DA137" s="57">
        <f>IFERROR($T138/$T137-1,"")</f>
        <v/>
      </c>
      <c r="DB137" s="57">
        <f>IFERROR($U138/$U137-1,"")</f>
        <v/>
      </c>
      <c r="DC137" s="57">
        <f>IFERROR($V138/$V137-1,"")</f>
        <v/>
      </c>
      <c r="DD137" s="57">
        <f>IFERROR($W138/$W137-1,"")</f>
        <v/>
      </c>
      <c r="DE137" s="57">
        <f>IFERROR($X138/$X137-1,"")</f>
        <v/>
      </c>
      <c r="DF137" s="57">
        <f>IFERROR($Y138/$Y137-1,"")</f>
        <v/>
      </c>
      <c r="DG137" s="57">
        <f>IFERROR($Z138/$Z137-1,"")</f>
        <v/>
      </c>
      <c r="DH137" s="57">
        <f>IFERROR($AA138/$AA137-1,"")</f>
        <v/>
      </c>
      <c r="DI137" s="57">
        <f>IFERROR($AB138/$AB137-1,"")</f>
        <v/>
      </c>
      <c r="DJ137" s="57">
        <f>IFERROR($AC138/$AC137-1,"")</f>
        <v/>
      </c>
      <c r="DK137" s="57">
        <f>IFERROR($AD138/$AD137-1,"")</f>
        <v/>
      </c>
      <c r="DL137" s="57">
        <f>IFERROR($AE138/$AE137-1,"")</f>
        <v/>
      </c>
      <c r="DM137" s="56">
        <f>$AZ137-$AZ138</f>
        <v/>
      </c>
      <c r="DN137" s="56">
        <f>$BA137-$BA138</f>
        <v/>
      </c>
      <c r="DO137" s="56">
        <f>$BB137-$BB138</f>
        <v/>
      </c>
      <c r="DP137" s="56">
        <f>$BC137-$BC138</f>
        <v/>
      </c>
      <c r="DQ137" s="56">
        <f>$BD137-$BD138</f>
        <v/>
      </c>
      <c r="DR137" s="56">
        <f>$BE137-$BE138</f>
        <v/>
      </c>
      <c r="DS137" s="56">
        <f>$BF137-$BF138</f>
        <v/>
      </c>
      <c r="DT137" s="56">
        <f>$BG137-$BG138</f>
        <v/>
      </c>
      <c r="DU137" s="56">
        <f>$BH137-$BH138</f>
        <v/>
      </c>
      <c r="DV137" s="56">
        <f>$BI137-$BI138</f>
        <v/>
      </c>
      <c r="DW137" s="56">
        <f>$BJ137-$BJ138</f>
        <v/>
      </c>
      <c r="DX137" s="56">
        <f>$BK137-$BK138</f>
        <v/>
      </c>
      <c r="DY137" s="56">
        <f>$BL137-$BL138</f>
        <v/>
      </c>
      <c r="DZ137" s="56">
        <f>$BM137-$BM138</f>
        <v/>
      </c>
      <c r="EA137" s="56">
        <f>$BN137-$BN138</f>
        <v/>
      </c>
      <c r="EB137" s="56">
        <f>$BO137-$BO138</f>
        <v/>
      </c>
      <c r="EC137" s="56">
        <f>$BP137-$BP138</f>
        <v/>
      </c>
      <c r="ED137" s="56">
        <f>$BQ137-$BQ138</f>
        <v/>
      </c>
      <c r="EE137" s="56">
        <f>$BR137-$BR138</f>
        <v/>
      </c>
      <c r="EF137" s="56">
        <f>$BS137-$BS138</f>
        <v/>
      </c>
      <c r="EG137" s="56">
        <f>$BT137-$BT138</f>
        <v/>
      </c>
      <c r="EH137" s="56">
        <f>$BU137-$BU138</f>
        <v/>
      </c>
    </row>
    <row r="138">
      <c r="BV138" s="56">
        <f>($D138-$D139)*100</f>
        <v/>
      </c>
      <c r="BW138" s="56">
        <f>($C138-$C139)*100</f>
        <v/>
      </c>
      <c r="BX138" s="57">
        <f>IFERROR($I138/$I139-1,"")</f>
        <v/>
      </c>
      <c r="BY138" s="56">
        <f>($AF138-$AF139)*100</f>
        <v/>
      </c>
      <c r="BZ138" s="56">
        <f>($AG138-$AG139)*100</f>
        <v/>
      </c>
      <c r="CA138" s="56">
        <f>($AH138-$AH139)*100</f>
        <v/>
      </c>
      <c r="CB138" s="56">
        <f>($AI138-$AI139)*100</f>
        <v/>
      </c>
      <c r="CC138" s="56">
        <f>($AJ138-$AJ139)*100</f>
        <v/>
      </c>
      <c r="CD138" s="56">
        <f>($AK138-$AK139)*100</f>
        <v/>
      </c>
      <c r="CE138" s="56">
        <f>($AL138-$AL139)*100</f>
        <v/>
      </c>
      <c r="CF138" s="56">
        <f>($AM138-$AM139)*100</f>
        <v/>
      </c>
      <c r="CG138" s="56">
        <f>($AN138-$AN139)*100</f>
        <v/>
      </c>
      <c r="CH138" s="56">
        <f>($AO138-$AO139)*100</f>
        <v/>
      </c>
      <c r="CI138" s="56">
        <f>($AP138-$AP139)*100</f>
        <v/>
      </c>
      <c r="CJ138" s="56">
        <f>($AQ138-$AQ139)*100</f>
        <v/>
      </c>
      <c r="CK138" s="56">
        <f>($AR138-$AR139)*100</f>
        <v/>
      </c>
      <c r="CL138" s="56">
        <f>($AS138-$AS139)*100</f>
        <v/>
      </c>
      <c r="CM138" s="56">
        <f>($AT138-$AT139)*100</f>
        <v/>
      </c>
      <c r="CN138" s="56">
        <f>($AU138-$AU139)*100</f>
        <v/>
      </c>
      <c r="CO138" s="56">
        <f>($AV138-$AV139)*100</f>
        <v/>
      </c>
      <c r="CP138" s="56">
        <f>($AW138-$AW139)*100</f>
        <v/>
      </c>
      <c r="CQ138" s="56">
        <f>($AX138-$AX139)*100</f>
        <v/>
      </c>
      <c r="CR138" s="56">
        <f>($AY138-$AY139)*100</f>
        <v/>
      </c>
      <c r="CS138" s="57">
        <f>IFERROR($L139/$L138-1,"")</f>
        <v/>
      </c>
      <c r="CT138" s="57">
        <f>IFERROR($M139/$M138-1,"")</f>
        <v/>
      </c>
      <c r="CU138" s="57">
        <f>IFERROR($N139/$N138-1,"")</f>
        <v/>
      </c>
      <c r="CV138" s="57">
        <f>IFERROR($O139/$O138-1,"")</f>
        <v/>
      </c>
      <c r="CW138" s="57">
        <f>IFERROR($P139/$P138-1,"")</f>
        <v/>
      </c>
      <c r="CX138" s="57">
        <f>IFERROR($Q139/$Q138-1,"")</f>
        <v/>
      </c>
      <c r="CY138" s="57">
        <f>IFERROR($R139/$R138-1,"")</f>
        <v/>
      </c>
      <c r="CZ138" s="57">
        <f>IFERROR($S139/$S138-1,"")</f>
        <v/>
      </c>
      <c r="DA138" s="57">
        <f>IFERROR($T139/$T138-1,"")</f>
        <v/>
      </c>
      <c r="DB138" s="57">
        <f>IFERROR($U139/$U138-1,"")</f>
        <v/>
      </c>
      <c r="DC138" s="57">
        <f>IFERROR($V139/$V138-1,"")</f>
        <v/>
      </c>
      <c r="DD138" s="57">
        <f>IFERROR($W139/$W138-1,"")</f>
        <v/>
      </c>
      <c r="DE138" s="57">
        <f>IFERROR($X139/$X138-1,"")</f>
        <v/>
      </c>
      <c r="DF138" s="57">
        <f>IFERROR($Y139/$Y138-1,"")</f>
        <v/>
      </c>
      <c r="DG138" s="57">
        <f>IFERROR($Z139/$Z138-1,"")</f>
        <v/>
      </c>
      <c r="DH138" s="57">
        <f>IFERROR($AA139/$AA138-1,"")</f>
        <v/>
      </c>
      <c r="DI138" s="57">
        <f>IFERROR($AB139/$AB138-1,"")</f>
        <v/>
      </c>
      <c r="DJ138" s="57">
        <f>IFERROR($AC139/$AC138-1,"")</f>
        <v/>
      </c>
      <c r="DK138" s="57">
        <f>IFERROR($AD139/$AD138-1,"")</f>
        <v/>
      </c>
      <c r="DL138" s="57">
        <f>IFERROR($AE139/$AE138-1,"")</f>
        <v/>
      </c>
      <c r="DM138" s="56">
        <f>$AZ138-$AZ139</f>
        <v/>
      </c>
      <c r="DN138" s="56">
        <f>$BA138-$BA139</f>
        <v/>
      </c>
      <c r="DO138" s="56">
        <f>$BB138-$BB139</f>
        <v/>
      </c>
      <c r="DP138" s="56">
        <f>$BC138-$BC139</f>
        <v/>
      </c>
      <c r="DQ138" s="56">
        <f>$BD138-$BD139</f>
        <v/>
      </c>
      <c r="DR138" s="56">
        <f>$BE138-$BE139</f>
        <v/>
      </c>
      <c r="DS138" s="56">
        <f>$BF138-$BF139</f>
        <v/>
      </c>
      <c r="DT138" s="56">
        <f>$BG138-$BG139</f>
        <v/>
      </c>
      <c r="DU138" s="56">
        <f>$BH138-$BH139</f>
        <v/>
      </c>
      <c r="DV138" s="56">
        <f>$BI138-$BI139</f>
        <v/>
      </c>
      <c r="DW138" s="56">
        <f>$BJ138-$BJ139</f>
        <v/>
      </c>
      <c r="DX138" s="56">
        <f>$BK138-$BK139</f>
        <v/>
      </c>
      <c r="DY138" s="56">
        <f>$BL138-$BL139</f>
        <v/>
      </c>
      <c r="DZ138" s="56">
        <f>$BM138-$BM139</f>
        <v/>
      </c>
      <c r="EA138" s="56">
        <f>$BN138-$BN139</f>
        <v/>
      </c>
      <c r="EB138" s="56">
        <f>$BO138-$BO139</f>
        <v/>
      </c>
      <c r="EC138" s="56">
        <f>$BP138-$BP139</f>
        <v/>
      </c>
      <c r="ED138" s="56">
        <f>$BQ138-$BQ139</f>
        <v/>
      </c>
      <c r="EE138" s="56">
        <f>$BR138-$BR139</f>
        <v/>
      </c>
      <c r="EF138" s="56">
        <f>$BS138-$BS139</f>
        <v/>
      </c>
      <c r="EG138" s="56">
        <f>$BT138-$BT139</f>
        <v/>
      </c>
      <c r="EH138" s="56">
        <f>$BU138-$BU139</f>
        <v/>
      </c>
    </row>
    <row r="139">
      <c r="BV139" s="56">
        <f>($D139-$D140)*100</f>
        <v/>
      </c>
      <c r="BW139" s="56">
        <f>($C139-$C140)*100</f>
        <v/>
      </c>
      <c r="BX139" s="57">
        <f>IFERROR($I139/$I140-1,"")</f>
        <v/>
      </c>
      <c r="BY139" s="56">
        <f>($AF139-$AF140)*100</f>
        <v/>
      </c>
      <c r="BZ139" s="56">
        <f>($AG139-$AG140)*100</f>
        <v/>
      </c>
      <c r="CA139" s="56">
        <f>($AH139-$AH140)*100</f>
        <v/>
      </c>
      <c r="CB139" s="56">
        <f>($AI139-$AI140)*100</f>
        <v/>
      </c>
      <c r="CC139" s="56">
        <f>($AJ139-$AJ140)*100</f>
        <v/>
      </c>
      <c r="CD139" s="56">
        <f>($AK139-$AK140)*100</f>
        <v/>
      </c>
      <c r="CE139" s="56">
        <f>($AL139-$AL140)*100</f>
        <v/>
      </c>
      <c r="CF139" s="56">
        <f>($AM139-$AM140)*100</f>
        <v/>
      </c>
      <c r="CG139" s="56">
        <f>($AN139-$AN140)*100</f>
        <v/>
      </c>
      <c r="CH139" s="56">
        <f>($AO139-$AO140)*100</f>
        <v/>
      </c>
      <c r="CI139" s="56">
        <f>($AP139-$AP140)*100</f>
        <v/>
      </c>
      <c r="CJ139" s="56">
        <f>($AQ139-$AQ140)*100</f>
        <v/>
      </c>
      <c r="CK139" s="56">
        <f>($AR139-$AR140)*100</f>
        <v/>
      </c>
      <c r="CL139" s="56">
        <f>($AS139-$AS140)*100</f>
        <v/>
      </c>
      <c r="CM139" s="56">
        <f>($AT139-$AT140)*100</f>
        <v/>
      </c>
      <c r="CN139" s="56">
        <f>($AU139-$AU140)*100</f>
        <v/>
      </c>
      <c r="CO139" s="56">
        <f>($AV139-$AV140)*100</f>
        <v/>
      </c>
      <c r="CP139" s="56">
        <f>($AW139-$AW140)*100</f>
        <v/>
      </c>
      <c r="CQ139" s="56">
        <f>($AX139-$AX140)*100</f>
        <v/>
      </c>
      <c r="CR139" s="56">
        <f>($AY139-$AY140)*100</f>
        <v/>
      </c>
      <c r="CS139" s="57">
        <f>IFERROR($L140/$L139-1,"")</f>
        <v/>
      </c>
      <c r="CT139" s="57">
        <f>IFERROR($M140/$M139-1,"")</f>
        <v/>
      </c>
      <c r="CU139" s="57">
        <f>IFERROR($N140/$N139-1,"")</f>
        <v/>
      </c>
      <c r="CV139" s="57">
        <f>IFERROR($O140/$O139-1,"")</f>
        <v/>
      </c>
      <c r="CW139" s="57">
        <f>IFERROR($P140/$P139-1,"")</f>
        <v/>
      </c>
      <c r="CX139" s="57">
        <f>IFERROR($Q140/$Q139-1,"")</f>
        <v/>
      </c>
      <c r="CY139" s="57">
        <f>IFERROR($R140/$R139-1,"")</f>
        <v/>
      </c>
      <c r="CZ139" s="57">
        <f>IFERROR($S140/$S139-1,"")</f>
        <v/>
      </c>
      <c r="DA139" s="57">
        <f>IFERROR($T140/$T139-1,"")</f>
        <v/>
      </c>
      <c r="DB139" s="57">
        <f>IFERROR($U140/$U139-1,"")</f>
        <v/>
      </c>
      <c r="DC139" s="57">
        <f>IFERROR($V140/$V139-1,"")</f>
        <v/>
      </c>
      <c r="DD139" s="57">
        <f>IFERROR($W140/$W139-1,"")</f>
        <v/>
      </c>
      <c r="DE139" s="57">
        <f>IFERROR($X140/$X139-1,"")</f>
        <v/>
      </c>
      <c r="DF139" s="57">
        <f>IFERROR($Y140/$Y139-1,"")</f>
        <v/>
      </c>
      <c r="DG139" s="57">
        <f>IFERROR($Z140/$Z139-1,"")</f>
        <v/>
      </c>
      <c r="DH139" s="57">
        <f>IFERROR($AA140/$AA139-1,"")</f>
        <v/>
      </c>
      <c r="DI139" s="57">
        <f>IFERROR($AB140/$AB139-1,"")</f>
        <v/>
      </c>
      <c r="DJ139" s="57">
        <f>IFERROR($AC140/$AC139-1,"")</f>
        <v/>
      </c>
      <c r="DK139" s="57">
        <f>IFERROR($AD140/$AD139-1,"")</f>
        <v/>
      </c>
      <c r="DL139" s="57">
        <f>IFERROR($AE140/$AE139-1,"")</f>
        <v/>
      </c>
      <c r="DM139" s="56">
        <f>$AZ139-$AZ140</f>
        <v/>
      </c>
      <c r="DN139" s="56">
        <f>$BA139-$BA140</f>
        <v/>
      </c>
      <c r="DO139" s="56">
        <f>$BB139-$BB140</f>
        <v/>
      </c>
      <c r="DP139" s="56">
        <f>$BC139-$BC140</f>
        <v/>
      </c>
      <c r="DQ139" s="56">
        <f>$BD139-$BD140</f>
        <v/>
      </c>
      <c r="DR139" s="56">
        <f>$BE139-$BE140</f>
        <v/>
      </c>
      <c r="DS139" s="56">
        <f>$BF139-$BF140</f>
        <v/>
      </c>
      <c r="DT139" s="56">
        <f>$BG139-$BG140</f>
        <v/>
      </c>
      <c r="DU139" s="56">
        <f>$BH139-$BH140</f>
        <v/>
      </c>
      <c r="DV139" s="56">
        <f>$BI139-$BI140</f>
        <v/>
      </c>
      <c r="DW139" s="56">
        <f>$BJ139-$BJ140</f>
        <v/>
      </c>
      <c r="DX139" s="56">
        <f>$BK139-$BK140</f>
        <v/>
      </c>
      <c r="DY139" s="56">
        <f>$BL139-$BL140</f>
        <v/>
      </c>
      <c r="DZ139" s="56">
        <f>$BM139-$BM140</f>
        <v/>
      </c>
      <c r="EA139" s="56">
        <f>$BN139-$BN140</f>
        <v/>
      </c>
      <c r="EB139" s="56">
        <f>$BO139-$BO140</f>
        <v/>
      </c>
      <c r="EC139" s="56">
        <f>$BP139-$BP140</f>
        <v/>
      </c>
      <c r="ED139" s="56">
        <f>$BQ139-$BQ140</f>
        <v/>
      </c>
      <c r="EE139" s="56">
        <f>$BR139-$BR140</f>
        <v/>
      </c>
      <c r="EF139" s="56">
        <f>$BS139-$BS140</f>
        <v/>
      </c>
      <c r="EG139" s="56">
        <f>$BT139-$BT140</f>
        <v/>
      </c>
      <c r="EH139" s="56">
        <f>$BU139-$BU140</f>
        <v/>
      </c>
    </row>
    <row r="140">
      <c r="BV140" s="56">
        <f>($D140-$D141)*100</f>
        <v/>
      </c>
      <c r="BW140" s="56">
        <f>($C140-$C141)*100</f>
        <v/>
      </c>
      <c r="BX140" s="57">
        <f>IFERROR($I140/$I141-1,"")</f>
        <v/>
      </c>
      <c r="BY140" s="56">
        <f>($AF140-$AF141)*100</f>
        <v/>
      </c>
      <c r="BZ140" s="56">
        <f>($AG140-$AG141)*100</f>
        <v/>
      </c>
      <c r="CA140" s="56">
        <f>($AH140-$AH141)*100</f>
        <v/>
      </c>
      <c r="CB140" s="56">
        <f>($AI140-$AI141)*100</f>
        <v/>
      </c>
      <c r="CC140" s="56">
        <f>($AJ140-$AJ141)*100</f>
        <v/>
      </c>
      <c r="CD140" s="56">
        <f>($AK140-$AK141)*100</f>
        <v/>
      </c>
      <c r="CE140" s="56">
        <f>($AL140-$AL141)*100</f>
        <v/>
      </c>
      <c r="CF140" s="56">
        <f>($AM140-$AM141)*100</f>
        <v/>
      </c>
      <c r="CG140" s="56">
        <f>($AN140-$AN141)*100</f>
        <v/>
      </c>
      <c r="CH140" s="56">
        <f>($AO140-$AO141)*100</f>
        <v/>
      </c>
      <c r="CI140" s="56">
        <f>($AP140-$AP141)*100</f>
        <v/>
      </c>
      <c r="CJ140" s="56">
        <f>($AQ140-$AQ141)*100</f>
        <v/>
      </c>
      <c r="CK140" s="56">
        <f>($AR140-$AR141)*100</f>
        <v/>
      </c>
      <c r="CL140" s="56">
        <f>($AS140-$AS141)*100</f>
        <v/>
      </c>
      <c r="CM140" s="56">
        <f>($AT140-$AT141)*100</f>
        <v/>
      </c>
      <c r="CN140" s="56">
        <f>($AU140-$AU141)*100</f>
        <v/>
      </c>
      <c r="CO140" s="56">
        <f>($AV140-$AV141)*100</f>
        <v/>
      </c>
      <c r="CP140" s="56">
        <f>($AW140-$AW141)*100</f>
        <v/>
      </c>
      <c r="CQ140" s="56">
        <f>($AX140-$AX141)*100</f>
        <v/>
      </c>
      <c r="CR140" s="56">
        <f>($AY140-$AY141)*100</f>
        <v/>
      </c>
      <c r="CS140" s="57">
        <f>IFERROR($L141/$L140-1,"")</f>
        <v/>
      </c>
      <c r="CT140" s="57">
        <f>IFERROR($M141/$M140-1,"")</f>
        <v/>
      </c>
      <c r="CU140" s="57">
        <f>IFERROR($N141/$N140-1,"")</f>
        <v/>
      </c>
      <c r="CV140" s="57">
        <f>IFERROR($O141/$O140-1,"")</f>
        <v/>
      </c>
      <c r="CW140" s="57">
        <f>IFERROR($P141/$P140-1,"")</f>
        <v/>
      </c>
      <c r="CX140" s="57">
        <f>IFERROR($Q141/$Q140-1,"")</f>
        <v/>
      </c>
      <c r="CY140" s="57">
        <f>IFERROR($R141/$R140-1,"")</f>
        <v/>
      </c>
      <c r="CZ140" s="57">
        <f>IFERROR($S141/$S140-1,"")</f>
        <v/>
      </c>
      <c r="DA140" s="57">
        <f>IFERROR($T141/$T140-1,"")</f>
        <v/>
      </c>
      <c r="DB140" s="57">
        <f>IFERROR($U141/$U140-1,"")</f>
        <v/>
      </c>
      <c r="DC140" s="57">
        <f>IFERROR($V141/$V140-1,"")</f>
        <v/>
      </c>
      <c r="DD140" s="57">
        <f>IFERROR($W141/$W140-1,"")</f>
        <v/>
      </c>
      <c r="DE140" s="57">
        <f>IFERROR($X141/$X140-1,"")</f>
        <v/>
      </c>
      <c r="DF140" s="57">
        <f>IFERROR($Y141/$Y140-1,"")</f>
        <v/>
      </c>
      <c r="DG140" s="57">
        <f>IFERROR($Z141/$Z140-1,"")</f>
        <v/>
      </c>
      <c r="DH140" s="57">
        <f>IFERROR($AA141/$AA140-1,"")</f>
        <v/>
      </c>
      <c r="DI140" s="57">
        <f>IFERROR($AB141/$AB140-1,"")</f>
        <v/>
      </c>
      <c r="DJ140" s="57">
        <f>IFERROR($AC141/$AC140-1,"")</f>
        <v/>
      </c>
      <c r="DK140" s="57">
        <f>IFERROR($AD141/$AD140-1,"")</f>
        <v/>
      </c>
      <c r="DL140" s="57">
        <f>IFERROR($AE141/$AE140-1,"")</f>
        <v/>
      </c>
      <c r="DM140" s="56">
        <f>$AZ140-$AZ141</f>
        <v/>
      </c>
      <c r="DN140" s="56">
        <f>$BA140-$BA141</f>
        <v/>
      </c>
      <c r="DO140" s="56">
        <f>$BB140-$BB141</f>
        <v/>
      </c>
      <c r="DP140" s="56">
        <f>$BC140-$BC141</f>
        <v/>
      </c>
      <c r="DQ140" s="56">
        <f>$BD140-$BD141</f>
        <v/>
      </c>
      <c r="DR140" s="56">
        <f>$BE140-$BE141</f>
        <v/>
      </c>
      <c r="DS140" s="56">
        <f>$BF140-$BF141</f>
        <v/>
      </c>
      <c r="DT140" s="56">
        <f>$BG140-$BG141</f>
        <v/>
      </c>
      <c r="DU140" s="56">
        <f>$BH140-$BH141</f>
        <v/>
      </c>
      <c r="DV140" s="56">
        <f>$BI140-$BI141</f>
        <v/>
      </c>
      <c r="DW140" s="56">
        <f>$BJ140-$BJ141</f>
        <v/>
      </c>
      <c r="DX140" s="56">
        <f>$BK140-$BK141</f>
        <v/>
      </c>
      <c r="DY140" s="56">
        <f>$BL140-$BL141</f>
        <v/>
      </c>
      <c r="DZ140" s="56">
        <f>$BM140-$BM141</f>
        <v/>
      </c>
      <c r="EA140" s="56">
        <f>$BN140-$BN141</f>
        <v/>
      </c>
      <c r="EB140" s="56">
        <f>$BO140-$BO141</f>
        <v/>
      </c>
      <c r="EC140" s="56">
        <f>$BP140-$BP141</f>
        <v/>
      </c>
      <c r="ED140" s="56">
        <f>$BQ140-$BQ141</f>
        <v/>
      </c>
      <c r="EE140" s="56">
        <f>$BR140-$BR141</f>
        <v/>
      </c>
      <c r="EF140" s="56">
        <f>$BS140-$BS141</f>
        <v/>
      </c>
      <c r="EG140" s="56">
        <f>$BT140-$BT141</f>
        <v/>
      </c>
      <c r="EH140" s="56">
        <f>$BU140-$BU141</f>
        <v/>
      </c>
    </row>
    <row r="141">
      <c r="BV141" s="56">
        <f>($D141-$D142)*100</f>
        <v/>
      </c>
      <c r="BW141" s="56">
        <f>($C141-$C142)*100</f>
        <v/>
      </c>
      <c r="BX141" s="57">
        <f>IFERROR($I141/$I142-1,"")</f>
        <v/>
      </c>
      <c r="BY141" s="56">
        <f>($AF141-$AF142)*100</f>
        <v/>
      </c>
      <c r="BZ141" s="56">
        <f>($AG141-$AG142)*100</f>
        <v/>
      </c>
      <c r="CA141" s="56">
        <f>($AH141-$AH142)*100</f>
        <v/>
      </c>
      <c r="CB141" s="56">
        <f>($AI141-$AI142)*100</f>
        <v/>
      </c>
      <c r="CC141" s="56">
        <f>($AJ141-$AJ142)*100</f>
        <v/>
      </c>
      <c r="CD141" s="56">
        <f>($AK141-$AK142)*100</f>
        <v/>
      </c>
      <c r="CE141" s="56">
        <f>($AL141-$AL142)*100</f>
        <v/>
      </c>
      <c r="CF141" s="56">
        <f>($AM141-$AM142)*100</f>
        <v/>
      </c>
      <c r="CG141" s="56">
        <f>($AN141-$AN142)*100</f>
        <v/>
      </c>
      <c r="CH141" s="56">
        <f>($AO141-$AO142)*100</f>
        <v/>
      </c>
      <c r="CI141" s="56">
        <f>($AP141-$AP142)*100</f>
        <v/>
      </c>
      <c r="CJ141" s="56">
        <f>($AQ141-$AQ142)*100</f>
        <v/>
      </c>
      <c r="CK141" s="56">
        <f>($AR141-$AR142)*100</f>
        <v/>
      </c>
      <c r="CL141" s="56">
        <f>($AS141-$AS142)*100</f>
        <v/>
      </c>
      <c r="CM141" s="56">
        <f>($AT141-$AT142)*100</f>
        <v/>
      </c>
      <c r="CN141" s="56">
        <f>($AU141-$AU142)*100</f>
        <v/>
      </c>
      <c r="CO141" s="56">
        <f>($AV141-$AV142)*100</f>
        <v/>
      </c>
      <c r="CP141" s="56">
        <f>($AW141-$AW142)*100</f>
        <v/>
      </c>
      <c r="CQ141" s="56">
        <f>($AX141-$AX142)*100</f>
        <v/>
      </c>
      <c r="CR141" s="56">
        <f>($AY141-$AY142)*100</f>
        <v/>
      </c>
      <c r="CS141" s="57">
        <f>IFERROR($L142/$L141-1,"")</f>
        <v/>
      </c>
      <c r="CT141" s="57">
        <f>IFERROR($M142/$M141-1,"")</f>
        <v/>
      </c>
      <c r="CU141" s="57">
        <f>IFERROR($N142/$N141-1,"")</f>
        <v/>
      </c>
      <c r="CV141" s="57">
        <f>IFERROR($O142/$O141-1,"")</f>
        <v/>
      </c>
      <c r="CW141" s="57">
        <f>IFERROR($P142/$P141-1,"")</f>
        <v/>
      </c>
      <c r="CX141" s="57">
        <f>IFERROR($Q142/$Q141-1,"")</f>
        <v/>
      </c>
      <c r="CY141" s="57">
        <f>IFERROR($R142/$R141-1,"")</f>
        <v/>
      </c>
      <c r="CZ141" s="57">
        <f>IFERROR($S142/$S141-1,"")</f>
        <v/>
      </c>
      <c r="DA141" s="57">
        <f>IFERROR($T142/$T141-1,"")</f>
        <v/>
      </c>
      <c r="DB141" s="57">
        <f>IFERROR($U142/$U141-1,"")</f>
        <v/>
      </c>
      <c r="DC141" s="57">
        <f>IFERROR($V142/$V141-1,"")</f>
        <v/>
      </c>
      <c r="DD141" s="57">
        <f>IFERROR($W142/$W141-1,"")</f>
        <v/>
      </c>
      <c r="DE141" s="57">
        <f>IFERROR($X142/$X141-1,"")</f>
        <v/>
      </c>
      <c r="DF141" s="57">
        <f>IFERROR($Y142/$Y141-1,"")</f>
        <v/>
      </c>
      <c r="DG141" s="57">
        <f>IFERROR($Z142/$Z141-1,"")</f>
        <v/>
      </c>
      <c r="DH141" s="57">
        <f>IFERROR($AA142/$AA141-1,"")</f>
        <v/>
      </c>
      <c r="DI141" s="57">
        <f>IFERROR($AB142/$AB141-1,"")</f>
        <v/>
      </c>
      <c r="DJ141" s="57">
        <f>IFERROR($AC142/$AC141-1,"")</f>
        <v/>
      </c>
      <c r="DK141" s="57">
        <f>IFERROR($AD142/$AD141-1,"")</f>
        <v/>
      </c>
      <c r="DL141" s="57">
        <f>IFERROR($AE142/$AE141-1,"")</f>
        <v/>
      </c>
      <c r="DM141" s="56">
        <f>$AZ141-$AZ142</f>
        <v/>
      </c>
      <c r="DN141" s="56">
        <f>$BA141-$BA142</f>
        <v/>
      </c>
      <c r="DO141" s="56">
        <f>$BB141-$BB142</f>
        <v/>
      </c>
      <c r="DP141" s="56">
        <f>$BC141-$BC142</f>
        <v/>
      </c>
      <c r="DQ141" s="56">
        <f>$BD141-$BD142</f>
        <v/>
      </c>
      <c r="DR141" s="56">
        <f>$BE141-$BE142</f>
        <v/>
      </c>
      <c r="DS141" s="56">
        <f>$BF141-$BF142</f>
        <v/>
      </c>
      <c r="DT141" s="56">
        <f>$BG141-$BG142</f>
        <v/>
      </c>
      <c r="DU141" s="56">
        <f>$BH141-$BH142</f>
        <v/>
      </c>
      <c r="DV141" s="56">
        <f>$BI141-$BI142</f>
        <v/>
      </c>
      <c r="DW141" s="56">
        <f>$BJ141-$BJ142</f>
        <v/>
      </c>
      <c r="DX141" s="56">
        <f>$BK141-$BK142</f>
        <v/>
      </c>
      <c r="DY141" s="56">
        <f>$BL141-$BL142</f>
        <v/>
      </c>
      <c r="DZ141" s="56">
        <f>$BM141-$BM142</f>
        <v/>
      </c>
      <c r="EA141" s="56">
        <f>$BN141-$BN142</f>
        <v/>
      </c>
      <c r="EB141" s="56">
        <f>$BO141-$BO142</f>
        <v/>
      </c>
      <c r="EC141" s="56">
        <f>$BP141-$BP142</f>
        <v/>
      </c>
      <c r="ED141" s="56">
        <f>$BQ141-$BQ142</f>
        <v/>
      </c>
      <c r="EE141" s="56">
        <f>$BR141-$BR142</f>
        <v/>
      </c>
      <c r="EF141" s="56">
        <f>$BS141-$BS142</f>
        <v/>
      </c>
      <c r="EG141" s="56">
        <f>$BT141-$BT142</f>
        <v/>
      </c>
      <c r="EH141" s="56">
        <f>$BU141-$BU142</f>
        <v/>
      </c>
    </row>
    <row r="142">
      <c r="BV142" s="56">
        <f>($D142-$D143)*100</f>
        <v/>
      </c>
      <c r="BW142" s="56">
        <f>($C142-$C143)*100</f>
        <v/>
      </c>
      <c r="BX142" s="57">
        <f>IFERROR($I142/$I143-1,"")</f>
        <v/>
      </c>
      <c r="BY142" s="56">
        <f>($AF142-$AF143)*100</f>
        <v/>
      </c>
      <c r="BZ142" s="56">
        <f>($AG142-$AG143)*100</f>
        <v/>
      </c>
      <c r="CA142" s="56">
        <f>($AH142-$AH143)*100</f>
        <v/>
      </c>
      <c r="CB142" s="56">
        <f>($AI142-$AI143)*100</f>
        <v/>
      </c>
      <c r="CC142" s="56">
        <f>($AJ142-$AJ143)*100</f>
        <v/>
      </c>
      <c r="CD142" s="56">
        <f>($AK142-$AK143)*100</f>
        <v/>
      </c>
      <c r="CE142" s="56">
        <f>($AL142-$AL143)*100</f>
        <v/>
      </c>
      <c r="CF142" s="56">
        <f>($AM142-$AM143)*100</f>
        <v/>
      </c>
      <c r="CG142" s="56">
        <f>($AN142-$AN143)*100</f>
        <v/>
      </c>
      <c r="CH142" s="56">
        <f>($AO142-$AO143)*100</f>
        <v/>
      </c>
      <c r="CI142" s="56">
        <f>($AP142-$AP143)*100</f>
        <v/>
      </c>
      <c r="CJ142" s="56">
        <f>($AQ142-$AQ143)*100</f>
        <v/>
      </c>
      <c r="CK142" s="56">
        <f>($AR142-$AR143)*100</f>
        <v/>
      </c>
      <c r="CL142" s="56">
        <f>($AS142-$AS143)*100</f>
        <v/>
      </c>
      <c r="CM142" s="56">
        <f>($AT142-$AT143)*100</f>
        <v/>
      </c>
      <c r="CN142" s="56">
        <f>($AU142-$AU143)*100</f>
        <v/>
      </c>
      <c r="CO142" s="56">
        <f>($AV142-$AV143)*100</f>
        <v/>
      </c>
      <c r="CP142" s="56">
        <f>($AW142-$AW143)*100</f>
        <v/>
      </c>
      <c r="CQ142" s="56">
        <f>($AX142-$AX143)*100</f>
        <v/>
      </c>
      <c r="CR142" s="56">
        <f>($AY142-$AY143)*100</f>
        <v/>
      </c>
      <c r="CS142" s="57">
        <f>IFERROR($L143/$L142-1,"")</f>
        <v/>
      </c>
      <c r="CT142" s="57">
        <f>IFERROR($M143/$M142-1,"")</f>
        <v/>
      </c>
      <c r="CU142" s="57">
        <f>IFERROR($N143/$N142-1,"")</f>
        <v/>
      </c>
      <c r="CV142" s="57">
        <f>IFERROR($O143/$O142-1,"")</f>
        <v/>
      </c>
      <c r="CW142" s="57">
        <f>IFERROR($P143/$P142-1,"")</f>
        <v/>
      </c>
      <c r="CX142" s="57">
        <f>IFERROR($Q143/$Q142-1,"")</f>
        <v/>
      </c>
      <c r="CY142" s="57">
        <f>IFERROR($R143/$R142-1,"")</f>
        <v/>
      </c>
      <c r="CZ142" s="57">
        <f>IFERROR($S143/$S142-1,"")</f>
        <v/>
      </c>
      <c r="DA142" s="57">
        <f>IFERROR($T143/$T142-1,"")</f>
        <v/>
      </c>
      <c r="DB142" s="57">
        <f>IFERROR($U143/$U142-1,"")</f>
        <v/>
      </c>
      <c r="DC142" s="57">
        <f>IFERROR($V143/$V142-1,"")</f>
        <v/>
      </c>
      <c r="DD142" s="57">
        <f>IFERROR($W143/$W142-1,"")</f>
        <v/>
      </c>
      <c r="DE142" s="57">
        <f>IFERROR($X143/$X142-1,"")</f>
        <v/>
      </c>
      <c r="DF142" s="57">
        <f>IFERROR($Y143/$Y142-1,"")</f>
        <v/>
      </c>
      <c r="DG142" s="57">
        <f>IFERROR($Z143/$Z142-1,"")</f>
        <v/>
      </c>
      <c r="DH142" s="57">
        <f>IFERROR($AA143/$AA142-1,"")</f>
        <v/>
      </c>
      <c r="DI142" s="57">
        <f>IFERROR($AB143/$AB142-1,"")</f>
        <v/>
      </c>
      <c r="DJ142" s="57">
        <f>IFERROR($AC143/$AC142-1,"")</f>
        <v/>
      </c>
      <c r="DK142" s="57">
        <f>IFERROR($AD143/$AD142-1,"")</f>
        <v/>
      </c>
      <c r="DL142" s="57">
        <f>IFERROR($AE143/$AE142-1,"")</f>
        <v/>
      </c>
      <c r="DM142" s="56">
        <f>$AZ142-$AZ143</f>
        <v/>
      </c>
      <c r="DN142" s="56">
        <f>$BA142-$BA143</f>
        <v/>
      </c>
      <c r="DO142" s="56">
        <f>$BB142-$BB143</f>
        <v/>
      </c>
      <c r="DP142" s="56">
        <f>$BC142-$BC143</f>
        <v/>
      </c>
      <c r="DQ142" s="56">
        <f>$BD142-$BD143</f>
        <v/>
      </c>
      <c r="DR142" s="56">
        <f>$BE142-$BE143</f>
        <v/>
      </c>
      <c r="DS142" s="56">
        <f>$BF142-$BF143</f>
        <v/>
      </c>
      <c r="DT142" s="56">
        <f>$BG142-$BG143</f>
        <v/>
      </c>
      <c r="DU142" s="56">
        <f>$BH142-$BH143</f>
        <v/>
      </c>
      <c r="DV142" s="56">
        <f>$BI142-$BI143</f>
        <v/>
      </c>
      <c r="DW142" s="56">
        <f>$BJ142-$BJ143</f>
        <v/>
      </c>
      <c r="DX142" s="56">
        <f>$BK142-$BK143</f>
        <v/>
      </c>
      <c r="DY142" s="56">
        <f>$BL142-$BL143</f>
        <v/>
      </c>
      <c r="DZ142" s="56">
        <f>$BM142-$BM143</f>
        <v/>
      </c>
      <c r="EA142" s="56">
        <f>$BN142-$BN143</f>
        <v/>
      </c>
      <c r="EB142" s="56">
        <f>$BO142-$BO143</f>
        <v/>
      </c>
      <c r="EC142" s="56">
        <f>$BP142-$BP143</f>
        <v/>
      </c>
      <c r="ED142" s="56">
        <f>$BQ142-$BQ143</f>
        <v/>
      </c>
      <c r="EE142" s="56">
        <f>$BR142-$BR143</f>
        <v/>
      </c>
      <c r="EF142" s="56">
        <f>$BS142-$BS143</f>
        <v/>
      </c>
      <c r="EG142" s="56">
        <f>$BT142-$BT143</f>
        <v/>
      </c>
      <c r="EH142" s="56">
        <f>$BU142-$BU143</f>
        <v/>
      </c>
    </row>
    <row r="143">
      <c r="BV143" s="56">
        <f>($D143-$D144)*100</f>
        <v/>
      </c>
      <c r="BW143" s="56">
        <f>($C143-$C144)*100</f>
        <v/>
      </c>
      <c r="BX143" s="57">
        <f>IFERROR($I143/$I144-1,"")</f>
        <v/>
      </c>
      <c r="BY143" s="56">
        <f>($AF143-$AF144)*100</f>
        <v/>
      </c>
      <c r="BZ143" s="56">
        <f>($AG143-$AG144)*100</f>
        <v/>
      </c>
      <c r="CA143" s="56">
        <f>($AH143-$AH144)*100</f>
        <v/>
      </c>
      <c r="CB143" s="56">
        <f>($AI143-$AI144)*100</f>
        <v/>
      </c>
      <c r="CC143" s="56">
        <f>($AJ143-$AJ144)*100</f>
        <v/>
      </c>
      <c r="CD143" s="56">
        <f>($AK143-$AK144)*100</f>
        <v/>
      </c>
      <c r="CE143" s="56">
        <f>($AL143-$AL144)*100</f>
        <v/>
      </c>
      <c r="CF143" s="56">
        <f>($AM143-$AM144)*100</f>
        <v/>
      </c>
      <c r="CG143" s="56">
        <f>($AN143-$AN144)*100</f>
        <v/>
      </c>
      <c r="CH143" s="56">
        <f>($AO143-$AO144)*100</f>
        <v/>
      </c>
      <c r="CI143" s="56">
        <f>($AP143-$AP144)*100</f>
        <v/>
      </c>
      <c r="CJ143" s="56">
        <f>($AQ143-$AQ144)*100</f>
        <v/>
      </c>
      <c r="CK143" s="56">
        <f>($AR143-$AR144)*100</f>
        <v/>
      </c>
      <c r="CL143" s="56">
        <f>($AS143-$AS144)*100</f>
        <v/>
      </c>
      <c r="CM143" s="56">
        <f>($AT143-$AT144)*100</f>
        <v/>
      </c>
      <c r="CN143" s="56">
        <f>($AU143-$AU144)*100</f>
        <v/>
      </c>
      <c r="CO143" s="56">
        <f>($AV143-$AV144)*100</f>
        <v/>
      </c>
      <c r="CP143" s="56">
        <f>($AW143-$AW144)*100</f>
        <v/>
      </c>
      <c r="CQ143" s="56">
        <f>($AX143-$AX144)*100</f>
        <v/>
      </c>
      <c r="CR143" s="56">
        <f>($AY143-$AY144)*100</f>
        <v/>
      </c>
      <c r="CS143" s="57">
        <f>IFERROR($L144/$L143-1,"")</f>
        <v/>
      </c>
      <c r="CT143" s="57">
        <f>IFERROR($M144/$M143-1,"")</f>
        <v/>
      </c>
      <c r="CU143" s="57">
        <f>IFERROR($N144/$N143-1,"")</f>
        <v/>
      </c>
      <c r="CV143" s="57">
        <f>IFERROR($O144/$O143-1,"")</f>
        <v/>
      </c>
      <c r="CW143" s="57">
        <f>IFERROR($P144/$P143-1,"")</f>
        <v/>
      </c>
      <c r="CX143" s="57">
        <f>IFERROR($Q144/$Q143-1,"")</f>
        <v/>
      </c>
      <c r="CY143" s="57">
        <f>IFERROR($R144/$R143-1,"")</f>
        <v/>
      </c>
      <c r="CZ143" s="57">
        <f>IFERROR($S144/$S143-1,"")</f>
        <v/>
      </c>
      <c r="DA143" s="57">
        <f>IFERROR($T144/$T143-1,"")</f>
        <v/>
      </c>
      <c r="DB143" s="57">
        <f>IFERROR($U144/$U143-1,"")</f>
        <v/>
      </c>
      <c r="DC143" s="57">
        <f>IFERROR($V144/$V143-1,"")</f>
        <v/>
      </c>
      <c r="DD143" s="57">
        <f>IFERROR($W144/$W143-1,"")</f>
        <v/>
      </c>
      <c r="DE143" s="57">
        <f>IFERROR($X144/$X143-1,"")</f>
        <v/>
      </c>
      <c r="DF143" s="57">
        <f>IFERROR($Y144/$Y143-1,"")</f>
        <v/>
      </c>
      <c r="DG143" s="57">
        <f>IFERROR($Z144/$Z143-1,"")</f>
        <v/>
      </c>
      <c r="DH143" s="57">
        <f>IFERROR($AA144/$AA143-1,"")</f>
        <v/>
      </c>
      <c r="DI143" s="57">
        <f>IFERROR($AB144/$AB143-1,"")</f>
        <v/>
      </c>
      <c r="DJ143" s="57">
        <f>IFERROR($AC144/$AC143-1,"")</f>
        <v/>
      </c>
      <c r="DK143" s="57">
        <f>IFERROR($AD144/$AD143-1,"")</f>
        <v/>
      </c>
      <c r="DL143" s="57">
        <f>IFERROR($AE144/$AE143-1,"")</f>
        <v/>
      </c>
      <c r="DM143" s="56">
        <f>$AZ143-$AZ144</f>
        <v/>
      </c>
      <c r="DN143" s="56">
        <f>$BA143-$BA144</f>
        <v/>
      </c>
      <c r="DO143" s="56">
        <f>$BB143-$BB144</f>
        <v/>
      </c>
      <c r="DP143" s="56">
        <f>$BC143-$BC144</f>
        <v/>
      </c>
      <c r="DQ143" s="56">
        <f>$BD143-$BD144</f>
        <v/>
      </c>
      <c r="DR143" s="56">
        <f>$BE143-$BE144</f>
        <v/>
      </c>
      <c r="DS143" s="56">
        <f>$BF143-$BF144</f>
        <v/>
      </c>
      <c r="DT143" s="56">
        <f>$BG143-$BG144</f>
        <v/>
      </c>
      <c r="DU143" s="56">
        <f>$BH143-$BH144</f>
        <v/>
      </c>
      <c r="DV143" s="56">
        <f>$BI143-$BI144</f>
        <v/>
      </c>
      <c r="DW143" s="56">
        <f>$BJ143-$BJ144</f>
        <v/>
      </c>
      <c r="DX143" s="56">
        <f>$BK143-$BK144</f>
        <v/>
      </c>
      <c r="DY143" s="56">
        <f>$BL143-$BL144</f>
        <v/>
      </c>
      <c r="DZ143" s="56">
        <f>$BM143-$BM144</f>
        <v/>
      </c>
      <c r="EA143" s="56">
        <f>$BN143-$BN144</f>
        <v/>
      </c>
      <c r="EB143" s="56">
        <f>$BO143-$BO144</f>
        <v/>
      </c>
      <c r="EC143" s="56">
        <f>$BP143-$BP144</f>
        <v/>
      </c>
      <c r="ED143" s="56">
        <f>$BQ143-$BQ144</f>
        <v/>
      </c>
      <c r="EE143" s="56">
        <f>$BR143-$BR144</f>
        <v/>
      </c>
      <c r="EF143" s="56">
        <f>$BS143-$BS144</f>
        <v/>
      </c>
      <c r="EG143" s="56">
        <f>$BT143-$BT144</f>
        <v/>
      </c>
      <c r="EH143" s="56">
        <f>$BU143-$BU144</f>
        <v/>
      </c>
    </row>
    <row r="144">
      <c r="BV144" s="56">
        <f>($D144-$D145)*100</f>
        <v/>
      </c>
      <c r="BW144" s="56">
        <f>($C144-$C145)*100</f>
        <v/>
      </c>
      <c r="BX144" s="57">
        <f>IFERROR($I144/$I145-1,"")</f>
        <v/>
      </c>
      <c r="BY144" s="56">
        <f>($AF144-$AF145)*100</f>
        <v/>
      </c>
      <c r="BZ144" s="56">
        <f>($AG144-$AG145)*100</f>
        <v/>
      </c>
      <c r="CA144" s="56">
        <f>($AH144-$AH145)*100</f>
        <v/>
      </c>
      <c r="CB144" s="56">
        <f>($AI144-$AI145)*100</f>
        <v/>
      </c>
      <c r="CC144" s="56">
        <f>($AJ144-$AJ145)*100</f>
        <v/>
      </c>
      <c r="CD144" s="56">
        <f>($AK144-$AK145)*100</f>
        <v/>
      </c>
      <c r="CE144" s="56">
        <f>($AL144-$AL145)*100</f>
        <v/>
      </c>
      <c r="CF144" s="56">
        <f>($AM144-$AM145)*100</f>
        <v/>
      </c>
      <c r="CG144" s="56">
        <f>($AN144-$AN145)*100</f>
        <v/>
      </c>
      <c r="CH144" s="56">
        <f>($AO144-$AO145)*100</f>
        <v/>
      </c>
      <c r="CI144" s="56">
        <f>($AP144-$AP145)*100</f>
        <v/>
      </c>
      <c r="CJ144" s="56">
        <f>($AQ144-$AQ145)*100</f>
        <v/>
      </c>
      <c r="CK144" s="56">
        <f>($AR144-$AR145)*100</f>
        <v/>
      </c>
      <c r="CL144" s="56">
        <f>($AS144-$AS145)*100</f>
        <v/>
      </c>
      <c r="CM144" s="56">
        <f>($AT144-$AT145)*100</f>
        <v/>
      </c>
      <c r="CN144" s="56">
        <f>($AU144-$AU145)*100</f>
        <v/>
      </c>
      <c r="CO144" s="56">
        <f>($AV144-$AV145)*100</f>
        <v/>
      </c>
      <c r="CP144" s="56">
        <f>($AW144-$AW145)*100</f>
        <v/>
      </c>
      <c r="CQ144" s="56">
        <f>($AX144-$AX145)*100</f>
        <v/>
      </c>
      <c r="CR144" s="56">
        <f>($AY144-$AY145)*100</f>
        <v/>
      </c>
      <c r="CS144" s="57">
        <f>IFERROR($L145/$L144-1,"")</f>
        <v/>
      </c>
      <c r="CT144" s="57">
        <f>IFERROR($M145/$M144-1,"")</f>
        <v/>
      </c>
      <c r="CU144" s="57">
        <f>IFERROR($N145/$N144-1,"")</f>
        <v/>
      </c>
      <c r="CV144" s="57">
        <f>IFERROR($O145/$O144-1,"")</f>
        <v/>
      </c>
      <c r="CW144" s="57">
        <f>IFERROR($P145/$P144-1,"")</f>
        <v/>
      </c>
      <c r="CX144" s="57">
        <f>IFERROR($Q145/$Q144-1,"")</f>
        <v/>
      </c>
      <c r="CY144" s="57">
        <f>IFERROR($R145/$R144-1,"")</f>
        <v/>
      </c>
      <c r="CZ144" s="57">
        <f>IFERROR($S145/$S144-1,"")</f>
        <v/>
      </c>
      <c r="DA144" s="57">
        <f>IFERROR($T145/$T144-1,"")</f>
        <v/>
      </c>
      <c r="DB144" s="57">
        <f>IFERROR($U145/$U144-1,"")</f>
        <v/>
      </c>
      <c r="DC144" s="57">
        <f>IFERROR($V145/$V144-1,"")</f>
        <v/>
      </c>
      <c r="DD144" s="57">
        <f>IFERROR($W145/$W144-1,"")</f>
        <v/>
      </c>
      <c r="DE144" s="57">
        <f>IFERROR($X145/$X144-1,"")</f>
        <v/>
      </c>
      <c r="DF144" s="57">
        <f>IFERROR($Y145/$Y144-1,"")</f>
        <v/>
      </c>
      <c r="DG144" s="57">
        <f>IFERROR($Z145/$Z144-1,"")</f>
        <v/>
      </c>
      <c r="DH144" s="57">
        <f>IFERROR($AA145/$AA144-1,"")</f>
        <v/>
      </c>
      <c r="DI144" s="57">
        <f>IFERROR($AB145/$AB144-1,"")</f>
        <v/>
      </c>
      <c r="DJ144" s="57">
        <f>IFERROR($AC145/$AC144-1,"")</f>
        <v/>
      </c>
      <c r="DK144" s="57">
        <f>IFERROR($AD145/$AD144-1,"")</f>
        <v/>
      </c>
      <c r="DL144" s="57">
        <f>IFERROR($AE145/$AE144-1,"")</f>
        <v/>
      </c>
      <c r="DM144" s="56">
        <f>$AZ144-$AZ145</f>
        <v/>
      </c>
      <c r="DN144" s="56">
        <f>$BA144-$BA145</f>
        <v/>
      </c>
      <c r="DO144" s="56">
        <f>$BB144-$BB145</f>
        <v/>
      </c>
      <c r="DP144" s="56">
        <f>$BC144-$BC145</f>
        <v/>
      </c>
      <c r="DQ144" s="56">
        <f>$BD144-$BD145</f>
        <v/>
      </c>
      <c r="DR144" s="56">
        <f>$BE144-$BE145</f>
        <v/>
      </c>
      <c r="DS144" s="56">
        <f>$BF144-$BF145</f>
        <v/>
      </c>
      <c r="DT144" s="56">
        <f>$BG144-$BG145</f>
        <v/>
      </c>
      <c r="DU144" s="56">
        <f>$BH144-$BH145</f>
        <v/>
      </c>
      <c r="DV144" s="56">
        <f>$BI144-$BI145</f>
        <v/>
      </c>
      <c r="DW144" s="56">
        <f>$BJ144-$BJ145</f>
        <v/>
      </c>
      <c r="DX144" s="56">
        <f>$BK144-$BK145</f>
        <v/>
      </c>
      <c r="DY144" s="56">
        <f>$BL144-$BL145</f>
        <v/>
      </c>
      <c r="DZ144" s="56">
        <f>$BM144-$BM145</f>
        <v/>
      </c>
      <c r="EA144" s="56">
        <f>$BN144-$BN145</f>
        <v/>
      </c>
      <c r="EB144" s="56">
        <f>$BO144-$BO145</f>
        <v/>
      </c>
      <c r="EC144" s="56">
        <f>$BP144-$BP145</f>
        <v/>
      </c>
      <c r="ED144" s="56">
        <f>$BQ144-$BQ145</f>
        <v/>
      </c>
      <c r="EE144" s="56">
        <f>$BR144-$BR145</f>
        <v/>
      </c>
      <c r="EF144" s="56">
        <f>$BS144-$BS145</f>
        <v/>
      </c>
      <c r="EG144" s="56">
        <f>$BT144-$BT145</f>
        <v/>
      </c>
      <c r="EH144" s="56">
        <f>$BU144-$BU145</f>
        <v/>
      </c>
    </row>
    <row r="145">
      <c r="BV145" s="56">
        <f>($D145-$D146)*100</f>
        <v/>
      </c>
      <c r="BW145" s="56">
        <f>($C145-$C146)*100</f>
        <v/>
      </c>
      <c r="BX145" s="57">
        <f>IFERROR($I145/$I146-1,"")</f>
        <v/>
      </c>
      <c r="BY145" s="56">
        <f>($AF145-$AF146)*100</f>
        <v/>
      </c>
      <c r="BZ145" s="56">
        <f>($AG145-$AG146)*100</f>
        <v/>
      </c>
      <c r="CA145" s="56">
        <f>($AH145-$AH146)*100</f>
        <v/>
      </c>
      <c r="CB145" s="56">
        <f>($AI145-$AI146)*100</f>
        <v/>
      </c>
      <c r="CC145" s="56">
        <f>($AJ145-$AJ146)*100</f>
        <v/>
      </c>
      <c r="CD145" s="56">
        <f>($AK145-$AK146)*100</f>
        <v/>
      </c>
      <c r="CE145" s="56">
        <f>($AL145-$AL146)*100</f>
        <v/>
      </c>
      <c r="CF145" s="56">
        <f>($AM145-$AM146)*100</f>
        <v/>
      </c>
      <c r="CG145" s="56">
        <f>($AN145-$AN146)*100</f>
        <v/>
      </c>
      <c r="CH145" s="56">
        <f>($AO145-$AO146)*100</f>
        <v/>
      </c>
      <c r="CI145" s="56">
        <f>($AP145-$AP146)*100</f>
        <v/>
      </c>
      <c r="CJ145" s="56">
        <f>($AQ145-$AQ146)*100</f>
        <v/>
      </c>
      <c r="CK145" s="56">
        <f>($AR145-$AR146)*100</f>
        <v/>
      </c>
      <c r="CL145" s="56">
        <f>($AS145-$AS146)*100</f>
        <v/>
      </c>
      <c r="CM145" s="56">
        <f>($AT145-$AT146)*100</f>
        <v/>
      </c>
      <c r="CN145" s="56">
        <f>($AU145-$AU146)*100</f>
        <v/>
      </c>
      <c r="CO145" s="56">
        <f>($AV145-$AV146)*100</f>
        <v/>
      </c>
      <c r="CP145" s="56">
        <f>($AW145-$AW146)*100</f>
        <v/>
      </c>
      <c r="CQ145" s="56">
        <f>($AX145-$AX146)*100</f>
        <v/>
      </c>
      <c r="CR145" s="56">
        <f>($AY145-$AY146)*100</f>
        <v/>
      </c>
      <c r="CS145" s="57">
        <f>IFERROR($L146/$L145-1,"")</f>
        <v/>
      </c>
      <c r="CT145" s="57">
        <f>IFERROR($M146/$M145-1,"")</f>
        <v/>
      </c>
      <c r="CU145" s="57">
        <f>IFERROR($N146/$N145-1,"")</f>
        <v/>
      </c>
      <c r="CV145" s="57">
        <f>IFERROR($O146/$O145-1,"")</f>
        <v/>
      </c>
      <c r="CW145" s="57">
        <f>IFERROR($P146/$P145-1,"")</f>
        <v/>
      </c>
      <c r="CX145" s="57">
        <f>IFERROR($Q146/$Q145-1,"")</f>
        <v/>
      </c>
      <c r="CY145" s="57">
        <f>IFERROR($R146/$R145-1,"")</f>
        <v/>
      </c>
      <c r="CZ145" s="57">
        <f>IFERROR($S146/$S145-1,"")</f>
        <v/>
      </c>
      <c r="DA145" s="57">
        <f>IFERROR($T146/$T145-1,"")</f>
        <v/>
      </c>
      <c r="DB145" s="57">
        <f>IFERROR($U146/$U145-1,"")</f>
        <v/>
      </c>
      <c r="DC145" s="57">
        <f>IFERROR($V146/$V145-1,"")</f>
        <v/>
      </c>
      <c r="DD145" s="57">
        <f>IFERROR($W146/$W145-1,"")</f>
        <v/>
      </c>
      <c r="DE145" s="57">
        <f>IFERROR($X146/$X145-1,"")</f>
        <v/>
      </c>
      <c r="DF145" s="57">
        <f>IFERROR($Y146/$Y145-1,"")</f>
        <v/>
      </c>
      <c r="DG145" s="57">
        <f>IFERROR($Z146/$Z145-1,"")</f>
        <v/>
      </c>
      <c r="DH145" s="57">
        <f>IFERROR($AA146/$AA145-1,"")</f>
        <v/>
      </c>
      <c r="DI145" s="57">
        <f>IFERROR($AB146/$AB145-1,"")</f>
        <v/>
      </c>
      <c r="DJ145" s="57">
        <f>IFERROR($AC146/$AC145-1,"")</f>
        <v/>
      </c>
      <c r="DK145" s="57">
        <f>IFERROR($AD146/$AD145-1,"")</f>
        <v/>
      </c>
      <c r="DL145" s="57">
        <f>IFERROR($AE146/$AE145-1,"")</f>
        <v/>
      </c>
      <c r="DM145" s="56">
        <f>$AZ145-$AZ146</f>
        <v/>
      </c>
      <c r="DN145" s="56">
        <f>$BA145-$BA146</f>
        <v/>
      </c>
      <c r="DO145" s="56">
        <f>$BB145-$BB146</f>
        <v/>
      </c>
      <c r="DP145" s="56">
        <f>$BC145-$BC146</f>
        <v/>
      </c>
      <c r="DQ145" s="56">
        <f>$BD145-$BD146</f>
        <v/>
      </c>
      <c r="DR145" s="56">
        <f>$BE145-$BE146</f>
        <v/>
      </c>
      <c r="DS145" s="56">
        <f>$BF145-$BF146</f>
        <v/>
      </c>
      <c r="DT145" s="56">
        <f>$BG145-$BG146</f>
        <v/>
      </c>
      <c r="DU145" s="56">
        <f>$BH145-$BH146</f>
        <v/>
      </c>
      <c r="DV145" s="56">
        <f>$BI145-$BI146</f>
        <v/>
      </c>
      <c r="DW145" s="56">
        <f>$BJ145-$BJ146</f>
        <v/>
      </c>
      <c r="DX145" s="56">
        <f>$BK145-$BK146</f>
        <v/>
      </c>
      <c r="DY145" s="56">
        <f>$BL145-$BL146</f>
        <v/>
      </c>
      <c r="DZ145" s="56">
        <f>$BM145-$BM146</f>
        <v/>
      </c>
      <c r="EA145" s="56">
        <f>$BN145-$BN146</f>
        <v/>
      </c>
      <c r="EB145" s="56">
        <f>$BO145-$BO146</f>
        <v/>
      </c>
      <c r="EC145" s="56">
        <f>$BP145-$BP146</f>
        <v/>
      </c>
      <c r="ED145" s="56">
        <f>$BQ145-$BQ146</f>
        <v/>
      </c>
      <c r="EE145" s="56">
        <f>$BR145-$BR146</f>
        <v/>
      </c>
      <c r="EF145" s="56">
        <f>$BS145-$BS146</f>
        <v/>
      </c>
      <c r="EG145" s="56">
        <f>$BT145-$BT146</f>
        <v/>
      </c>
      <c r="EH145" s="56">
        <f>$BU145-$BU146</f>
        <v/>
      </c>
    </row>
    <row r="146">
      <c r="BV146" s="56">
        <f>($D146-$D147)*100</f>
        <v/>
      </c>
      <c r="BW146" s="56">
        <f>($C146-$C147)*100</f>
        <v/>
      </c>
      <c r="BX146" s="57">
        <f>IFERROR($I146/$I147-1,"")</f>
        <v/>
      </c>
      <c r="BY146" s="56">
        <f>($AF146-$AF147)*100</f>
        <v/>
      </c>
      <c r="BZ146" s="56">
        <f>($AG146-$AG147)*100</f>
        <v/>
      </c>
      <c r="CA146" s="56">
        <f>($AH146-$AH147)*100</f>
        <v/>
      </c>
      <c r="CB146" s="56">
        <f>($AI146-$AI147)*100</f>
        <v/>
      </c>
      <c r="CC146" s="56">
        <f>($AJ146-$AJ147)*100</f>
        <v/>
      </c>
      <c r="CD146" s="56">
        <f>($AK146-$AK147)*100</f>
        <v/>
      </c>
      <c r="CE146" s="56">
        <f>($AL146-$AL147)*100</f>
        <v/>
      </c>
      <c r="CF146" s="56">
        <f>($AM146-$AM147)*100</f>
        <v/>
      </c>
      <c r="CG146" s="56">
        <f>($AN146-$AN147)*100</f>
        <v/>
      </c>
      <c r="CH146" s="56">
        <f>($AO146-$AO147)*100</f>
        <v/>
      </c>
      <c r="CI146" s="56">
        <f>($AP146-$AP147)*100</f>
        <v/>
      </c>
      <c r="CJ146" s="56">
        <f>($AQ146-$AQ147)*100</f>
        <v/>
      </c>
      <c r="CK146" s="56">
        <f>($AR146-$AR147)*100</f>
        <v/>
      </c>
      <c r="CL146" s="56">
        <f>($AS146-$AS147)*100</f>
        <v/>
      </c>
      <c r="CM146" s="56">
        <f>($AT146-$AT147)*100</f>
        <v/>
      </c>
      <c r="CN146" s="56">
        <f>($AU146-$AU147)*100</f>
        <v/>
      </c>
      <c r="CO146" s="56">
        <f>($AV146-$AV147)*100</f>
        <v/>
      </c>
      <c r="CP146" s="56">
        <f>($AW146-$AW147)*100</f>
        <v/>
      </c>
      <c r="CQ146" s="56">
        <f>($AX146-$AX147)*100</f>
        <v/>
      </c>
      <c r="CR146" s="56">
        <f>($AY146-$AY147)*100</f>
        <v/>
      </c>
      <c r="CS146" s="57">
        <f>IFERROR($L147/$L146-1,"")</f>
        <v/>
      </c>
      <c r="CT146" s="57">
        <f>IFERROR($M147/$M146-1,"")</f>
        <v/>
      </c>
      <c r="CU146" s="57">
        <f>IFERROR($N147/$N146-1,"")</f>
        <v/>
      </c>
      <c r="CV146" s="57">
        <f>IFERROR($O147/$O146-1,"")</f>
        <v/>
      </c>
      <c r="CW146" s="57">
        <f>IFERROR($P147/$P146-1,"")</f>
        <v/>
      </c>
      <c r="CX146" s="57">
        <f>IFERROR($Q147/$Q146-1,"")</f>
        <v/>
      </c>
      <c r="CY146" s="57">
        <f>IFERROR($R147/$R146-1,"")</f>
        <v/>
      </c>
      <c r="CZ146" s="57">
        <f>IFERROR($S147/$S146-1,"")</f>
        <v/>
      </c>
      <c r="DA146" s="57">
        <f>IFERROR($T147/$T146-1,"")</f>
        <v/>
      </c>
      <c r="DB146" s="57">
        <f>IFERROR($U147/$U146-1,"")</f>
        <v/>
      </c>
      <c r="DC146" s="57">
        <f>IFERROR($V147/$V146-1,"")</f>
        <v/>
      </c>
      <c r="DD146" s="57">
        <f>IFERROR($W147/$W146-1,"")</f>
        <v/>
      </c>
      <c r="DE146" s="57">
        <f>IFERROR($X147/$X146-1,"")</f>
        <v/>
      </c>
      <c r="DF146" s="57">
        <f>IFERROR($Y147/$Y146-1,"")</f>
        <v/>
      </c>
      <c r="DG146" s="57">
        <f>IFERROR($Z147/$Z146-1,"")</f>
        <v/>
      </c>
      <c r="DH146" s="57">
        <f>IFERROR($AA147/$AA146-1,"")</f>
        <v/>
      </c>
      <c r="DI146" s="57">
        <f>IFERROR($AB147/$AB146-1,"")</f>
        <v/>
      </c>
      <c r="DJ146" s="57">
        <f>IFERROR($AC147/$AC146-1,"")</f>
        <v/>
      </c>
      <c r="DK146" s="57">
        <f>IFERROR($AD147/$AD146-1,"")</f>
        <v/>
      </c>
      <c r="DL146" s="57">
        <f>IFERROR($AE147/$AE146-1,"")</f>
        <v/>
      </c>
      <c r="DM146" s="56">
        <f>$AZ146-$AZ147</f>
        <v/>
      </c>
      <c r="DN146" s="56">
        <f>$BA146-$BA147</f>
        <v/>
      </c>
      <c r="DO146" s="56">
        <f>$BB146-$BB147</f>
        <v/>
      </c>
      <c r="DP146" s="56">
        <f>$BC146-$BC147</f>
        <v/>
      </c>
      <c r="DQ146" s="56">
        <f>$BD146-$BD147</f>
        <v/>
      </c>
      <c r="DR146" s="56">
        <f>$BE146-$BE147</f>
        <v/>
      </c>
      <c r="DS146" s="56">
        <f>$BF146-$BF147</f>
        <v/>
      </c>
      <c r="DT146" s="56">
        <f>$BG146-$BG147</f>
        <v/>
      </c>
      <c r="DU146" s="56">
        <f>$BH146-$BH147</f>
        <v/>
      </c>
      <c r="DV146" s="56">
        <f>$BI146-$BI147</f>
        <v/>
      </c>
      <c r="DW146" s="56">
        <f>$BJ146-$BJ147</f>
        <v/>
      </c>
      <c r="DX146" s="56">
        <f>$BK146-$BK147</f>
        <v/>
      </c>
      <c r="DY146" s="56">
        <f>$BL146-$BL147</f>
        <v/>
      </c>
      <c r="DZ146" s="56">
        <f>$BM146-$BM147</f>
        <v/>
      </c>
      <c r="EA146" s="56">
        <f>$BN146-$BN147</f>
        <v/>
      </c>
      <c r="EB146" s="56">
        <f>$BO146-$BO147</f>
        <v/>
      </c>
      <c r="EC146" s="56">
        <f>$BP146-$BP147</f>
        <v/>
      </c>
      <c r="ED146" s="56">
        <f>$BQ146-$BQ147</f>
        <v/>
      </c>
      <c r="EE146" s="56">
        <f>$BR146-$BR147</f>
        <v/>
      </c>
      <c r="EF146" s="56">
        <f>$BS146-$BS147</f>
        <v/>
      </c>
      <c r="EG146" s="56">
        <f>$BT146-$BT147</f>
        <v/>
      </c>
      <c r="EH146" s="56">
        <f>$BU146-$BU147</f>
        <v/>
      </c>
    </row>
    <row r="147">
      <c r="BV147" s="56">
        <f>($D147-$D148)*100</f>
        <v/>
      </c>
      <c r="BW147" s="56">
        <f>($C147-$C148)*100</f>
        <v/>
      </c>
      <c r="BX147" s="57">
        <f>IFERROR($I147/$I148-1,"")</f>
        <v/>
      </c>
      <c r="BY147" s="56">
        <f>($AF147-$AF148)*100</f>
        <v/>
      </c>
      <c r="BZ147" s="56">
        <f>($AG147-$AG148)*100</f>
        <v/>
      </c>
      <c r="CA147" s="56">
        <f>($AH147-$AH148)*100</f>
        <v/>
      </c>
      <c r="CB147" s="56">
        <f>($AI147-$AI148)*100</f>
        <v/>
      </c>
      <c r="CC147" s="56">
        <f>($AJ147-$AJ148)*100</f>
        <v/>
      </c>
      <c r="CD147" s="56">
        <f>($AK147-$AK148)*100</f>
        <v/>
      </c>
      <c r="CE147" s="56">
        <f>($AL147-$AL148)*100</f>
        <v/>
      </c>
      <c r="CF147" s="56">
        <f>($AM147-$AM148)*100</f>
        <v/>
      </c>
      <c r="CG147" s="56">
        <f>($AN147-$AN148)*100</f>
        <v/>
      </c>
      <c r="CH147" s="56">
        <f>($AO147-$AO148)*100</f>
        <v/>
      </c>
      <c r="CI147" s="56">
        <f>($AP147-$AP148)*100</f>
        <v/>
      </c>
      <c r="CJ147" s="56">
        <f>($AQ147-$AQ148)*100</f>
        <v/>
      </c>
      <c r="CK147" s="56">
        <f>($AR147-$AR148)*100</f>
        <v/>
      </c>
      <c r="CL147" s="56">
        <f>($AS147-$AS148)*100</f>
        <v/>
      </c>
      <c r="CM147" s="56">
        <f>($AT147-$AT148)*100</f>
        <v/>
      </c>
      <c r="CN147" s="56">
        <f>($AU147-$AU148)*100</f>
        <v/>
      </c>
      <c r="CO147" s="56">
        <f>($AV147-$AV148)*100</f>
        <v/>
      </c>
      <c r="CP147" s="56">
        <f>($AW147-$AW148)*100</f>
        <v/>
      </c>
      <c r="CQ147" s="56">
        <f>($AX147-$AX148)*100</f>
        <v/>
      </c>
      <c r="CR147" s="56">
        <f>($AY147-$AY148)*100</f>
        <v/>
      </c>
      <c r="CS147" s="57">
        <f>IFERROR($L148/$L147-1,"")</f>
        <v/>
      </c>
      <c r="CT147" s="57">
        <f>IFERROR($M148/$M147-1,"")</f>
        <v/>
      </c>
      <c r="CU147" s="57">
        <f>IFERROR($N148/$N147-1,"")</f>
        <v/>
      </c>
      <c r="CV147" s="57">
        <f>IFERROR($O148/$O147-1,"")</f>
        <v/>
      </c>
      <c r="CW147" s="57">
        <f>IFERROR($P148/$P147-1,"")</f>
        <v/>
      </c>
      <c r="CX147" s="57">
        <f>IFERROR($Q148/$Q147-1,"")</f>
        <v/>
      </c>
      <c r="CY147" s="57">
        <f>IFERROR($R148/$R147-1,"")</f>
        <v/>
      </c>
      <c r="CZ147" s="57">
        <f>IFERROR($S148/$S147-1,"")</f>
        <v/>
      </c>
      <c r="DA147" s="57">
        <f>IFERROR($T148/$T147-1,"")</f>
        <v/>
      </c>
      <c r="DB147" s="57">
        <f>IFERROR($U148/$U147-1,"")</f>
        <v/>
      </c>
      <c r="DC147" s="57">
        <f>IFERROR($V148/$V147-1,"")</f>
        <v/>
      </c>
      <c r="DD147" s="57">
        <f>IFERROR($W148/$W147-1,"")</f>
        <v/>
      </c>
      <c r="DE147" s="57">
        <f>IFERROR($X148/$X147-1,"")</f>
        <v/>
      </c>
      <c r="DF147" s="57">
        <f>IFERROR($Y148/$Y147-1,"")</f>
        <v/>
      </c>
      <c r="DG147" s="57">
        <f>IFERROR($Z148/$Z147-1,"")</f>
        <v/>
      </c>
      <c r="DH147" s="57">
        <f>IFERROR($AA148/$AA147-1,"")</f>
        <v/>
      </c>
      <c r="DI147" s="57">
        <f>IFERROR($AB148/$AB147-1,"")</f>
        <v/>
      </c>
      <c r="DJ147" s="57">
        <f>IFERROR($AC148/$AC147-1,"")</f>
        <v/>
      </c>
      <c r="DK147" s="57">
        <f>IFERROR($AD148/$AD147-1,"")</f>
        <v/>
      </c>
      <c r="DL147" s="57">
        <f>IFERROR($AE148/$AE147-1,"")</f>
        <v/>
      </c>
      <c r="DM147" s="56">
        <f>$AZ147-$AZ148</f>
        <v/>
      </c>
      <c r="DN147" s="56">
        <f>$BA147-$BA148</f>
        <v/>
      </c>
      <c r="DO147" s="56">
        <f>$BB147-$BB148</f>
        <v/>
      </c>
      <c r="DP147" s="56">
        <f>$BC147-$BC148</f>
        <v/>
      </c>
      <c r="DQ147" s="56">
        <f>$BD147-$BD148</f>
        <v/>
      </c>
      <c r="DR147" s="56">
        <f>$BE147-$BE148</f>
        <v/>
      </c>
      <c r="DS147" s="56">
        <f>$BF147-$BF148</f>
        <v/>
      </c>
      <c r="DT147" s="56">
        <f>$BG147-$BG148</f>
        <v/>
      </c>
      <c r="DU147" s="56">
        <f>$BH147-$BH148</f>
        <v/>
      </c>
      <c r="DV147" s="56">
        <f>$BI147-$BI148</f>
        <v/>
      </c>
      <c r="DW147" s="56">
        <f>$BJ147-$BJ148</f>
        <v/>
      </c>
      <c r="DX147" s="56">
        <f>$BK147-$BK148</f>
        <v/>
      </c>
      <c r="DY147" s="56">
        <f>$BL147-$BL148</f>
        <v/>
      </c>
      <c r="DZ147" s="56">
        <f>$BM147-$BM148</f>
        <v/>
      </c>
      <c r="EA147" s="56">
        <f>$BN147-$BN148</f>
        <v/>
      </c>
      <c r="EB147" s="56">
        <f>$BO147-$BO148</f>
        <v/>
      </c>
      <c r="EC147" s="56">
        <f>$BP147-$BP148</f>
        <v/>
      </c>
      <c r="ED147" s="56">
        <f>$BQ147-$BQ148</f>
        <v/>
      </c>
      <c r="EE147" s="56">
        <f>$BR147-$BR148</f>
        <v/>
      </c>
      <c r="EF147" s="56">
        <f>$BS147-$BS148</f>
        <v/>
      </c>
      <c r="EG147" s="56">
        <f>$BT147-$BT148</f>
        <v/>
      </c>
      <c r="EH147" s="56">
        <f>$BU147-$BU148</f>
        <v/>
      </c>
    </row>
    <row r="148">
      <c r="BV148" s="56">
        <f>($D148-$D149)*100</f>
        <v/>
      </c>
      <c r="BW148" s="56">
        <f>($C148-$C149)*100</f>
        <v/>
      </c>
      <c r="BX148" s="57">
        <f>IFERROR($I148/$I149-1,"")</f>
        <v/>
      </c>
      <c r="BY148" s="56">
        <f>($AF148-$AF149)*100</f>
        <v/>
      </c>
      <c r="BZ148" s="56">
        <f>($AG148-$AG149)*100</f>
        <v/>
      </c>
      <c r="CA148" s="56">
        <f>($AH148-$AH149)*100</f>
        <v/>
      </c>
      <c r="CB148" s="56">
        <f>($AI148-$AI149)*100</f>
        <v/>
      </c>
      <c r="CC148" s="56">
        <f>($AJ148-$AJ149)*100</f>
        <v/>
      </c>
      <c r="CD148" s="56">
        <f>($AK148-$AK149)*100</f>
        <v/>
      </c>
      <c r="CE148" s="56">
        <f>($AL148-$AL149)*100</f>
        <v/>
      </c>
      <c r="CF148" s="56">
        <f>($AM148-$AM149)*100</f>
        <v/>
      </c>
      <c r="CG148" s="56">
        <f>($AN148-$AN149)*100</f>
        <v/>
      </c>
      <c r="CH148" s="56">
        <f>($AO148-$AO149)*100</f>
        <v/>
      </c>
      <c r="CI148" s="56">
        <f>($AP148-$AP149)*100</f>
        <v/>
      </c>
      <c r="CJ148" s="56">
        <f>($AQ148-$AQ149)*100</f>
        <v/>
      </c>
      <c r="CK148" s="56">
        <f>($AR148-$AR149)*100</f>
        <v/>
      </c>
      <c r="CL148" s="56">
        <f>($AS148-$AS149)*100</f>
        <v/>
      </c>
      <c r="CM148" s="56">
        <f>($AT148-$AT149)*100</f>
        <v/>
      </c>
      <c r="CN148" s="56">
        <f>($AU148-$AU149)*100</f>
        <v/>
      </c>
      <c r="CO148" s="56">
        <f>($AV148-$AV149)*100</f>
        <v/>
      </c>
      <c r="CP148" s="56">
        <f>($AW148-$AW149)*100</f>
        <v/>
      </c>
      <c r="CQ148" s="56">
        <f>($AX148-$AX149)*100</f>
        <v/>
      </c>
      <c r="CR148" s="56">
        <f>($AY148-$AY149)*100</f>
        <v/>
      </c>
      <c r="CS148" s="57">
        <f>IFERROR($L149/$L148-1,"")</f>
        <v/>
      </c>
      <c r="CT148" s="57">
        <f>IFERROR($M149/$M148-1,"")</f>
        <v/>
      </c>
      <c r="CU148" s="57">
        <f>IFERROR($N149/$N148-1,"")</f>
        <v/>
      </c>
      <c r="CV148" s="57">
        <f>IFERROR($O149/$O148-1,"")</f>
        <v/>
      </c>
      <c r="CW148" s="57">
        <f>IFERROR($P149/$P148-1,"")</f>
        <v/>
      </c>
      <c r="CX148" s="57">
        <f>IFERROR($Q149/$Q148-1,"")</f>
        <v/>
      </c>
      <c r="CY148" s="57">
        <f>IFERROR($R149/$R148-1,"")</f>
        <v/>
      </c>
      <c r="CZ148" s="57">
        <f>IFERROR($S149/$S148-1,"")</f>
        <v/>
      </c>
      <c r="DA148" s="57">
        <f>IFERROR($T149/$T148-1,"")</f>
        <v/>
      </c>
      <c r="DB148" s="57">
        <f>IFERROR($U149/$U148-1,"")</f>
        <v/>
      </c>
      <c r="DC148" s="57">
        <f>IFERROR($V149/$V148-1,"")</f>
        <v/>
      </c>
      <c r="DD148" s="57">
        <f>IFERROR($W149/$W148-1,"")</f>
        <v/>
      </c>
      <c r="DE148" s="57">
        <f>IFERROR($X149/$X148-1,"")</f>
        <v/>
      </c>
      <c r="DF148" s="57">
        <f>IFERROR($Y149/$Y148-1,"")</f>
        <v/>
      </c>
      <c r="DG148" s="57">
        <f>IFERROR($Z149/$Z148-1,"")</f>
        <v/>
      </c>
      <c r="DH148" s="57">
        <f>IFERROR($AA149/$AA148-1,"")</f>
        <v/>
      </c>
      <c r="DI148" s="57">
        <f>IFERROR($AB149/$AB148-1,"")</f>
        <v/>
      </c>
      <c r="DJ148" s="57">
        <f>IFERROR($AC149/$AC148-1,"")</f>
        <v/>
      </c>
      <c r="DK148" s="57">
        <f>IFERROR($AD149/$AD148-1,"")</f>
        <v/>
      </c>
      <c r="DL148" s="57">
        <f>IFERROR($AE149/$AE148-1,"")</f>
        <v/>
      </c>
      <c r="DM148" s="56">
        <f>$AZ148-$AZ149</f>
        <v/>
      </c>
      <c r="DN148" s="56">
        <f>$BA148-$BA149</f>
        <v/>
      </c>
      <c r="DO148" s="56">
        <f>$BB148-$BB149</f>
        <v/>
      </c>
      <c r="DP148" s="56">
        <f>$BC148-$BC149</f>
        <v/>
      </c>
      <c r="DQ148" s="56">
        <f>$BD148-$BD149</f>
        <v/>
      </c>
      <c r="DR148" s="56">
        <f>$BE148-$BE149</f>
        <v/>
      </c>
      <c r="DS148" s="56">
        <f>$BF148-$BF149</f>
        <v/>
      </c>
      <c r="DT148" s="56">
        <f>$BG148-$BG149</f>
        <v/>
      </c>
      <c r="DU148" s="56">
        <f>$BH148-$BH149</f>
        <v/>
      </c>
      <c r="DV148" s="56">
        <f>$BI148-$BI149</f>
        <v/>
      </c>
      <c r="DW148" s="56">
        <f>$BJ148-$BJ149</f>
        <v/>
      </c>
      <c r="DX148" s="56">
        <f>$BK148-$BK149</f>
        <v/>
      </c>
      <c r="DY148" s="56">
        <f>$BL148-$BL149</f>
        <v/>
      </c>
      <c r="DZ148" s="56">
        <f>$BM148-$BM149</f>
        <v/>
      </c>
      <c r="EA148" s="56">
        <f>$BN148-$BN149</f>
        <v/>
      </c>
      <c r="EB148" s="56">
        <f>$BO148-$BO149</f>
        <v/>
      </c>
      <c r="EC148" s="56">
        <f>$BP148-$BP149</f>
        <v/>
      </c>
      <c r="ED148" s="56">
        <f>$BQ148-$BQ149</f>
        <v/>
      </c>
      <c r="EE148" s="56">
        <f>$BR148-$BR149</f>
        <v/>
      </c>
      <c r="EF148" s="56">
        <f>$BS148-$BS149</f>
        <v/>
      </c>
      <c r="EG148" s="56">
        <f>$BT148-$BT149</f>
        <v/>
      </c>
      <c r="EH148" s="56">
        <f>$BU148-$BU149</f>
        <v/>
      </c>
    </row>
    <row r="149">
      <c r="BV149" s="56">
        <f>($D149-$D150)*100</f>
        <v/>
      </c>
      <c r="BW149" s="56">
        <f>($C149-$C150)*100</f>
        <v/>
      </c>
      <c r="BX149" s="57">
        <f>IFERROR($I149/$I150-1,"")</f>
        <v/>
      </c>
      <c r="BY149" s="56">
        <f>($AF149-$AF150)*100</f>
        <v/>
      </c>
      <c r="BZ149" s="56">
        <f>($AG149-$AG150)*100</f>
        <v/>
      </c>
      <c r="CA149" s="56">
        <f>($AH149-$AH150)*100</f>
        <v/>
      </c>
      <c r="CB149" s="56">
        <f>($AI149-$AI150)*100</f>
        <v/>
      </c>
      <c r="CC149" s="56">
        <f>($AJ149-$AJ150)*100</f>
        <v/>
      </c>
      <c r="CD149" s="56">
        <f>($AK149-$AK150)*100</f>
        <v/>
      </c>
      <c r="CE149" s="56">
        <f>($AL149-$AL150)*100</f>
        <v/>
      </c>
      <c r="CF149" s="56">
        <f>($AM149-$AM150)*100</f>
        <v/>
      </c>
      <c r="CG149" s="56">
        <f>($AN149-$AN150)*100</f>
        <v/>
      </c>
      <c r="CH149" s="56">
        <f>($AO149-$AO150)*100</f>
        <v/>
      </c>
      <c r="CI149" s="56">
        <f>($AP149-$AP150)*100</f>
        <v/>
      </c>
      <c r="CJ149" s="56">
        <f>($AQ149-$AQ150)*100</f>
        <v/>
      </c>
      <c r="CK149" s="56">
        <f>($AR149-$AR150)*100</f>
        <v/>
      </c>
      <c r="CL149" s="56">
        <f>($AS149-$AS150)*100</f>
        <v/>
      </c>
      <c r="CM149" s="56">
        <f>($AT149-$AT150)*100</f>
        <v/>
      </c>
      <c r="CN149" s="56">
        <f>($AU149-$AU150)*100</f>
        <v/>
      </c>
      <c r="CO149" s="56">
        <f>($AV149-$AV150)*100</f>
        <v/>
      </c>
      <c r="CP149" s="56">
        <f>($AW149-$AW150)*100</f>
        <v/>
      </c>
      <c r="CQ149" s="56">
        <f>($AX149-$AX150)*100</f>
        <v/>
      </c>
      <c r="CR149" s="56">
        <f>($AY149-$AY150)*100</f>
        <v/>
      </c>
      <c r="CS149" s="57">
        <f>IFERROR($L150/$L149-1,"")</f>
        <v/>
      </c>
      <c r="CT149" s="57">
        <f>IFERROR($M150/$M149-1,"")</f>
        <v/>
      </c>
      <c r="CU149" s="57">
        <f>IFERROR($N150/$N149-1,"")</f>
        <v/>
      </c>
      <c r="CV149" s="57">
        <f>IFERROR($O150/$O149-1,"")</f>
        <v/>
      </c>
      <c r="CW149" s="57">
        <f>IFERROR($P150/$P149-1,"")</f>
        <v/>
      </c>
      <c r="CX149" s="57">
        <f>IFERROR($Q150/$Q149-1,"")</f>
        <v/>
      </c>
      <c r="CY149" s="57">
        <f>IFERROR($R150/$R149-1,"")</f>
        <v/>
      </c>
      <c r="CZ149" s="57">
        <f>IFERROR($S150/$S149-1,"")</f>
        <v/>
      </c>
      <c r="DA149" s="57">
        <f>IFERROR($T150/$T149-1,"")</f>
        <v/>
      </c>
      <c r="DB149" s="57">
        <f>IFERROR($U150/$U149-1,"")</f>
        <v/>
      </c>
      <c r="DC149" s="57">
        <f>IFERROR($V150/$V149-1,"")</f>
        <v/>
      </c>
      <c r="DD149" s="57">
        <f>IFERROR($W150/$W149-1,"")</f>
        <v/>
      </c>
      <c r="DE149" s="57">
        <f>IFERROR($X150/$X149-1,"")</f>
        <v/>
      </c>
      <c r="DF149" s="57">
        <f>IFERROR($Y150/$Y149-1,"")</f>
        <v/>
      </c>
      <c r="DG149" s="57">
        <f>IFERROR($Z150/$Z149-1,"")</f>
        <v/>
      </c>
      <c r="DH149" s="57">
        <f>IFERROR($AA150/$AA149-1,"")</f>
        <v/>
      </c>
      <c r="DI149" s="57">
        <f>IFERROR($AB150/$AB149-1,"")</f>
        <v/>
      </c>
      <c r="DJ149" s="57">
        <f>IFERROR($AC150/$AC149-1,"")</f>
        <v/>
      </c>
      <c r="DK149" s="57">
        <f>IFERROR($AD150/$AD149-1,"")</f>
        <v/>
      </c>
      <c r="DL149" s="57">
        <f>IFERROR($AE150/$AE149-1,"")</f>
        <v/>
      </c>
      <c r="DM149" s="56">
        <f>$AZ149-$AZ150</f>
        <v/>
      </c>
      <c r="DN149" s="56">
        <f>$BA149-$BA150</f>
        <v/>
      </c>
      <c r="DO149" s="56">
        <f>$BB149-$BB150</f>
        <v/>
      </c>
      <c r="DP149" s="56">
        <f>$BC149-$BC150</f>
        <v/>
      </c>
      <c r="DQ149" s="56">
        <f>$BD149-$BD150</f>
        <v/>
      </c>
      <c r="DR149" s="56">
        <f>$BE149-$BE150</f>
        <v/>
      </c>
      <c r="DS149" s="56">
        <f>$BF149-$BF150</f>
        <v/>
      </c>
      <c r="DT149" s="56">
        <f>$BG149-$BG150</f>
        <v/>
      </c>
      <c r="DU149" s="56">
        <f>$BH149-$BH150</f>
        <v/>
      </c>
      <c r="DV149" s="56">
        <f>$BI149-$BI150</f>
        <v/>
      </c>
      <c r="DW149" s="56">
        <f>$BJ149-$BJ150</f>
        <v/>
      </c>
      <c r="DX149" s="56">
        <f>$BK149-$BK150</f>
        <v/>
      </c>
      <c r="DY149" s="56">
        <f>$BL149-$BL150</f>
        <v/>
      </c>
      <c r="DZ149" s="56">
        <f>$BM149-$BM150</f>
        <v/>
      </c>
      <c r="EA149" s="56">
        <f>$BN149-$BN150</f>
        <v/>
      </c>
      <c r="EB149" s="56">
        <f>$BO149-$BO150</f>
        <v/>
      </c>
      <c r="EC149" s="56">
        <f>$BP149-$BP150</f>
        <v/>
      </c>
      <c r="ED149" s="56">
        <f>$BQ149-$BQ150</f>
        <v/>
      </c>
      <c r="EE149" s="56">
        <f>$BR149-$BR150</f>
        <v/>
      </c>
      <c r="EF149" s="56">
        <f>$BS149-$BS150</f>
        <v/>
      </c>
      <c r="EG149" s="56">
        <f>$BT149-$BT150</f>
        <v/>
      </c>
      <c r="EH149" s="56">
        <f>$BU149-$BU150</f>
        <v/>
      </c>
    </row>
    <row r="150">
      <c r="BV150" s="56">
        <f>($D150-$D151)*100</f>
        <v/>
      </c>
      <c r="BW150" s="56">
        <f>($C150-$C151)*100</f>
        <v/>
      </c>
      <c r="BX150" s="57">
        <f>IFERROR($I150/$I151-1,"")</f>
        <v/>
      </c>
      <c r="BY150" s="56">
        <f>($AF150-$AF151)*100</f>
        <v/>
      </c>
      <c r="BZ150" s="56">
        <f>($AG150-$AG151)*100</f>
        <v/>
      </c>
      <c r="CA150" s="56">
        <f>($AH150-$AH151)*100</f>
        <v/>
      </c>
      <c r="CB150" s="56">
        <f>($AI150-$AI151)*100</f>
        <v/>
      </c>
      <c r="CC150" s="56">
        <f>($AJ150-$AJ151)*100</f>
        <v/>
      </c>
      <c r="CD150" s="56">
        <f>($AK150-$AK151)*100</f>
        <v/>
      </c>
      <c r="CE150" s="56">
        <f>($AL150-$AL151)*100</f>
        <v/>
      </c>
      <c r="CF150" s="56">
        <f>($AM150-$AM151)*100</f>
        <v/>
      </c>
      <c r="CG150" s="56">
        <f>($AN150-$AN151)*100</f>
        <v/>
      </c>
      <c r="CH150" s="56">
        <f>($AO150-$AO151)*100</f>
        <v/>
      </c>
      <c r="CI150" s="56">
        <f>($AP150-$AP151)*100</f>
        <v/>
      </c>
      <c r="CJ150" s="56">
        <f>($AQ150-$AQ151)*100</f>
        <v/>
      </c>
      <c r="CK150" s="56">
        <f>($AR150-$AR151)*100</f>
        <v/>
      </c>
      <c r="CL150" s="56">
        <f>($AS150-$AS151)*100</f>
        <v/>
      </c>
      <c r="CM150" s="56">
        <f>($AT150-$AT151)*100</f>
        <v/>
      </c>
      <c r="CN150" s="56">
        <f>($AU150-$AU151)*100</f>
        <v/>
      </c>
      <c r="CO150" s="56">
        <f>($AV150-$AV151)*100</f>
        <v/>
      </c>
      <c r="CP150" s="56">
        <f>($AW150-$AW151)*100</f>
        <v/>
      </c>
      <c r="CQ150" s="56">
        <f>($AX150-$AX151)*100</f>
        <v/>
      </c>
      <c r="CR150" s="56">
        <f>($AY150-$AY151)*100</f>
        <v/>
      </c>
      <c r="CS150" s="57">
        <f>IFERROR($L151/$L150-1,"")</f>
        <v/>
      </c>
      <c r="CT150" s="57">
        <f>IFERROR($M151/$M150-1,"")</f>
        <v/>
      </c>
      <c r="CU150" s="57">
        <f>IFERROR($N151/$N150-1,"")</f>
        <v/>
      </c>
      <c r="CV150" s="57">
        <f>IFERROR($O151/$O150-1,"")</f>
        <v/>
      </c>
      <c r="CW150" s="57">
        <f>IFERROR($P151/$P150-1,"")</f>
        <v/>
      </c>
      <c r="CX150" s="57">
        <f>IFERROR($Q151/$Q150-1,"")</f>
        <v/>
      </c>
      <c r="CY150" s="57">
        <f>IFERROR($R151/$R150-1,"")</f>
        <v/>
      </c>
      <c r="CZ150" s="57">
        <f>IFERROR($S151/$S150-1,"")</f>
        <v/>
      </c>
      <c r="DA150" s="57">
        <f>IFERROR($T151/$T150-1,"")</f>
        <v/>
      </c>
      <c r="DB150" s="57">
        <f>IFERROR($U151/$U150-1,"")</f>
        <v/>
      </c>
      <c r="DC150" s="57">
        <f>IFERROR($V151/$V150-1,"")</f>
        <v/>
      </c>
      <c r="DD150" s="57">
        <f>IFERROR($W151/$W150-1,"")</f>
        <v/>
      </c>
      <c r="DE150" s="57">
        <f>IFERROR($X151/$X150-1,"")</f>
        <v/>
      </c>
      <c r="DF150" s="57">
        <f>IFERROR($Y151/$Y150-1,"")</f>
        <v/>
      </c>
      <c r="DG150" s="57">
        <f>IFERROR($Z151/$Z150-1,"")</f>
        <v/>
      </c>
      <c r="DH150" s="57">
        <f>IFERROR($AA151/$AA150-1,"")</f>
        <v/>
      </c>
      <c r="DI150" s="57">
        <f>IFERROR($AB151/$AB150-1,"")</f>
        <v/>
      </c>
      <c r="DJ150" s="57">
        <f>IFERROR($AC151/$AC150-1,"")</f>
        <v/>
      </c>
      <c r="DK150" s="57">
        <f>IFERROR($AD151/$AD150-1,"")</f>
        <v/>
      </c>
      <c r="DL150" s="57">
        <f>IFERROR($AE151/$AE150-1,"")</f>
        <v/>
      </c>
      <c r="DM150" s="56">
        <f>$AZ150-$AZ151</f>
        <v/>
      </c>
      <c r="DN150" s="56">
        <f>$BA150-$BA151</f>
        <v/>
      </c>
      <c r="DO150" s="56">
        <f>$BB150-$BB151</f>
        <v/>
      </c>
      <c r="DP150" s="56">
        <f>$BC150-$BC151</f>
        <v/>
      </c>
      <c r="DQ150" s="56">
        <f>$BD150-$BD151</f>
        <v/>
      </c>
      <c r="DR150" s="56">
        <f>$BE150-$BE151</f>
        <v/>
      </c>
      <c r="DS150" s="56">
        <f>$BF150-$BF151</f>
        <v/>
      </c>
      <c r="DT150" s="56">
        <f>$BG150-$BG151</f>
        <v/>
      </c>
      <c r="DU150" s="56">
        <f>$BH150-$BH151</f>
        <v/>
      </c>
      <c r="DV150" s="56">
        <f>$BI150-$BI151</f>
        <v/>
      </c>
      <c r="DW150" s="56">
        <f>$BJ150-$BJ151</f>
        <v/>
      </c>
      <c r="DX150" s="56">
        <f>$BK150-$BK151</f>
        <v/>
      </c>
      <c r="DY150" s="56">
        <f>$BL150-$BL151</f>
        <v/>
      </c>
      <c r="DZ150" s="56">
        <f>$BM150-$BM151</f>
        <v/>
      </c>
      <c r="EA150" s="56">
        <f>$BN150-$BN151</f>
        <v/>
      </c>
      <c r="EB150" s="56">
        <f>$BO150-$BO151</f>
        <v/>
      </c>
      <c r="EC150" s="56">
        <f>$BP150-$BP151</f>
        <v/>
      </c>
      <c r="ED150" s="56">
        <f>$BQ150-$BQ151</f>
        <v/>
      </c>
      <c r="EE150" s="56">
        <f>$BR150-$BR151</f>
        <v/>
      </c>
      <c r="EF150" s="56">
        <f>$BS150-$BS151</f>
        <v/>
      </c>
      <c r="EG150" s="56">
        <f>$BT150-$BT151</f>
        <v/>
      </c>
      <c r="EH150" s="56">
        <f>$BU150-$BU151</f>
        <v/>
      </c>
    </row>
    <row r="151">
      <c r="BV151" s="56">
        <f>($D151-$D152)*100</f>
        <v/>
      </c>
      <c r="BW151" s="56">
        <f>($C151-$C152)*100</f>
        <v/>
      </c>
      <c r="BX151" s="57">
        <f>IFERROR($I151/$I152-1,"")</f>
        <v/>
      </c>
      <c r="BY151" s="56">
        <f>($AF151-$AF152)*100</f>
        <v/>
      </c>
      <c r="BZ151" s="56">
        <f>($AG151-$AG152)*100</f>
        <v/>
      </c>
      <c r="CA151" s="56">
        <f>($AH151-$AH152)*100</f>
        <v/>
      </c>
      <c r="CB151" s="56">
        <f>($AI151-$AI152)*100</f>
        <v/>
      </c>
      <c r="CC151" s="56">
        <f>($AJ151-$AJ152)*100</f>
        <v/>
      </c>
      <c r="CD151" s="56">
        <f>($AK151-$AK152)*100</f>
        <v/>
      </c>
      <c r="CE151" s="56">
        <f>($AL151-$AL152)*100</f>
        <v/>
      </c>
      <c r="CF151" s="56">
        <f>($AM151-$AM152)*100</f>
        <v/>
      </c>
      <c r="CG151" s="56">
        <f>($AN151-$AN152)*100</f>
        <v/>
      </c>
      <c r="CH151" s="56">
        <f>($AO151-$AO152)*100</f>
        <v/>
      </c>
      <c r="CI151" s="56">
        <f>($AP151-$AP152)*100</f>
        <v/>
      </c>
      <c r="CJ151" s="56">
        <f>($AQ151-$AQ152)*100</f>
        <v/>
      </c>
      <c r="CK151" s="56">
        <f>($AR151-$AR152)*100</f>
        <v/>
      </c>
      <c r="CL151" s="56">
        <f>($AS151-$AS152)*100</f>
        <v/>
      </c>
      <c r="CM151" s="56">
        <f>($AT151-$AT152)*100</f>
        <v/>
      </c>
      <c r="CN151" s="56">
        <f>($AU151-$AU152)*100</f>
        <v/>
      </c>
      <c r="CO151" s="56">
        <f>($AV151-$AV152)*100</f>
        <v/>
      </c>
      <c r="CP151" s="56">
        <f>($AW151-$AW152)*100</f>
        <v/>
      </c>
      <c r="CQ151" s="56">
        <f>($AX151-$AX152)*100</f>
        <v/>
      </c>
      <c r="CR151" s="56">
        <f>($AY151-$AY152)*100</f>
        <v/>
      </c>
      <c r="CS151" s="57">
        <f>IFERROR($L152/$L151-1,"")</f>
        <v/>
      </c>
      <c r="CT151" s="57">
        <f>IFERROR($M152/$M151-1,"")</f>
        <v/>
      </c>
      <c r="CU151" s="57">
        <f>IFERROR($N152/$N151-1,"")</f>
        <v/>
      </c>
      <c r="CV151" s="57">
        <f>IFERROR($O152/$O151-1,"")</f>
        <v/>
      </c>
      <c r="CW151" s="57">
        <f>IFERROR($P152/$P151-1,"")</f>
        <v/>
      </c>
      <c r="CX151" s="57">
        <f>IFERROR($Q152/$Q151-1,"")</f>
        <v/>
      </c>
      <c r="CY151" s="57">
        <f>IFERROR($R152/$R151-1,"")</f>
        <v/>
      </c>
      <c r="CZ151" s="57">
        <f>IFERROR($S152/$S151-1,"")</f>
        <v/>
      </c>
      <c r="DA151" s="57">
        <f>IFERROR($T152/$T151-1,"")</f>
        <v/>
      </c>
      <c r="DB151" s="57">
        <f>IFERROR($U152/$U151-1,"")</f>
        <v/>
      </c>
      <c r="DC151" s="57">
        <f>IFERROR($V152/$V151-1,"")</f>
        <v/>
      </c>
      <c r="DD151" s="57">
        <f>IFERROR($W152/$W151-1,"")</f>
        <v/>
      </c>
      <c r="DE151" s="57">
        <f>IFERROR($X152/$X151-1,"")</f>
        <v/>
      </c>
      <c r="DF151" s="57">
        <f>IFERROR($Y152/$Y151-1,"")</f>
        <v/>
      </c>
      <c r="DG151" s="57">
        <f>IFERROR($Z152/$Z151-1,"")</f>
        <v/>
      </c>
      <c r="DH151" s="57">
        <f>IFERROR($AA152/$AA151-1,"")</f>
        <v/>
      </c>
      <c r="DI151" s="57">
        <f>IFERROR($AB152/$AB151-1,"")</f>
        <v/>
      </c>
      <c r="DJ151" s="57">
        <f>IFERROR($AC152/$AC151-1,"")</f>
        <v/>
      </c>
      <c r="DK151" s="57">
        <f>IFERROR($AD152/$AD151-1,"")</f>
        <v/>
      </c>
      <c r="DL151" s="57">
        <f>IFERROR($AE152/$AE151-1,"")</f>
        <v/>
      </c>
      <c r="DM151" s="56">
        <f>$AZ151-$AZ152</f>
        <v/>
      </c>
      <c r="DN151" s="56">
        <f>$BA151-$BA152</f>
        <v/>
      </c>
      <c r="DO151" s="56">
        <f>$BB151-$BB152</f>
        <v/>
      </c>
      <c r="DP151" s="56">
        <f>$BC151-$BC152</f>
        <v/>
      </c>
      <c r="DQ151" s="56">
        <f>$BD151-$BD152</f>
        <v/>
      </c>
      <c r="DR151" s="56">
        <f>$BE151-$BE152</f>
        <v/>
      </c>
      <c r="DS151" s="56">
        <f>$BF151-$BF152</f>
        <v/>
      </c>
      <c r="DT151" s="56">
        <f>$BG151-$BG152</f>
        <v/>
      </c>
      <c r="DU151" s="56">
        <f>$BH151-$BH152</f>
        <v/>
      </c>
      <c r="DV151" s="56">
        <f>$BI151-$BI152</f>
        <v/>
      </c>
      <c r="DW151" s="56">
        <f>$BJ151-$BJ152</f>
        <v/>
      </c>
      <c r="DX151" s="56">
        <f>$BK151-$BK152</f>
        <v/>
      </c>
      <c r="DY151" s="56">
        <f>$BL151-$BL152</f>
        <v/>
      </c>
      <c r="DZ151" s="56">
        <f>$BM151-$BM152</f>
        <v/>
      </c>
      <c r="EA151" s="56">
        <f>$BN151-$BN152</f>
        <v/>
      </c>
      <c r="EB151" s="56">
        <f>$BO151-$BO152</f>
        <v/>
      </c>
      <c r="EC151" s="56">
        <f>$BP151-$BP152</f>
        <v/>
      </c>
      <c r="ED151" s="56">
        <f>$BQ151-$BQ152</f>
        <v/>
      </c>
      <c r="EE151" s="56">
        <f>$BR151-$BR152</f>
        <v/>
      </c>
      <c r="EF151" s="56">
        <f>$BS151-$BS152</f>
        <v/>
      </c>
      <c r="EG151" s="56">
        <f>$BT151-$BT152</f>
        <v/>
      </c>
      <c r="EH151" s="56">
        <f>$BU151-$BU152</f>
        <v/>
      </c>
    </row>
    <row r="152">
      <c r="BV152" s="56">
        <f>($D152-$D153)*100</f>
        <v/>
      </c>
      <c r="BW152" s="56">
        <f>($C152-$C153)*100</f>
        <v/>
      </c>
      <c r="BX152" s="57">
        <f>IFERROR($I152/$I153-1,"")</f>
        <v/>
      </c>
      <c r="BY152" s="56">
        <f>($AF152-$AF153)*100</f>
        <v/>
      </c>
      <c r="BZ152" s="56">
        <f>($AG152-$AG153)*100</f>
        <v/>
      </c>
      <c r="CA152" s="56">
        <f>($AH152-$AH153)*100</f>
        <v/>
      </c>
      <c r="CB152" s="56">
        <f>($AI152-$AI153)*100</f>
        <v/>
      </c>
      <c r="CC152" s="56">
        <f>($AJ152-$AJ153)*100</f>
        <v/>
      </c>
      <c r="CD152" s="56">
        <f>($AK152-$AK153)*100</f>
        <v/>
      </c>
      <c r="CE152" s="56">
        <f>($AL152-$AL153)*100</f>
        <v/>
      </c>
      <c r="CF152" s="56">
        <f>($AM152-$AM153)*100</f>
        <v/>
      </c>
      <c r="CG152" s="56">
        <f>($AN152-$AN153)*100</f>
        <v/>
      </c>
      <c r="CH152" s="56">
        <f>($AO152-$AO153)*100</f>
        <v/>
      </c>
      <c r="CI152" s="56">
        <f>($AP152-$AP153)*100</f>
        <v/>
      </c>
      <c r="CJ152" s="56">
        <f>($AQ152-$AQ153)*100</f>
        <v/>
      </c>
      <c r="CK152" s="56">
        <f>($AR152-$AR153)*100</f>
        <v/>
      </c>
      <c r="CL152" s="56">
        <f>($AS152-$AS153)*100</f>
        <v/>
      </c>
      <c r="CM152" s="56">
        <f>($AT152-$AT153)*100</f>
        <v/>
      </c>
      <c r="CN152" s="56">
        <f>($AU152-$AU153)*100</f>
        <v/>
      </c>
      <c r="CO152" s="56">
        <f>($AV152-$AV153)*100</f>
        <v/>
      </c>
      <c r="CP152" s="56">
        <f>($AW152-$AW153)*100</f>
        <v/>
      </c>
      <c r="CQ152" s="56">
        <f>($AX152-$AX153)*100</f>
        <v/>
      </c>
      <c r="CR152" s="56">
        <f>($AY152-$AY153)*100</f>
        <v/>
      </c>
      <c r="CS152" s="57">
        <f>IFERROR($L153/$L152-1,"")</f>
        <v/>
      </c>
      <c r="CT152" s="57">
        <f>IFERROR($M153/$M152-1,"")</f>
        <v/>
      </c>
      <c r="CU152" s="57">
        <f>IFERROR($N153/$N152-1,"")</f>
        <v/>
      </c>
      <c r="CV152" s="57">
        <f>IFERROR($O153/$O152-1,"")</f>
        <v/>
      </c>
      <c r="CW152" s="57">
        <f>IFERROR($P153/$P152-1,"")</f>
        <v/>
      </c>
      <c r="CX152" s="57">
        <f>IFERROR($Q153/$Q152-1,"")</f>
        <v/>
      </c>
      <c r="CY152" s="57">
        <f>IFERROR($R153/$R152-1,"")</f>
        <v/>
      </c>
      <c r="CZ152" s="57">
        <f>IFERROR($S153/$S152-1,"")</f>
        <v/>
      </c>
      <c r="DA152" s="57">
        <f>IFERROR($T153/$T152-1,"")</f>
        <v/>
      </c>
      <c r="DB152" s="57">
        <f>IFERROR($U153/$U152-1,"")</f>
        <v/>
      </c>
      <c r="DC152" s="57">
        <f>IFERROR($V153/$V152-1,"")</f>
        <v/>
      </c>
      <c r="DD152" s="57">
        <f>IFERROR($W153/$W152-1,"")</f>
        <v/>
      </c>
      <c r="DE152" s="57">
        <f>IFERROR($X153/$X152-1,"")</f>
        <v/>
      </c>
      <c r="DF152" s="57">
        <f>IFERROR($Y153/$Y152-1,"")</f>
        <v/>
      </c>
      <c r="DG152" s="57">
        <f>IFERROR($Z153/$Z152-1,"")</f>
        <v/>
      </c>
      <c r="DH152" s="57">
        <f>IFERROR($AA153/$AA152-1,"")</f>
        <v/>
      </c>
      <c r="DI152" s="57">
        <f>IFERROR($AB153/$AB152-1,"")</f>
        <v/>
      </c>
      <c r="DJ152" s="57">
        <f>IFERROR($AC153/$AC152-1,"")</f>
        <v/>
      </c>
      <c r="DK152" s="57">
        <f>IFERROR($AD153/$AD152-1,"")</f>
        <v/>
      </c>
      <c r="DL152" s="57">
        <f>IFERROR($AE153/$AE152-1,"")</f>
        <v/>
      </c>
      <c r="DM152" s="56">
        <f>$AZ152-$AZ153</f>
        <v/>
      </c>
      <c r="DN152" s="56">
        <f>$BA152-$BA153</f>
        <v/>
      </c>
      <c r="DO152" s="56">
        <f>$BB152-$BB153</f>
        <v/>
      </c>
      <c r="DP152" s="56">
        <f>$BC152-$BC153</f>
        <v/>
      </c>
      <c r="DQ152" s="56">
        <f>$BD152-$BD153</f>
        <v/>
      </c>
      <c r="DR152" s="56">
        <f>$BE152-$BE153</f>
        <v/>
      </c>
      <c r="DS152" s="56">
        <f>$BF152-$BF153</f>
        <v/>
      </c>
      <c r="DT152" s="56">
        <f>$BG152-$BG153</f>
        <v/>
      </c>
      <c r="DU152" s="56">
        <f>$BH152-$BH153</f>
        <v/>
      </c>
      <c r="DV152" s="56">
        <f>$BI152-$BI153</f>
        <v/>
      </c>
      <c r="DW152" s="56">
        <f>$BJ152-$BJ153</f>
        <v/>
      </c>
      <c r="DX152" s="56">
        <f>$BK152-$BK153</f>
        <v/>
      </c>
      <c r="DY152" s="56">
        <f>$BL152-$BL153</f>
        <v/>
      </c>
      <c r="DZ152" s="56">
        <f>$BM152-$BM153</f>
        <v/>
      </c>
      <c r="EA152" s="56">
        <f>$BN152-$BN153</f>
        <v/>
      </c>
      <c r="EB152" s="56">
        <f>$BO152-$BO153</f>
        <v/>
      </c>
      <c r="EC152" s="56">
        <f>$BP152-$BP153</f>
        <v/>
      </c>
      <c r="ED152" s="56">
        <f>$BQ152-$BQ153</f>
        <v/>
      </c>
      <c r="EE152" s="56">
        <f>$BR152-$BR153</f>
        <v/>
      </c>
      <c r="EF152" s="56">
        <f>$BS152-$BS153</f>
        <v/>
      </c>
      <c r="EG152" s="56">
        <f>$BT152-$BT153</f>
        <v/>
      </c>
      <c r="EH152" s="56">
        <f>$BU152-$BU153</f>
        <v/>
      </c>
    </row>
    <row r="153">
      <c r="BV153" s="56">
        <f>($D153-$D154)*100</f>
        <v/>
      </c>
      <c r="BW153" s="56">
        <f>($C153-$C154)*100</f>
        <v/>
      </c>
      <c r="BX153" s="57">
        <f>IFERROR($I153/$I154-1,"")</f>
        <v/>
      </c>
      <c r="BY153" s="56">
        <f>($AF153-$AF154)*100</f>
        <v/>
      </c>
      <c r="BZ153" s="56">
        <f>($AG153-$AG154)*100</f>
        <v/>
      </c>
      <c r="CA153" s="56">
        <f>($AH153-$AH154)*100</f>
        <v/>
      </c>
      <c r="CB153" s="56">
        <f>($AI153-$AI154)*100</f>
        <v/>
      </c>
      <c r="CC153" s="56">
        <f>($AJ153-$AJ154)*100</f>
        <v/>
      </c>
      <c r="CD153" s="56">
        <f>($AK153-$AK154)*100</f>
        <v/>
      </c>
      <c r="CE153" s="56">
        <f>($AL153-$AL154)*100</f>
        <v/>
      </c>
      <c r="CF153" s="56">
        <f>($AM153-$AM154)*100</f>
        <v/>
      </c>
      <c r="CG153" s="56">
        <f>($AN153-$AN154)*100</f>
        <v/>
      </c>
      <c r="CH153" s="56">
        <f>($AO153-$AO154)*100</f>
        <v/>
      </c>
      <c r="CI153" s="56">
        <f>($AP153-$AP154)*100</f>
        <v/>
      </c>
      <c r="CJ153" s="56">
        <f>($AQ153-$AQ154)*100</f>
        <v/>
      </c>
      <c r="CK153" s="56">
        <f>($AR153-$AR154)*100</f>
        <v/>
      </c>
      <c r="CL153" s="56">
        <f>($AS153-$AS154)*100</f>
        <v/>
      </c>
      <c r="CM153" s="56">
        <f>($AT153-$AT154)*100</f>
        <v/>
      </c>
      <c r="CN153" s="56">
        <f>($AU153-$AU154)*100</f>
        <v/>
      </c>
      <c r="CO153" s="56">
        <f>($AV153-$AV154)*100</f>
        <v/>
      </c>
      <c r="CP153" s="56">
        <f>($AW153-$AW154)*100</f>
        <v/>
      </c>
      <c r="CQ153" s="56">
        <f>($AX153-$AX154)*100</f>
        <v/>
      </c>
      <c r="CR153" s="56">
        <f>($AY153-$AY154)*100</f>
        <v/>
      </c>
      <c r="CS153" s="57">
        <f>IFERROR($L154/$L153-1,"")</f>
        <v/>
      </c>
      <c r="CT153" s="57">
        <f>IFERROR($M154/$M153-1,"")</f>
        <v/>
      </c>
      <c r="CU153" s="57">
        <f>IFERROR($N154/$N153-1,"")</f>
        <v/>
      </c>
      <c r="CV153" s="57">
        <f>IFERROR($O154/$O153-1,"")</f>
        <v/>
      </c>
      <c r="CW153" s="57">
        <f>IFERROR($P154/$P153-1,"")</f>
        <v/>
      </c>
      <c r="CX153" s="57">
        <f>IFERROR($Q154/$Q153-1,"")</f>
        <v/>
      </c>
      <c r="CY153" s="57">
        <f>IFERROR($R154/$R153-1,"")</f>
        <v/>
      </c>
      <c r="CZ153" s="57">
        <f>IFERROR($S154/$S153-1,"")</f>
        <v/>
      </c>
      <c r="DA153" s="57">
        <f>IFERROR($T154/$T153-1,"")</f>
        <v/>
      </c>
      <c r="DB153" s="57">
        <f>IFERROR($U154/$U153-1,"")</f>
        <v/>
      </c>
      <c r="DC153" s="57">
        <f>IFERROR($V154/$V153-1,"")</f>
        <v/>
      </c>
      <c r="DD153" s="57">
        <f>IFERROR($W154/$W153-1,"")</f>
        <v/>
      </c>
      <c r="DE153" s="57">
        <f>IFERROR($X154/$X153-1,"")</f>
        <v/>
      </c>
      <c r="DF153" s="57">
        <f>IFERROR($Y154/$Y153-1,"")</f>
        <v/>
      </c>
      <c r="DG153" s="57">
        <f>IFERROR($Z154/$Z153-1,"")</f>
        <v/>
      </c>
      <c r="DH153" s="57">
        <f>IFERROR($AA154/$AA153-1,"")</f>
        <v/>
      </c>
      <c r="DI153" s="57">
        <f>IFERROR($AB154/$AB153-1,"")</f>
        <v/>
      </c>
      <c r="DJ153" s="57">
        <f>IFERROR($AC154/$AC153-1,"")</f>
        <v/>
      </c>
      <c r="DK153" s="57">
        <f>IFERROR($AD154/$AD153-1,"")</f>
        <v/>
      </c>
      <c r="DL153" s="57">
        <f>IFERROR($AE154/$AE153-1,"")</f>
        <v/>
      </c>
      <c r="DM153" s="56">
        <f>$AZ153-$AZ154</f>
        <v/>
      </c>
      <c r="DN153" s="56">
        <f>$BA153-$BA154</f>
        <v/>
      </c>
      <c r="DO153" s="56">
        <f>$BB153-$BB154</f>
        <v/>
      </c>
      <c r="DP153" s="56">
        <f>$BC153-$BC154</f>
        <v/>
      </c>
      <c r="DQ153" s="56">
        <f>$BD153-$BD154</f>
        <v/>
      </c>
      <c r="DR153" s="56">
        <f>$BE153-$BE154</f>
        <v/>
      </c>
      <c r="DS153" s="56">
        <f>$BF153-$BF154</f>
        <v/>
      </c>
      <c r="DT153" s="56">
        <f>$BG153-$BG154</f>
        <v/>
      </c>
      <c r="DU153" s="56">
        <f>$BH153-$BH154</f>
        <v/>
      </c>
      <c r="DV153" s="56">
        <f>$BI153-$BI154</f>
        <v/>
      </c>
      <c r="DW153" s="56">
        <f>$BJ153-$BJ154</f>
        <v/>
      </c>
      <c r="DX153" s="56">
        <f>$BK153-$BK154</f>
        <v/>
      </c>
      <c r="DY153" s="56">
        <f>$BL153-$BL154</f>
        <v/>
      </c>
      <c r="DZ153" s="56">
        <f>$BM153-$BM154</f>
        <v/>
      </c>
      <c r="EA153" s="56">
        <f>$BN153-$BN154</f>
        <v/>
      </c>
      <c r="EB153" s="56">
        <f>$BO153-$BO154</f>
        <v/>
      </c>
      <c r="EC153" s="56">
        <f>$BP153-$BP154</f>
        <v/>
      </c>
      <c r="ED153" s="56">
        <f>$BQ153-$BQ154</f>
        <v/>
      </c>
      <c r="EE153" s="56">
        <f>$BR153-$BR154</f>
        <v/>
      </c>
      <c r="EF153" s="56">
        <f>$BS153-$BS154</f>
        <v/>
      </c>
      <c r="EG153" s="56">
        <f>$BT153-$BT154</f>
        <v/>
      </c>
      <c r="EH153" s="56">
        <f>$BU153-$BU154</f>
        <v/>
      </c>
    </row>
    <row r="154">
      <c r="BV154" s="56">
        <f>($D154-$D155)*100</f>
        <v/>
      </c>
      <c r="BW154" s="56">
        <f>($C154-$C155)*100</f>
        <v/>
      </c>
      <c r="BX154" s="57">
        <f>IFERROR($I154/$I155-1,"")</f>
        <v/>
      </c>
      <c r="BY154" s="56">
        <f>($AF154-$AF155)*100</f>
        <v/>
      </c>
      <c r="BZ154" s="56">
        <f>($AG154-$AG155)*100</f>
        <v/>
      </c>
      <c r="CA154" s="56">
        <f>($AH154-$AH155)*100</f>
        <v/>
      </c>
      <c r="CB154" s="56">
        <f>($AI154-$AI155)*100</f>
        <v/>
      </c>
      <c r="CC154" s="56">
        <f>($AJ154-$AJ155)*100</f>
        <v/>
      </c>
      <c r="CD154" s="56">
        <f>($AK154-$AK155)*100</f>
        <v/>
      </c>
      <c r="CE154" s="56">
        <f>($AL154-$AL155)*100</f>
        <v/>
      </c>
      <c r="CF154" s="56">
        <f>($AM154-$AM155)*100</f>
        <v/>
      </c>
      <c r="CG154" s="56">
        <f>($AN154-$AN155)*100</f>
        <v/>
      </c>
      <c r="CH154" s="56">
        <f>($AO154-$AO155)*100</f>
        <v/>
      </c>
      <c r="CI154" s="56">
        <f>($AP154-$AP155)*100</f>
        <v/>
      </c>
      <c r="CJ154" s="56">
        <f>($AQ154-$AQ155)*100</f>
        <v/>
      </c>
      <c r="CK154" s="56">
        <f>($AR154-$AR155)*100</f>
        <v/>
      </c>
      <c r="CL154" s="56">
        <f>($AS154-$AS155)*100</f>
        <v/>
      </c>
      <c r="CM154" s="56">
        <f>($AT154-$AT155)*100</f>
        <v/>
      </c>
      <c r="CN154" s="56">
        <f>($AU154-$AU155)*100</f>
        <v/>
      </c>
      <c r="CO154" s="56">
        <f>($AV154-$AV155)*100</f>
        <v/>
      </c>
      <c r="CP154" s="56">
        <f>($AW154-$AW155)*100</f>
        <v/>
      </c>
      <c r="CQ154" s="56">
        <f>($AX154-$AX155)*100</f>
        <v/>
      </c>
      <c r="CR154" s="56">
        <f>($AY154-$AY155)*100</f>
        <v/>
      </c>
      <c r="CS154" s="57">
        <f>IFERROR($L155/$L154-1,"")</f>
        <v/>
      </c>
      <c r="CT154" s="57">
        <f>IFERROR($M155/$M154-1,"")</f>
        <v/>
      </c>
      <c r="CU154" s="57">
        <f>IFERROR($N155/$N154-1,"")</f>
        <v/>
      </c>
      <c r="CV154" s="57">
        <f>IFERROR($O155/$O154-1,"")</f>
        <v/>
      </c>
      <c r="CW154" s="57">
        <f>IFERROR($P155/$P154-1,"")</f>
        <v/>
      </c>
      <c r="CX154" s="57">
        <f>IFERROR($Q155/$Q154-1,"")</f>
        <v/>
      </c>
      <c r="CY154" s="57">
        <f>IFERROR($R155/$R154-1,"")</f>
        <v/>
      </c>
      <c r="CZ154" s="57">
        <f>IFERROR($S155/$S154-1,"")</f>
        <v/>
      </c>
      <c r="DA154" s="57">
        <f>IFERROR($T155/$T154-1,"")</f>
        <v/>
      </c>
      <c r="DB154" s="57">
        <f>IFERROR($U155/$U154-1,"")</f>
        <v/>
      </c>
      <c r="DC154" s="57">
        <f>IFERROR($V155/$V154-1,"")</f>
        <v/>
      </c>
      <c r="DD154" s="57">
        <f>IFERROR($W155/$W154-1,"")</f>
        <v/>
      </c>
      <c r="DE154" s="57">
        <f>IFERROR($X155/$X154-1,"")</f>
        <v/>
      </c>
      <c r="DF154" s="57">
        <f>IFERROR($Y155/$Y154-1,"")</f>
        <v/>
      </c>
      <c r="DG154" s="57">
        <f>IFERROR($Z155/$Z154-1,"")</f>
        <v/>
      </c>
      <c r="DH154" s="57">
        <f>IFERROR($AA155/$AA154-1,"")</f>
        <v/>
      </c>
      <c r="DI154" s="57">
        <f>IFERROR($AB155/$AB154-1,"")</f>
        <v/>
      </c>
      <c r="DJ154" s="57">
        <f>IFERROR($AC155/$AC154-1,"")</f>
        <v/>
      </c>
      <c r="DK154" s="57">
        <f>IFERROR($AD155/$AD154-1,"")</f>
        <v/>
      </c>
      <c r="DL154" s="57">
        <f>IFERROR($AE155/$AE154-1,"")</f>
        <v/>
      </c>
      <c r="DM154" s="56">
        <f>$AZ154-$AZ155</f>
        <v/>
      </c>
      <c r="DN154" s="56">
        <f>$BA154-$BA155</f>
        <v/>
      </c>
      <c r="DO154" s="56">
        <f>$BB154-$BB155</f>
        <v/>
      </c>
      <c r="DP154" s="56">
        <f>$BC154-$BC155</f>
        <v/>
      </c>
      <c r="DQ154" s="56">
        <f>$BD154-$BD155</f>
        <v/>
      </c>
      <c r="DR154" s="56">
        <f>$BE154-$BE155</f>
        <v/>
      </c>
      <c r="DS154" s="56">
        <f>$BF154-$BF155</f>
        <v/>
      </c>
      <c r="DT154" s="56">
        <f>$BG154-$BG155</f>
        <v/>
      </c>
      <c r="DU154" s="56">
        <f>$BH154-$BH155</f>
        <v/>
      </c>
      <c r="DV154" s="56">
        <f>$BI154-$BI155</f>
        <v/>
      </c>
      <c r="DW154" s="56">
        <f>$BJ154-$BJ155</f>
        <v/>
      </c>
      <c r="DX154" s="56">
        <f>$BK154-$BK155</f>
        <v/>
      </c>
      <c r="DY154" s="56">
        <f>$BL154-$BL155</f>
        <v/>
      </c>
      <c r="DZ154" s="56">
        <f>$BM154-$BM155</f>
        <v/>
      </c>
      <c r="EA154" s="56">
        <f>$BN154-$BN155</f>
        <v/>
      </c>
      <c r="EB154" s="56">
        <f>$BO154-$BO155</f>
        <v/>
      </c>
      <c r="EC154" s="56">
        <f>$BP154-$BP155</f>
        <v/>
      </c>
      <c r="ED154" s="56">
        <f>$BQ154-$BQ155</f>
        <v/>
      </c>
      <c r="EE154" s="56">
        <f>$BR154-$BR155</f>
        <v/>
      </c>
      <c r="EF154" s="56">
        <f>$BS154-$BS155</f>
        <v/>
      </c>
      <c r="EG154" s="56">
        <f>$BT154-$BT155</f>
        <v/>
      </c>
      <c r="EH154" s="56">
        <f>$BU154-$BU155</f>
        <v/>
      </c>
    </row>
    <row r="155">
      <c r="BV155" s="56">
        <f>($D155-$D156)*100</f>
        <v/>
      </c>
      <c r="BW155" s="56">
        <f>($C155-$C156)*100</f>
        <v/>
      </c>
      <c r="BX155" s="57">
        <f>IFERROR($I155/$I156-1,"")</f>
        <v/>
      </c>
      <c r="BY155" s="56">
        <f>($AF155-$AF156)*100</f>
        <v/>
      </c>
      <c r="BZ155" s="56">
        <f>($AG155-$AG156)*100</f>
        <v/>
      </c>
      <c r="CA155" s="56">
        <f>($AH155-$AH156)*100</f>
        <v/>
      </c>
      <c r="CB155" s="56">
        <f>($AI155-$AI156)*100</f>
        <v/>
      </c>
      <c r="CC155" s="56">
        <f>($AJ155-$AJ156)*100</f>
        <v/>
      </c>
      <c r="CD155" s="56">
        <f>($AK155-$AK156)*100</f>
        <v/>
      </c>
      <c r="CE155" s="56">
        <f>($AL155-$AL156)*100</f>
        <v/>
      </c>
      <c r="CF155" s="56">
        <f>($AM155-$AM156)*100</f>
        <v/>
      </c>
      <c r="CG155" s="56">
        <f>($AN155-$AN156)*100</f>
        <v/>
      </c>
      <c r="CH155" s="56">
        <f>($AO155-$AO156)*100</f>
        <v/>
      </c>
      <c r="CI155" s="56">
        <f>($AP155-$AP156)*100</f>
        <v/>
      </c>
      <c r="CJ155" s="56">
        <f>($AQ155-$AQ156)*100</f>
        <v/>
      </c>
      <c r="CK155" s="56">
        <f>($AR155-$AR156)*100</f>
        <v/>
      </c>
      <c r="CL155" s="56">
        <f>($AS155-$AS156)*100</f>
        <v/>
      </c>
      <c r="CM155" s="56">
        <f>($AT155-$AT156)*100</f>
        <v/>
      </c>
      <c r="CN155" s="56">
        <f>($AU155-$AU156)*100</f>
        <v/>
      </c>
      <c r="CO155" s="56">
        <f>($AV155-$AV156)*100</f>
        <v/>
      </c>
      <c r="CP155" s="56">
        <f>($AW155-$AW156)*100</f>
        <v/>
      </c>
      <c r="CQ155" s="56">
        <f>($AX155-$AX156)*100</f>
        <v/>
      </c>
      <c r="CR155" s="56">
        <f>($AY155-$AY156)*100</f>
        <v/>
      </c>
      <c r="CS155" s="57">
        <f>IFERROR($L156/$L155-1,"")</f>
        <v/>
      </c>
      <c r="CT155" s="57">
        <f>IFERROR($M156/$M155-1,"")</f>
        <v/>
      </c>
      <c r="CU155" s="57">
        <f>IFERROR($N156/$N155-1,"")</f>
        <v/>
      </c>
      <c r="CV155" s="57">
        <f>IFERROR($O156/$O155-1,"")</f>
        <v/>
      </c>
      <c r="CW155" s="57">
        <f>IFERROR($P156/$P155-1,"")</f>
        <v/>
      </c>
      <c r="CX155" s="57">
        <f>IFERROR($Q156/$Q155-1,"")</f>
        <v/>
      </c>
      <c r="CY155" s="57">
        <f>IFERROR($R156/$R155-1,"")</f>
        <v/>
      </c>
      <c r="CZ155" s="57">
        <f>IFERROR($S156/$S155-1,"")</f>
        <v/>
      </c>
      <c r="DA155" s="57">
        <f>IFERROR($T156/$T155-1,"")</f>
        <v/>
      </c>
      <c r="DB155" s="57">
        <f>IFERROR($U156/$U155-1,"")</f>
        <v/>
      </c>
      <c r="DC155" s="57">
        <f>IFERROR($V156/$V155-1,"")</f>
        <v/>
      </c>
      <c r="DD155" s="57">
        <f>IFERROR($W156/$W155-1,"")</f>
        <v/>
      </c>
      <c r="DE155" s="57">
        <f>IFERROR($X156/$X155-1,"")</f>
        <v/>
      </c>
      <c r="DF155" s="57">
        <f>IFERROR($Y156/$Y155-1,"")</f>
        <v/>
      </c>
      <c r="DG155" s="57">
        <f>IFERROR($Z156/$Z155-1,"")</f>
        <v/>
      </c>
      <c r="DH155" s="57">
        <f>IFERROR($AA156/$AA155-1,"")</f>
        <v/>
      </c>
      <c r="DI155" s="57">
        <f>IFERROR($AB156/$AB155-1,"")</f>
        <v/>
      </c>
      <c r="DJ155" s="57">
        <f>IFERROR($AC156/$AC155-1,"")</f>
        <v/>
      </c>
      <c r="DK155" s="57">
        <f>IFERROR($AD156/$AD155-1,"")</f>
        <v/>
      </c>
      <c r="DL155" s="57">
        <f>IFERROR($AE156/$AE155-1,"")</f>
        <v/>
      </c>
      <c r="DM155" s="56">
        <f>$AZ155-$AZ156</f>
        <v/>
      </c>
      <c r="DN155" s="56">
        <f>$BA155-$BA156</f>
        <v/>
      </c>
      <c r="DO155" s="56">
        <f>$BB155-$BB156</f>
        <v/>
      </c>
      <c r="DP155" s="56">
        <f>$BC155-$BC156</f>
        <v/>
      </c>
      <c r="DQ155" s="56">
        <f>$BD155-$BD156</f>
        <v/>
      </c>
      <c r="DR155" s="56">
        <f>$BE155-$BE156</f>
        <v/>
      </c>
      <c r="DS155" s="56">
        <f>$BF155-$BF156</f>
        <v/>
      </c>
      <c r="DT155" s="56">
        <f>$BG155-$BG156</f>
        <v/>
      </c>
      <c r="DU155" s="56">
        <f>$BH155-$BH156</f>
        <v/>
      </c>
      <c r="DV155" s="56">
        <f>$BI155-$BI156</f>
        <v/>
      </c>
      <c r="DW155" s="56">
        <f>$BJ155-$BJ156</f>
        <v/>
      </c>
      <c r="DX155" s="56">
        <f>$BK155-$BK156</f>
        <v/>
      </c>
      <c r="DY155" s="56">
        <f>$BL155-$BL156</f>
        <v/>
      </c>
      <c r="DZ155" s="56">
        <f>$BM155-$BM156</f>
        <v/>
      </c>
      <c r="EA155" s="56">
        <f>$BN155-$BN156</f>
        <v/>
      </c>
      <c r="EB155" s="56">
        <f>$BO155-$BO156</f>
        <v/>
      </c>
      <c r="EC155" s="56">
        <f>$BP155-$BP156</f>
        <v/>
      </c>
      <c r="ED155" s="56">
        <f>$BQ155-$BQ156</f>
        <v/>
      </c>
      <c r="EE155" s="56">
        <f>$BR155-$BR156</f>
        <v/>
      </c>
      <c r="EF155" s="56">
        <f>$BS155-$BS156</f>
        <v/>
      </c>
      <c r="EG155" s="56">
        <f>$BT155-$BT156</f>
        <v/>
      </c>
      <c r="EH155" s="56">
        <f>$BU155-$BU156</f>
        <v/>
      </c>
    </row>
    <row r="156">
      <c r="BV156" s="56">
        <f>($D156-$D157)*100</f>
        <v/>
      </c>
      <c r="BW156" s="56">
        <f>($C156-$C157)*100</f>
        <v/>
      </c>
      <c r="BX156" s="57">
        <f>IFERROR($I156/$I157-1,"")</f>
        <v/>
      </c>
      <c r="BY156" s="56">
        <f>($AF156-$AF157)*100</f>
        <v/>
      </c>
      <c r="BZ156" s="56">
        <f>($AG156-$AG157)*100</f>
        <v/>
      </c>
      <c r="CA156" s="56">
        <f>($AH156-$AH157)*100</f>
        <v/>
      </c>
      <c r="CB156" s="56">
        <f>($AI156-$AI157)*100</f>
        <v/>
      </c>
      <c r="CC156" s="56">
        <f>($AJ156-$AJ157)*100</f>
        <v/>
      </c>
      <c r="CD156" s="56">
        <f>($AK156-$AK157)*100</f>
        <v/>
      </c>
      <c r="CE156" s="56">
        <f>($AL156-$AL157)*100</f>
        <v/>
      </c>
      <c r="CF156" s="56">
        <f>($AM156-$AM157)*100</f>
        <v/>
      </c>
      <c r="CG156" s="56">
        <f>($AN156-$AN157)*100</f>
        <v/>
      </c>
      <c r="CH156" s="56">
        <f>($AO156-$AO157)*100</f>
        <v/>
      </c>
      <c r="CI156" s="56">
        <f>($AP156-$AP157)*100</f>
        <v/>
      </c>
      <c r="CJ156" s="56">
        <f>($AQ156-$AQ157)*100</f>
        <v/>
      </c>
      <c r="CK156" s="56">
        <f>($AR156-$AR157)*100</f>
        <v/>
      </c>
      <c r="CL156" s="56">
        <f>($AS156-$AS157)*100</f>
        <v/>
      </c>
      <c r="CM156" s="56">
        <f>($AT156-$AT157)*100</f>
        <v/>
      </c>
      <c r="CN156" s="56">
        <f>($AU156-$AU157)*100</f>
        <v/>
      </c>
      <c r="CO156" s="56">
        <f>($AV156-$AV157)*100</f>
        <v/>
      </c>
      <c r="CP156" s="56">
        <f>($AW156-$AW157)*100</f>
        <v/>
      </c>
      <c r="CQ156" s="56">
        <f>($AX156-$AX157)*100</f>
        <v/>
      </c>
      <c r="CR156" s="56">
        <f>($AY156-$AY157)*100</f>
        <v/>
      </c>
      <c r="CS156" s="57">
        <f>IFERROR($L157/$L156-1,"")</f>
        <v/>
      </c>
      <c r="CT156" s="57">
        <f>IFERROR($M157/$M156-1,"")</f>
        <v/>
      </c>
      <c r="CU156" s="57">
        <f>IFERROR($N157/$N156-1,"")</f>
        <v/>
      </c>
      <c r="CV156" s="57">
        <f>IFERROR($O157/$O156-1,"")</f>
        <v/>
      </c>
      <c r="CW156" s="57">
        <f>IFERROR($P157/$P156-1,"")</f>
        <v/>
      </c>
      <c r="CX156" s="57">
        <f>IFERROR($Q157/$Q156-1,"")</f>
        <v/>
      </c>
      <c r="CY156" s="57">
        <f>IFERROR($R157/$R156-1,"")</f>
        <v/>
      </c>
      <c r="CZ156" s="57">
        <f>IFERROR($S157/$S156-1,"")</f>
        <v/>
      </c>
      <c r="DA156" s="57">
        <f>IFERROR($T157/$T156-1,"")</f>
        <v/>
      </c>
      <c r="DB156" s="57">
        <f>IFERROR($U157/$U156-1,"")</f>
        <v/>
      </c>
      <c r="DC156" s="57">
        <f>IFERROR($V157/$V156-1,"")</f>
        <v/>
      </c>
      <c r="DD156" s="57">
        <f>IFERROR($W157/$W156-1,"")</f>
        <v/>
      </c>
      <c r="DE156" s="57">
        <f>IFERROR($X157/$X156-1,"")</f>
        <v/>
      </c>
      <c r="DF156" s="57">
        <f>IFERROR($Y157/$Y156-1,"")</f>
        <v/>
      </c>
      <c r="DG156" s="57">
        <f>IFERROR($Z157/$Z156-1,"")</f>
        <v/>
      </c>
      <c r="DH156" s="57">
        <f>IFERROR($AA157/$AA156-1,"")</f>
        <v/>
      </c>
      <c r="DI156" s="57">
        <f>IFERROR($AB157/$AB156-1,"")</f>
        <v/>
      </c>
      <c r="DJ156" s="57">
        <f>IFERROR($AC157/$AC156-1,"")</f>
        <v/>
      </c>
      <c r="DK156" s="57">
        <f>IFERROR($AD157/$AD156-1,"")</f>
        <v/>
      </c>
      <c r="DL156" s="57">
        <f>IFERROR($AE157/$AE156-1,"")</f>
        <v/>
      </c>
      <c r="DM156" s="56">
        <f>$AZ156-$AZ157</f>
        <v/>
      </c>
      <c r="DN156" s="56">
        <f>$BA156-$BA157</f>
        <v/>
      </c>
      <c r="DO156" s="56">
        <f>$BB156-$BB157</f>
        <v/>
      </c>
      <c r="DP156" s="56">
        <f>$BC156-$BC157</f>
        <v/>
      </c>
      <c r="DQ156" s="56">
        <f>$BD156-$BD157</f>
        <v/>
      </c>
      <c r="DR156" s="56">
        <f>$BE156-$BE157</f>
        <v/>
      </c>
      <c r="DS156" s="56">
        <f>$BF156-$BF157</f>
        <v/>
      </c>
      <c r="DT156" s="56">
        <f>$BG156-$BG157</f>
        <v/>
      </c>
      <c r="DU156" s="56">
        <f>$BH156-$BH157</f>
        <v/>
      </c>
      <c r="DV156" s="56">
        <f>$BI156-$BI157</f>
        <v/>
      </c>
      <c r="DW156" s="56">
        <f>$BJ156-$BJ157</f>
        <v/>
      </c>
      <c r="DX156" s="56">
        <f>$BK156-$BK157</f>
        <v/>
      </c>
      <c r="DY156" s="56">
        <f>$BL156-$BL157</f>
        <v/>
      </c>
      <c r="DZ156" s="56">
        <f>$BM156-$BM157</f>
        <v/>
      </c>
      <c r="EA156" s="56">
        <f>$BN156-$BN157</f>
        <v/>
      </c>
      <c r="EB156" s="56">
        <f>$BO156-$BO157</f>
        <v/>
      </c>
      <c r="EC156" s="56">
        <f>$BP156-$BP157</f>
        <v/>
      </c>
      <c r="ED156" s="56">
        <f>$BQ156-$BQ157</f>
        <v/>
      </c>
      <c r="EE156" s="56">
        <f>$BR156-$BR157</f>
        <v/>
      </c>
      <c r="EF156" s="56">
        <f>$BS156-$BS157</f>
        <v/>
      </c>
      <c r="EG156" s="56">
        <f>$BT156-$BT157</f>
        <v/>
      </c>
      <c r="EH156" s="56">
        <f>$BU156-$BU157</f>
        <v/>
      </c>
    </row>
    <row r="157">
      <c r="BV157" s="56">
        <f>($D157-$D158)*100</f>
        <v/>
      </c>
      <c r="BW157" s="56">
        <f>($C157-$C158)*100</f>
        <v/>
      </c>
      <c r="BX157" s="57">
        <f>IFERROR($I157/$I158-1,"")</f>
        <v/>
      </c>
      <c r="BY157" s="56">
        <f>($AF157-$AF158)*100</f>
        <v/>
      </c>
      <c r="BZ157" s="56">
        <f>($AG157-$AG158)*100</f>
        <v/>
      </c>
      <c r="CA157" s="56">
        <f>($AH157-$AH158)*100</f>
        <v/>
      </c>
      <c r="CB157" s="56">
        <f>($AI157-$AI158)*100</f>
        <v/>
      </c>
      <c r="CC157" s="56">
        <f>($AJ157-$AJ158)*100</f>
        <v/>
      </c>
      <c r="CD157" s="56">
        <f>($AK157-$AK158)*100</f>
        <v/>
      </c>
      <c r="CE157" s="56">
        <f>($AL157-$AL158)*100</f>
        <v/>
      </c>
      <c r="CF157" s="56">
        <f>($AM157-$AM158)*100</f>
        <v/>
      </c>
      <c r="CG157" s="56">
        <f>($AN157-$AN158)*100</f>
        <v/>
      </c>
      <c r="CH157" s="56">
        <f>($AO157-$AO158)*100</f>
        <v/>
      </c>
      <c r="CI157" s="56">
        <f>($AP157-$AP158)*100</f>
        <v/>
      </c>
      <c r="CJ157" s="56">
        <f>($AQ157-$AQ158)*100</f>
        <v/>
      </c>
      <c r="CK157" s="56">
        <f>($AR157-$AR158)*100</f>
        <v/>
      </c>
      <c r="CL157" s="56">
        <f>($AS157-$AS158)*100</f>
        <v/>
      </c>
      <c r="CM157" s="56">
        <f>($AT157-$AT158)*100</f>
        <v/>
      </c>
      <c r="CN157" s="56">
        <f>($AU157-$AU158)*100</f>
        <v/>
      </c>
      <c r="CO157" s="56">
        <f>($AV157-$AV158)*100</f>
        <v/>
      </c>
      <c r="CP157" s="56">
        <f>($AW157-$AW158)*100</f>
        <v/>
      </c>
      <c r="CQ157" s="56">
        <f>($AX157-$AX158)*100</f>
        <v/>
      </c>
      <c r="CR157" s="56">
        <f>($AY157-$AY158)*100</f>
        <v/>
      </c>
      <c r="CS157" s="57">
        <f>IFERROR($L158/$L157-1,"")</f>
        <v/>
      </c>
      <c r="CT157" s="57">
        <f>IFERROR($M158/$M157-1,"")</f>
        <v/>
      </c>
      <c r="CU157" s="57">
        <f>IFERROR($N158/$N157-1,"")</f>
        <v/>
      </c>
      <c r="CV157" s="57">
        <f>IFERROR($O158/$O157-1,"")</f>
        <v/>
      </c>
      <c r="CW157" s="57">
        <f>IFERROR($P158/$P157-1,"")</f>
        <v/>
      </c>
      <c r="CX157" s="57">
        <f>IFERROR($Q158/$Q157-1,"")</f>
        <v/>
      </c>
      <c r="CY157" s="57">
        <f>IFERROR($R158/$R157-1,"")</f>
        <v/>
      </c>
      <c r="CZ157" s="57">
        <f>IFERROR($S158/$S157-1,"")</f>
        <v/>
      </c>
      <c r="DA157" s="57">
        <f>IFERROR($T158/$T157-1,"")</f>
        <v/>
      </c>
      <c r="DB157" s="57">
        <f>IFERROR($U158/$U157-1,"")</f>
        <v/>
      </c>
      <c r="DC157" s="57">
        <f>IFERROR($V158/$V157-1,"")</f>
        <v/>
      </c>
      <c r="DD157" s="57">
        <f>IFERROR($W158/$W157-1,"")</f>
        <v/>
      </c>
      <c r="DE157" s="57">
        <f>IFERROR($X158/$X157-1,"")</f>
        <v/>
      </c>
      <c r="DF157" s="57">
        <f>IFERROR($Y158/$Y157-1,"")</f>
        <v/>
      </c>
      <c r="DG157" s="57">
        <f>IFERROR($Z158/$Z157-1,"")</f>
        <v/>
      </c>
      <c r="DH157" s="57">
        <f>IFERROR($AA158/$AA157-1,"")</f>
        <v/>
      </c>
      <c r="DI157" s="57">
        <f>IFERROR($AB158/$AB157-1,"")</f>
        <v/>
      </c>
      <c r="DJ157" s="57">
        <f>IFERROR($AC158/$AC157-1,"")</f>
        <v/>
      </c>
      <c r="DK157" s="57">
        <f>IFERROR($AD158/$AD157-1,"")</f>
        <v/>
      </c>
      <c r="DL157" s="57">
        <f>IFERROR($AE158/$AE157-1,"")</f>
        <v/>
      </c>
      <c r="DM157" s="56">
        <f>$AZ157-$AZ158</f>
        <v/>
      </c>
      <c r="DN157" s="56">
        <f>$BA157-$BA158</f>
        <v/>
      </c>
      <c r="DO157" s="56">
        <f>$BB157-$BB158</f>
        <v/>
      </c>
      <c r="DP157" s="56">
        <f>$BC157-$BC158</f>
        <v/>
      </c>
      <c r="DQ157" s="56">
        <f>$BD157-$BD158</f>
        <v/>
      </c>
      <c r="DR157" s="56">
        <f>$BE157-$BE158</f>
        <v/>
      </c>
      <c r="DS157" s="56">
        <f>$BF157-$BF158</f>
        <v/>
      </c>
      <c r="DT157" s="56">
        <f>$BG157-$BG158</f>
        <v/>
      </c>
      <c r="DU157" s="56">
        <f>$BH157-$BH158</f>
        <v/>
      </c>
      <c r="DV157" s="56">
        <f>$BI157-$BI158</f>
        <v/>
      </c>
      <c r="DW157" s="56">
        <f>$BJ157-$BJ158</f>
        <v/>
      </c>
      <c r="DX157" s="56">
        <f>$BK157-$BK158</f>
        <v/>
      </c>
      <c r="DY157" s="56">
        <f>$BL157-$BL158</f>
        <v/>
      </c>
      <c r="DZ157" s="56">
        <f>$BM157-$BM158</f>
        <v/>
      </c>
      <c r="EA157" s="56">
        <f>$BN157-$BN158</f>
        <v/>
      </c>
      <c r="EB157" s="56">
        <f>$BO157-$BO158</f>
        <v/>
      </c>
      <c r="EC157" s="56">
        <f>$BP157-$BP158</f>
        <v/>
      </c>
      <c r="ED157" s="56">
        <f>$BQ157-$BQ158</f>
        <v/>
      </c>
      <c r="EE157" s="56">
        <f>$BR157-$BR158</f>
        <v/>
      </c>
      <c r="EF157" s="56">
        <f>$BS157-$BS158</f>
        <v/>
      </c>
      <c r="EG157" s="56">
        <f>$BT157-$BT158</f>
        <v/>
      </c>
      <c r="EH157" s="56">
        <f>$BU157-$BU158</f>
        <v/>
      </c>
    </row>
    <row r="158">
      <c r="BV158" s="56">
        <f>($D158-$D159)*100</f>
        <v/>
      </c>
      <c r="BW158" s="56">
        <f>($C158-$C159)*100</f>
        <v/>
      </c>
      <c r="BX158" s="57">
        <f>IFERROR($I158/$I159-1,"")</f>
        <v/>
      </c>
      <c r="BY158" s="56">
        <f>($AF158-$AF159)*100</f>
        <v/>
      </c>
      <c r="BZ158" s="56">
        <f>($AG158-$AG159)*100</f>
        <v/>
      </c>
      <c r="CA158" s="56">
        <f>($AH158-$AH159)*100</f>
        <v/>
      </c>
      <c r="CB158" s="56">
        <f>($AI158-$AI159)*100</f>
        <v/>
      </c>
      <c r="CC158" s="56">
        <f>($AJ158-$AJ159)*100</f>
        <v/>
      </c>
      <c r="CD158" s="56">
        <f>($AK158-$AK159)*100</f>
        <v/>
      </c>
      <c r="CE158" s="56">
        <f>($AL158-$AL159)*100</f>
        <v/>
      </c>
      <c r="CF158" s="56">
        <f>($AM158-$AM159)*100</f>
        <v/>
      </c>
      <c r="CG158" s="56">
        <f>($AN158-$AN159)*100</f>
        <v/>
      </c>
      <c r="CH158" s="56">
        <f>($AO158-$AO159)*100</f>
        <v/>
      </c>
      <c r="CI158" s="56">
        <f>($AP158-$AP159)*100</f>
        <v/>
      </c>
      <c r="CJ158" s="56">
        <f>($AQ158-$AQ159)*100</f>
        <v/>
      </c>
      <c r="CK158" s="56">
        <f>($AR158-$AR159)*100</f>
        <v/>
      </c>
      <c r="CL158" s="56">
        <f>($AS158-$AS159)*100</f>
        <v/>
      </c>
      <c r="CM158" s="56">
        <f>($AT158-$AT159)*100</f>
        <v/>
      </c>
      <c r="CN158" s="56">
        <f>($AU158-$AU159)*100</f>
        <v/>
      </c>
      <c r="CO158" s="56">
        <f>($AV158-$AV159)*100</f>
        <v/>
      </c>
      <c r="CP158" s="56">
        <f>($AW158-$AW159)*100</f>
        <v/>
      </c>
      <c r="CQ158" s="56">
        <f>($AX158-$AX159)*100</f>
        <v/>
      </c>
      <c r="CR158" s="56">
        <f>($AY158-$AY159)*100</f>
        <v/>
      </c>
      <c r="CS158" s="57">
        <f>IFERROR($L159/$L158-1,"")</f>
        <v/>
      </c>
      <c r="CT158" s="57">
        <f>IFERROR($M159/$M158-1,"")</f>
        <v/>
      </c>
      <c r="CU158" s="57">
        <f>IFERROR($N159/$N158-1,"")</f>
        <v/>
      </c>
      <c r="CV158" s="57">
        <f>IFERROR($O159/$O158-1,"")</f>
        <v/>
      </c>
      <c r="CW158" s="57">
        <f>IFERROR($P159/$P158-1,"")</f>
        <v/>
      </c>
      <c r="CX158" s="57">
        <f>IFERROR($Q159/$Q158-1,"")</f>
        <v/>
      </c>
      <c r="CY158" s="57">
        <f>IFERROR($R159/$R158-1,"")</f>
        <v/>
      </c>
      <c r="CZ158" s="57">
        <f>IFERROR($S159/$S158-1,"")</f>
        <v/>
      </c>
      <c r="DA158" s="57">
        <f>IFERROR($T159/$T158-1,"")</f>
        <v/>
      </c>
      <c r="DB158" s="57">
        <f>IFERROR($U159/$U158-1,"")</f>
        <v/>
      </c>
      <c r="DC158" s="57">
        <f>IFERROR($V159/$V158-1,"")</f>
        <v/>
      </c>
      <c r="DD158" s="57">
        <f>IFERROR($W159/$W158-1,"")</f>
        <v/>
      </c>
      <c r="DE158" s="57">
        <f>IFERROR($X159/$X158-1,"")</f>
        <v/>
      </c>
      <c r="DF158" s="57">
        <f>IFERROR($Y159/$Y158-1,"")</f>
        <v/>
      </c>
      <c r="DG158" s="57">
        <f>IFERROR($Z159/$Z158-1,"")</f>
        <v/>
      </c>
      <c r="DH158" s="57">
        <f>IFERROR($AA159/$AA158-1,"")</f>
        <v/>
      </c>
      <c r="DI158" s="57">
        <f>IFERROR($AB159/$AB158-1,"")</f>
        <v/>
      </c>
      <c r="DJ158" s="57">
        <f>IFERROR($AC159/$AC158-1,"")</f>
        <v/>
      </c>
      <c r="DK158" s="57">
        <f>IFERROR($AD159/$AD158-1,"")</f>
        <v/>
      </c>
      <c r="DL158" s="57">
        <f>IFERROR($AE159/$AE158-1,"")</f>
        <v/>
      </c>
      <c r="DM158" s="56">
        <f>$AZ158-$AZ159</f>
        <v/>
      </c>
      <c r="DN158" s="56">
        <f>$BA158-$BA159</f>
        <v/>
      </c>
      <c r="DO158" s="56">
        <f>$BB158-$BB159</f>
        <v/>
      </c>
      <c r="DP158" s="56">
        <f>$BC158-$BC159</f>
        <v/>
      </c>
      <c r="DQ158" s="56">
        <f>$BD158-$BD159</f>
        <v/>
      </c>
      <c r="DR158" s="56">
        <f>$BE158-$BE159</f>
        <v/>
      </c>
      <c r="DS158" s="56">
        <f>$BF158-$BF159</f>
        <v/>
      </c>
      <c r="DT158" s="56">
        <f>$BG158-$BG159</f>
        <v/>
      </c>
      <c r="DU158" s="56">
        <f>$BH158-$BH159</f>
        <v/>
      </c>
      <c r="DV158" s="56">
        <f>$BI158-$BI159</f>
        <v/>
      </c>
      <c r="DW158" s="56">
        <f>$BJ158-$BJ159</f>
        <v/>
      </c>
      <c r="DX158" s="56">
        <f>$BK158-$BK159</f>
        <v/>
      </c>
      <c r="DY158" s="56">
        <f>$BL158-$BL159</f>
        <v/>
      </c>
      <c r="DZ158" s="56">
        <f>$BM158-$BM159</f>
        <v/>
      </c>
      <c r="EA158" s="56">
        <f>$BN158-$BN159</f>
        <v/>
      </c>
      <c r="EB158" s="56">
        <f>$BO158-$BO159</f>
        <v/>
      </c>
      <c r="EC158" s="56">
        <f>$BP158-$BP159</f>
        <v/>
      </c>
      <c r="ED158" s="56">
        <f>$BQ158-$BQ159</f>
        <v/>
      </c>
      <c r="EE158" s="56">
        <f>$BR158-$BR159</f>
        <v/>
      </c>
      <c r="EF158" s="56">
        <f>$BS158-$BS159</f>
        <v/>
      </c>
      <c r="EG158" s="56">
        <f>$BT158-$BT159</f>
        <v/>
      </c>
      <c r="EH158" s="56">
        <f>$BU158-$BU159</f>
        <v/>
      </c>
    </row>
    <row r="159">
      <c r="BV159" s="56">
        <f>($D159-$D160)*100</f>
        <v/>
      </c>
      <c r="BW159" s="56">
        <f>($C159-$C160)*100</f>
        <v/>
      </c>
      <c r="BX159" s="57">
        <f>IFERROR($I159/$I160-1,"")</f>
        <v/>
      </c>
      <c r="BY159" s="56">
        <f>($AF159-$AF160)*100</f>
        <v/>
      </c>
      <c r="BZ159" s="56">
        <f>($AG159-$AG160)*100</f>
        <v/>
      </c>
      <c r="CA159" s="56">
        <f>($AH159-$AH160)*100</f>
        <v/>
      </c>
      <c r="CB159" s="56">
        <f>($AI159-$AI160)*100</f>
        <v/>
      </c>
      <c r="CC159" s="56">
        <f>($AJ159-$AJ160)*100</f>
        <v/>
      </c>
      <c r="CD159" s="56">
        <f>($AK159-$AK160)*100</f>
        <v/>
      </c>
      <c r="CE159" s="56">
        <f>($AL159-$AL160)*100</f>
        <v/>
      </c>
      <c r="CF159" s="56">
        <f>($AM159-$AM160)*100</f>
        <v/>
      </c>
      <c r="CG159" s="56">
        <f>($AN159-$AN160)*100</f>
        <v/>
      </c>
      <c r="CH159" s="56">
        <f>($AO159-$AO160)*100</f>
        <v/>
      </c>
      <c r="CI159" s="56">
        <f>($AP159-$AP160)*100</f>
        <v/>
      </c>
      <c r="CJ159" s="56">
        <f>($AQ159-$AQ160)*100</f>
        <v/>
      </c>
      <c r="CK159" s="56">
        <f>($AR159-$AR160)*100</f>
        <v/>
      </c>
      <c r="CL159" s="56">
        <f>($AS159-$AS160)*100</f>
        <v/>
      </c>
      <c r="CM159" s="56">
        <f>($AT159-$AT160)*100</f>
        <v/>
      </c>
      <c r="CN159" s="56">
        <f>($AU159-$AU160)*100</f>
        <v/>
      </c>
      <c r="CO159" s="56">
        <f>($AV159-$AV160)*100</f>
        <v/>
      </c>
      <c r="CP159" s="56">
        <f>($AW159-$AW160)*100</f>
        <v/>
      </c>
      <c r="CQ159" s="56">
        <f>($AX159-$AX160)*100</f>
        <v/>
      </c>
      <c r="CR159" s="56">
        <f>($AY159-$AY160)*100</f>
        <v/>
      </c>
      <c r="CS159" s="57">
        <f>IFERROR($L160/$L159-1,"")</f>
        <v/>
      </c>
      <c r="CT159" s="57">
        <f>IFERROR($M160/$M159-1,"")</f>
        <v/>
      </c>
      <c r="CU159" s="57">
        <f>IFERROR($N160/$N159-1,"")</f>
        <v/>
      </c>
      <c r="CV159" s="57">
        <f>IFERROR($O160/$O159-1,"")</f>
        <v/>
      </c>
      <c r="CW159" s="57">
        <f>IFERROR($P160/$P159-1,"")</f>
        <v/>
      </c>
      <c r="CX159" s="57">
        <f>IFERROR($Q160/$Q159-1,"")</f>
        <v/>
      </c>
      <c r="CY159" s="57">
        <f>IFERROR($R160/$R159-1,"")</f>
        <v/>
      </c>
      <c r="CZ159" s="57">
        <f>IFERROR($S160/$S159-1,"")</f>
        <v/>
      </c>
      <c r="DA159" s="57">
        <f>IFERROR($T160/$T159-1,"")</f>
        <v/>
      </c>
      <c r="DB159" s="57">
        <f>IFERROR($U160/$U159-1,"")</f>
        <v/>
      </c>
      <c r="DC159" s="57">
        <f>IFERROR($V160/$V159-1,"")</f>
        <v/>
      </c>
      <c r="DD159" s="57">
        <f>IFERROR($W160/$W159-1,"")</f>
        <v/>
      </c>
      <c r="DE159" s="57">
        <f>IFERROR($X160/$X159-1,"")</f>
        <v/>
      </c>
      <c r="DF159" s="57">
        <f>IFERROR($Y160/$Y159-1,"")</f>
        <v/>
      </c>
      <c r="DG159" s="57">
        <f>IFERROR($Z160/$Z159-1,"")</f>
        <v/>
      </c>
      <c r="DH159" s="57">
        <f>IFERROR($AA160/$AA159-1,"")</f>
        <v/>
      </c>
      <c r="DI159" s="57">
        <f>IFERROR($AB160/$AB159-1,"")</f>
        <v/>
      </c>
      <c r="DJ159" s="57">
        <f>IFERROR($AC160/$AC159-1,"")</f>
        <v/>
      </c>
      <c r="DK159" s="57">
        <f>IFERROR($AD160/$AD159-1,"")</f>
        <v/>
      </c>
      <c r="DL159" s="57">
        <f>IFERROR($AE160/$AE159-1,"")</f>
        <v/>
      </c>
      <c r="DM159" s="56">
        <f>$AZ159-$AZ160</f>
        <v/>
      </c>
      <c r="DN159" s="56">
        <f>$BA159-$BA160</f>
        <v/>
      </c>
      <c r="DO159" s="56">
        <f>$BB159-$BB160</f>
        <v/>
      </c>
      <c r="DP159" s="56">
        <f>$BC159-$BC160</f>
        <v/>
      </c>
      <c r="DQ159" s="56">
        <f>$BD159-$BD160</f>
        <v/>
      </c>
      <c r="DR159" s="56">
        <f>$BE159-$BE160</f>
        <v/>
      </c>
      <c r="DS159" s="56">
        <f>$BF159-$BF160</f>
        <v/>
      </c>
      <c r="DT159" s="56">
        <f>$BG159-$BG160</f>
        <v/>
      </c>
      <c r="DU159" s="56">
        <f>$BH159-$BH160</f>
        <v/>
      </c>
      <c r="DV159" s="56">
        <f>$BI159-$BI160</f>
        <v/>
      </c>
      <c r="DW159" s="56">
        <f>$BJ159-$BJ160</f>
        <v/>
      </c>
      <c r="DX159" s="56">
        <f>$BK159-$BK160</f>
        <v/>
      </c>
      <c r="DY159" s="56">
        <f>$BL159-$BL160</f>
        <v/>
      </c>
      <c r="DZ159" s="56">
        <f>$BM159-$BM160</f>
        <v/>
      </c>
      <c r="EA159" s="56">
        <f>$BN159-$BN160</f>
        <v/>
      </c>
      <c r="EB159" s="56">
        <f>$BO159-$BO160</f>
        <v/>
      </c>
      <c r="EC159" s="56">
        <f>$BP159-$BP160</f>
        <v/>
      </c>
      <c r="ED159" s="56">
        <f>$BQ159-$BQ160</f>
        <v/>
      </c>
      <c r="EE159" s="56">
        <f>$BR159-$BR160</f>
        <v/>
      </c>
      <c r="EF159" s="56">
        <f>$BS159-$BS160</f>
        <v/>
      </c>
      <c r="EG159" s="56">
        <f>$BT159-$BT160</f>
        <v/>
      </c>
      <c r="EH159" s="56">
        <f>$BU159-$BU160</f>
        <v/>
      </c>
    </row>
    <row r="160">
      <c r="BV160" s="56">
        <f>($D160-$D161)*100</f>
        <v/>
      </c>
      <c r="BW160" s="56">
        <f>($C160-$C161)*100</f>
        <v/>
      </c>
      <c r="BX160" s="57">
        <f>IFERROR($I160/$I161-1,"")</f>
        <v/>
      </c>
      <c r="BY160" s="56">
        <f>($AF160-$AF161)*100</f>
        <v/>
      </c>
      <c r="BZ160" s="56">
        <f>($AG160-$AG161)*100</f>
        <v/>
      </c>
      <c r="CA160" s="56">
        <f>($AH160-$AH161)*100</f>
        <v/>
      </c>
      <c r="CB160" s="56">
        <f>($AI160-$AI161)*100</f>
        <v/>
      </c>
      <c r="CC160" s="56">
        <f>($AJ160-$AJ161)*100</f>
        <v/>
      </c>
      <c r="CD160" s="56">
        <f>($AK160-$AK161)*100</f>
        <v/>
      </c>
      <c r="CE160" s="56">
        <f>($AL160-$AL161)*100</f>
        <v/>
      </c>
      <c r="CF160" s="56">
        <f>($AM160-$AM161)*100</f>
        <v/>
      </c>
      <c r="CG160" s="56">
        <f>($AN160-$AN161)*100</f>
        <v/>
      </c>
      <c r="CH160" s="56">
        <f>($AO160-$AO161)*100</f>
        <v/>
      </c>
      <c r="CI160" s="56">
        <f>($AP160-$AP161)*100</f>
        <v/>
      </c>
      <c r="CJ160" s="56">
        <f>($AQ160-$AQ161)*100</f>
        <v/>
      </c>
      <c r="CK160" s="56">
        <f>($AR160-$AR161)*100</f>
        <v/>
      </c>
      <c r="CL160" s="56">
        <f>($AS160-$AS161)*100</f>
        <v/>
      </c>
      <c r="CM160" s="56">
        <f>($AT160-$AT161)*100</f>
        <v/>
      </c>
      <c r="CN160" s="56">
        <f>($AU160-$AU161)*100</f>
        <v/>
      </c>
      <c r="CO160" s="56">
        <f>($AV160-$AV161)*100</f>
        <v/>
      </c>
      <c r="CP160" s="56">
        <f>($AW160-$AW161)*100</f>
        <v/>
      </c>
      <c r="CQ160" s="56">
        <f>($AX160-$AX161)*100</f>
        <v/>
      </c>
      <c r="CR160" s="56">
        <f>($AY160-$AY161)*100</f>
        <v/>
      </c>
      <c r="CS160" s="57">
        <f>IFERROR($L161/$L160-1,"")</f>
        <v/>
      </c>
      <c r="CT160" s="57">
        <f>IFERROR($M161/$M160-1,"")</f>
        <v/>
      </c>
      <c r="CU160" s="57">
        <f>IFERROR($N161/$N160-1,"")</f>
        <v/>
      </c>
      <c r="CV160" s="57">
        <f>IFERROR($O161/$O160-1,"")</f>
        <v/>
      </c>
      <c r="CW160" s="57">
        <f>IFERROR($P161/$P160-1,"")</f>
        <v/>
      </c>
      <c r="CX160" s="57">
        <f>IFERROR($Q161/$Q160-1,"")</f>
        <v/>
      </c>
      <c r="CY160" s="57">
        <f>IFERROR($R161/$R160-1,"")</f>
        <v/>
      </c>
      <c r="CZ160" s="57">
        <f>IFERROR($S161/$S160-1,"")</f>
        <v/>
      </c>
      <c r="DA160" s="57">
        <f>IFERROR($T161/$T160-1,"")</f>
        <v/>
      </c>
      <c r="DB160" s="57">
        <f>IFERROR($U161/$U160-1,"")</f>
        <v/>
      </c>
      <c r="DC160" s="57">
        <f>IFERROR($V161/$V160-1,"")</f>
        <v/>
      </c>
      <c r="DD160" s="57">
        <f>IFERROR($W161/$W160-1,"")</f>
        <v/>
      </c>
      <c r="DE160" s="57">
        <f>IFERROR($X161/$X160-1,"")</f>
        <v/>
      </c>
      <c r="DF160" s="57">
        <f>IFERROR($Y161/$Y160-1,"")</f>
        <v/>
      </c>
      <c r="DG160" s="57">
        <f>IFERROR($Z161/$Z160-1,"")</f>
        <v/>
      </c>
      <c r="DH160" s="57">
        <f>IFERROR($AA161/$AA160-1,"")</f>
        <v/>
      </c>
      <c r="DI160" s="57">
        <f>IFERROR($AB161/$AB160-1,"")</f>
        <v/>
      </c>
      <c r="DJ160" s="57">
        <f>IFERROR($AC161/$AC160-1,"")</f>
        <v/>
      </c>
      <c r="DK160" s="57">
        <f>IFERROR($AD161/$AD160-1,"")</f>
        <v/>
      </c>
      <c r="DL160" s="57">
        <f>IFERROR($AE161/$AE160-1,"")</f>
        <v/>
      </c>
      <c r="DM160" s="56">
        <f>$AZ160-$AZ161</f>
        <v/>
      </c>
      <c r="DN160" s="56">
        <f>$BA160-$BA161</f>
        <v/>
      </c>
      <c r="DO160" s="56">
        <f>$BB160-$BB161</f>
        <v/>
      </c>
      <c r="DP160" s="56">
        <f>$BC160-$BC161</f>
        <v/>
      </c>
      <c r="DQ160" s="56">
        <f>$BD160-$BD161</f>
        <v/>
      </c>
      <c r="DR160" s="56">
        <f>$BE160-$BE161</f>
        <v/>
      </c>
      <c r="DS160" s="56">
        <f>$BF160-$BF161</f>
        <v/>
      </c>
      <c r="DT160" s="56">
        <f>$BG160-$BG161</f>
        <v/>
      </c>
      <c r="DU160" s="56">
        <f>$BH160-$BH161</f>
        <v/>
      </c>
      <c r="DV160" s="56">
        <f>$BI160-$BI161</f>
        <v/>
      </c>
      <c r="DW160" s="56">
        <f>$BJ160-$BJ161</f>
        <v/>
      </c>
      <c r="DX160" s="56">
        <f>$BK160-$BK161</f>
        <v/>
      </c>
      <c r="DY160" s="56">
        <f>$BL160-$BL161</f>
        <v/>
      </c>
      <c r="DZ160" s="56">
        <f>$BM160-$BM161</f>
        <v/>
      </c>
      <c r="EA160" s="56">
        <f>$BN160-$BN161</f>
        <v/>
      </c>
      <c r="EB160" s="56">
        <f>$BO160-$BO161</f>
        <v/>
      </c>
      <c r="EC160" s="56">
        <f>$BP160-$BP161</f>
        <v/>
      </c>
      <c r="ED160" s="56">
        <f>$BQ160-$BQ161</f>
        <v/>
      </c>
      <c r="EE160" s="56">
        <f>$BR160-$BR161</f>
        <v/>
      </c>
      <c r="EF160" s="56">
        <f>$BS160-$BS161</f>
        <v/>
      </c>
      <c r="EG160" s="56">
        <f>$BT160-$BT161</f>
        <v/>
      </c>
      <c r="EH160" s="56">
        <f>$BU160-$BU161</f>
        <v/>
      </c>
    </row>
    <row r="161">
      <c r="BV161" s="56">
        <f>($D161-$D162)*100</f>
        <v/>
      </c>
      <c r="BW161" s="56">
        <f>($C161-$C162)*100</f>
        <v/>
      </c>
      <c r="BX161" s="57">
        <f>IFERROR($I161/$I162-1,"")</f>
        <v/>
      </c>
      <c r="BY161" s="56">
        <f>($AF161-$AF162)*100</f>
        <v/>
      </c>
      <c r="BZ161" s="56">
        <f>($AG161-$AG162)*100</f>
        <v/>
      </c>
      <c r="CA161" s="56">
        <f>($AH161-$AH162)*100</f>
        <v/>
      </c>
      <c r="CB161" s="56">
        <f>($AI161-$AI162)*100</f>
        <v/>
      </c>
      <c r="CC161" s="56">
        <f>($AJ161-$AJ162)*100</f>
        <v/>
      </c>
      <c r="CD161" s="56">
        <f>($AK161-$AK162)*100</f>
        <v/>
      </c>
      <c r="CE161" s="56">
        <f>($AL161-$AL162)*100</f>
        <v/>
      </c>
      <c r="CF161" s="56">
        <f>($AM161-$AM162)*100</f>
        <v/>
      </c>
      <c r="CG161" s="56">
        <f>($AN161-$AN162)*100</f>
        <v/>
      </c>
      <c r="CH161" s="56">
        <f>($AO161-$AO162)*100</f>
        <v/>
      </c>
      <c r="CI161" s="56">
        <f>($AP161-$AP162)*100</f>
        <v/>
      </c>
      <c r="CJ161" s="56">
        <f>($AQ161-$AQ162)*100</f>
        <v/>
      </c>
      <c r="CK161" s="56">
        <f>($AR161-$AR162)*100</f>
        <v/>
      </c>
      <c r="CL161" s="56">
        <f>($AS161-$AS162)*100</f>
        <v/>
      </c>
      <c r="CM161" s="56">
        <f>($AT161-$AT162)*100</f>
        <v/>
      </c>
      <c r="CN161" s="56">
        <f>($AU161-$AU162)*100</f>
        <v/>
      </c>
      <c r="CO161" s="56">
        <f>($AV161-$AV162)*100</f>
        <v/>
      </c>
      <c r="CP161" s="56">
        <f>($AW161-$AW162)*100</f>
        <v/>
      </c>
      <c r="CQ161" s="56">
        <f>($AX161-$AX162)*100</f>
        <v/>
      </c>
      <c r="CR161" s="56">
        <f>($AY161-$AY162)*100</f>
        <v/>
      </c>
      <c r="CS161" s="57">
        <f>IFERROR($L162/$L161-1,"")</f>
        <v/>
      </c>
      <c r="CT161" s="57">
        <f>IFERROR($M162/$M161-1,"")</f>
        <v/>
      </c>
      <c r="CU161" s="57">
        <f>IFERROR($N162/$N161-1,"")</f>
        <v/>
      </c>
      <c r="CV161" s="57">
        <f>IFERROR($O162/$O161-1,"")</f>
        <v/>
      </c>
      <c r="CW161" s="57">
        <f>IFERROR($P162/$P161-1,"")</f>
        <v/>
      </c>
      <c r="CX161" s="57">
        <f>IFERROR($Q162/$Q161-1,"")</f>
        <v/>
      </c>
      <c r="CY161" s="57">
        <f>IFERROR($R162/$R161-1,"")</f>
        <v/>
      </c>
      <c r="CZ161" s="57">
        <f>IFERROR($S162/$S161-1,"")</f>
        <v/>
      </c>
      <c r="DA161" s="57">
        <f>IFERROR($T162/$T161-1,"")</f>
        <v/>
      </c>
      <c r="DB161" s="57">
        <f>IFERROR($U162/$U161-1,"")</f>
        <v/>
      </c>
      <c r="DC161" s="57">
        <f>IFERROR($V162/$V161-1,"")</f>
        <v/>
      </c>
      <c r="DD161" s="57">
        <f>IFERROR($W162/$W161-1,"")</f>
        <v/>
      </c>
      <c r="DE161" s="57">
        <f>IFERROR($X162/$X161-1,"")</f>
        <v/>
      </c>
      <c r="DF161" s="57">
        <f>IFERROR($Y162/$Y161-1,"")</f>
        <v/>
      </c>
      <c r="DG161" s="57">
        <f>IFERROR($Z162/$Z161-1,"")</f>
        <v/>
      </c>
      <c r="DH161" s="57">
        <f>IFERROR($AA162/$AA161-1,"")</f>
        <v/>
      </c>
      <c r="DI161" s="57">
        <f>IFERROR($AB162/$AB161-1,"")</f>
        <v/>
      </c>
      <c r="DJ161" s="57">
        <f>IFERROR($AC162/$AC161-1,"")</f>
        <v/>
      </c>
      <c r="DK161" s="57">
        <f>IFERROR($AD162/$AD161-1,"")</f>
        <v/>
      </c>
      <c r="DL161" s="57">
        <f>IFERROR($AE162/$AE161-1,"")</f>
        <v/>
      </c>
      <c r="DM161" s="56">
        <f>$AZ161-$AZ162</f>
        <v/>
      </c>
      <c r="DN161" s="56">
        <f>$BA161-$BA162</f>
        <v/>
      </c>
      <c r="DO161" s="56">
        <f>$BB161-$BB162</f>
        <v/>
      </c>
      <c r="DP161" s="56">
        <f>$BC161-$BC162</f>
        <v/>
      </c>
      <c r="DQ161" s="56">
        <f>$BD161-$BD162</f>
        <v/>
      </c>
      <c r="DR161" s="56">
        <f>$BE161-$BE162</f>
        <v/>
      </c>
      <c r="DS161" s="56">
        <f>$BF161-$BF162</f>
        <v/>
      </c>
      <c r="DT161" s="56">
        <f>$BG161-$BG162</f>
        <v/>
      </c>
      <c r="DU161" s="56">
        <f>$BH161-$BH162</f>
        <v/>
      </c>
      <c r="DV161" s="56">
        <f>$BI161-$BI162</f>
        <v/>
      </c>
      <c r="DW161" s="56">
        <f>$BJ161-$BJ162</f>
        <v/>
      </c>
      <c r="DX161" s="56">
        <f>$BK161-$BK162</f>
        <v/>
      </c>
      <c r="DY161" s="56">
        <f>$BL161-$BL162</f>
        <v/>
      </c>
      <c r="DZ161" s="56">
        <f>$BM161-$BM162</f>
        <v/>
      </c>
      <c r="EA161" s="56">
        <f>$BN161-$BN162</f>
        <v/>
      </c>
      <c r="EB161" s="56">
        <f>$BO161-$BO162</f>
        <v/>
      </c>
      <c r="EC161" s="56">
        <f>$BP161-$BP162</f>
        <v/>
      </c>
      <c r="ED161" s="56">
        <f>$BQ161-$BQ162</f>
        <v/>
      </c>
      <c r="EE161" s="56">
        <f>$BR161-$BR162</f>
        <v/>
      </c>
      <c r="EF161" s="56">
        <f>$BS161-$BS162</f>
        <v/>
      </c>
      <c r="EG161" s="56">
        <f>$BT161-$BT162</f>
        <v/>
      </c>
      <c r="EH161" s="56">
        <f>$BU161-$BU162</f>
        <v/>
      </c>
    </row>
    <row r="162">
      <c r="BV162" s="56">
        <f>($D162-$D163)*100</f>
        <v/>
      </c>
      <c r="BW162" s="56">
        <f>($C162-$C163)*100</f>
        <v/>
      </c>
      <c r="BX162" s="57">
        <f>IFERROR($I162/$I163-1,"")</f>
        <v/>
      </c>
      <c r="BY162" s="56">
        <f>($AF162-$AF163)*100</f>
        <v/>
      </c>
      <c r="BZ162" s="56">
        <f>($AG162-$AG163)*100</f>
        <v/>
      </c>
      <c r="CA162" s="56">
        <f>($AH162-$AH163)*100</f>
        <v/>
      </c>
      <c r="CB162" s="56">
        <f>($AI162-$AI163)*100</f>
        <v/>
      </c>
      <c r="CC162" s="56">
        <f>($AJ162-$AJ163)*100</f>
        <v/>
      </c>
      <c r="CD162" s="56">
        <f>($AK162-$AK163)*100</f>
        <v/>
      </c>
      <c r="CE162" s="56">
        <f>($AL162-$AL163)*100</f>
        <v/>
      </c>
      <c r="CF162" s="56">
        <f>($AM162-$AM163)*100</f>
        <v/>
      </c>
      <c r="CG162" s="56">
        <f>($AN162-$AN163)*100</f>
        <v/>
      </c>
      <c r="CH162" s="56">
        <f>($AO162-$AO163)*100</f>
        <v/>
      </c>
      <c r="CI162" s="56">
        <f>($AP162-$AP163)*100</f>
        <v/>
      </c>
      <c r="CJ162" s="56">
        <f>($AQ162-$AQ163)*100</f>
        <v/>
      </c>
      <c r="CK162" s="56">
        <f>($AR162-$AR163)*100</f>
        <v/>
      </c>
      <c r="CL162" s="56">
        <f>($AS162-$AS163)*100</f>
        <v/>
      </c>
      <c r="CM162" s="56">
        <f>($AT162-$AT163)*100</f>
        <v/>
      </c>
      <c r="CN162" s="56">
        <f>($AU162-$AU163)*100</f>
        <v/>
      </c>
      <c r="CO162" s="56">
        <f>($AV162-$AV163)*100</f>
        <v/>
      </c>
      <c r="CP162" s="56">
        <f>($AW162-$AW163)*100</f>
        <v/>
      </c>
      <c r="CQ162" s="56">
        <f>($AX162-$AX163)*100</f>
        <v/>
      </c>
      <c r="CR162" s="56">
        <f>($AY162-$AY163)*100</f>
        <v/>
      </c>
      <c r="CS162" s="57">
        <f>IFERROR($L163/$L162-1,"")</f>
        <v/>
      </c>
      <c r="CT162" s="57">
        <f>IFERROR($M163/$M162-1,"")</f>
        <v/>
      </c>
      <c r="CU162" s="57">
        <f>IFERROR($N163/$N162-1,"")</f>
        <v/>
      </c>
      <c r="CV162" s="57">
        <f>IFERROR($O163/$O162-1,"")</f>
        <v/>
      </c>
      <c r="CW162" s="57">
        <f>IFERROR($P163/$P162-1,"")</f>
        <v/>
      </c>
      <c r="CX162" s="57">
        <f>IFERROR($Q163/$Q162-1,"")</f>
        <v/>
      </c>
      <c r="CY162" s="57">
        <f>IFERROR($R163/$R162-1,"")</f>
        <v/>
      </c>
      <c r="CZ162" s="57">
        <f>IFERROR($S163/$S162-1,"")</f>
        <v/>
      </c>
      <c r="DA162" s="57">
        <f>IFERROR($T163/$T162-1,"")</f>
        <v/>
      </c>
      <c r="DB162" s="57">
        <f>IFERROR($U163/$U162-1,"")</f>
        <v/>
      </c>
      <c r="DC162" s="57">
        <f>IFERROR($V163/$V162-1,"")</f>
        <v/>
      </c>
      <c r="DD162" s="57">
        <f>IFERROR($W163/$W162-1,"")</f>
        <v/>
      </c>
      <c r="DE162" s="57">
        <f>IFERROR($X163/$X162-1,"")</f>
        <v/>
      </c>
      <c r="DF162" s="57">
        <f>IFERROR($Y163/$Y162-1,"")</f>
        <v/>
      </c>
      <c r="DG162" s="57">
        <f>IFERROR($Z163/$Z162-1,"")</f>
        <v/>
      </c>
      <c r="DH162" s="57">
        <f>IFERROR($AA163/$AA162-1,"")</f>
        <v/>
      </c>
      <c r="DI162" s="57">
        <f>IFERROR($AB163/$AB162-1,"")</f>
        <v/>
      </c>
      <c r="DJ162" s="57">
        <f>IFERROR($AC163/$AC162-1,"")</f>
        <v/>
      </c>
      <c r="DK162" s="57">
        <f>IFERROR($AD163/$AD162-1,"")</f>
        <v/>
      </c>
      <c r="DL162" s="57">
        <f>IFERROR($AE163/$AE162-1,"")</f>
        <v/>
      </c>
      <c r="DM162" s="56">
        <f>$AZ162-$AZ163</f>
        <v/>
      </c>
      <c r="DN162" s="56">
        <f>$BA162-$BA163</f>
        <v/>
      </c>
      <c r="DO162" s="56">
        <f>$BB162-$BB163</f>
        <v/>
      </c>
      <c r="DP162" s="56">
        <f>$BC162-$BC163</f>
        <v/>
      </c>
      <c r="DQ162" s="56">
        <f>$BD162-$BD163</f>
        <v/>
      </c>
      <c r="DR162" s="56">
        <f>$BE162-$BE163</f>
        <v/>
      </c>
      <c r="DS162" s="56">
        <f>$BF162-$BF163</f>
        <v/>
      </c>
      <c r="DT162" s="56">
        <f>$BG162-$BG163</f>
        <v/>
      </c>
      <c r="DU162" s="56">
        <f>$BH162-$BH163</f>
        <v/>
      </c>
      <c r="DV162" s="56">
        <f>$BI162-$BI163</f>
        <v/>
      </c>
      <c r="DW162" s="56">
        <f>$BJ162-$BJ163</f>
        <v/>
      </c>
      <c r="DX162" s="56">
        <f>$BK162-$BK163</f>
        <v/>
      </c>
      <c r="DY162" s="56">
        <f>$BL162-$BL163</f>
        <v/>
      </c>
      <c r="DZ162" s="56">
        <f>$BM162-$BM163</f>
        <v/>
      </c>
      <c r="EA162" s="56">
        <f>$BN162-$BN163</f>
        <v/>
      </c>
      <c r="EB162" s="56">
        <f>$BO162-$BO163</f>
        <v/>
      </c>
      <c r="EC162" s="56">
        <f>$BP162-$BP163</f>
        <v/>
      </c>
      <c r="ED162" s="56">
        <f>$BQ162-$BQ163</f>
        <v/>
      </c>
      <c r="EE162" s="56">
        <f>$BR162-$BR163</f>
        <v/>
      </c>
      <c r="EF162" s="56">
        <f>$BS162-$BS163</f>
        <v/>
      </c>
      <c r="EG162" s="56">
        <f>$BT162-$BT163</f>
        <v/>
      </c>
      <c r="EH162" s="56">
        <f>$BU162-$BU163</f>
        <v/>
      </c>
    </row>
    <row r="163">
      <c r="BV163" s="56">
        <f>($D163-$D164)*100</f>
        <v/>
      </c>
      <c r="BW163" s="56">
        <f>($C163-$C164)*100</f>
        <v/>
      </c>
      <c r="BX163" s="57">
        <f>IFERROR($I163/$I164-1,"")</f>
        <v/>
      </c>
      <c r="BY163" s="56">
        <f>($AF163-$AF164)*100</f>
        <v/>
      </c>
      <c r="BZ163" s="56">
        <f>($AG163-$AG164)*100</f>
        <v/>
      </c>
      <c r="CA163" s="56">
        <f>($AH163-$AH164)*100</f>
        <v/>
      </c>
      <c r="CB163" s="56">
        <f>($AI163-$AI164)*100</f>
        <v/>
      </c>
      <c r="CC163" s="56">
        <f>($AJ163-$AJ164)*100</f>
        <v/>
      </c>
      <c r="CD163" s="56">
        <f>($AK163-$AK164)*100</f>
        <v/>
      </c>
      <c r="CE163" s="56">
        <f>($AL163-$AL164)*100</f>
        <v/>
      </c>
      <c r="CF163" s="56">
        <f>($AM163-$AM164)*100</f>
        <v/>
      </c>
      <c r="CG163" s="56">
        <f>($AN163-$AN164)*100</f>
        <v/>
      </c>
      <c r="CH163" s="56">
        <f>($AO163-$AO164)*100</f>
        <v/>
      </c>
      <c r="CI163" s="56">
        <f>($AP163-$AP164)*100</f>
        <v/>
      </c>
      <c r="CJ163" s="56">
        <f>($AQ163-$AQ164)*100</f>
        <v/>
      </c>
      <c r="CK163" s="56">
        <f>($AR163-$AR164)*100</f>
        <v/>
      </c>
      <c r="CL163" s="56">
        <f>($AS163-$AS164)*100</f>
        <v/>
      </c>
      <c r="CM163" s="56">
        <f>($AT163-$AT164)*100</f>
        <v/>
      </c>
      <c r="CN163" s="56">
        <f>($AU163-$AU164)*100</f>
        <v/>
      </c>
      <c r="CO163" s="56">
        <f>($AV163-$AV164)*100</f>
        <v/>
      </c>
      <c r="CP163" s="56">
        <f>($AW163-$AW164)*100</f>
        <v/>
      </c>
      <c r="CQ163" s="56">
        <f>($AX163-$AX164)*100</f>
        <v/>
      </c>
      <c r="CR163" s="56">
        <f>($AY163-$AY164)*100</f>
        <v/>
      </c>
      <c r="CS163" s="57">
        <f>IFERROR($L164/$L163-1,"")</f>
        <v/>
      </c>
      <c r="CT163" s="57">
        <f>IFERROR($M164/$M163-1,"")</f>
        <v/>
      </c>
      <c r="CU163" s="57">
        <f>IFERROR($N164/$N163-1,"")</f>
        <v/>
      </c>
      <c r="CV163" s="57">
        <f>IFERROR($O164/$O163-1,"")</f>
        <v/>
      </c>
      <c r="CW163" s="57">
        <f>IFERROR($P164/$P163-1,"")</f>
        <v/>
      </c>
      <c r="CX163" s="57">
        <f>IFERROR($Q164/$Q163-1,"")</f>
        <v/>
      </c>
      <c r="CY163" s="57">
        <f>IFERROR($R164/$R163-1,"")</f>
        <v/>
      </c>
      <c r="CZ163" s="57">
        <f>IFERROR($S164/$S163-1,"")</f>
        <v/>
      </c>
      <c r="DA163" s="57">
        <f>IFERROR($T164/$T163-1,"")</f>
        <v/>
      </c>
      <c r="DB163" s="57">
        <f>IFERROR($U164/$U163-1,"")</f>
        <v/>
      </c>
      <c r="DC163" s="57">
        <f>IFERROR($V164/$V163-1,"")</f>
        <v/>
      </c>
      <c r="DD163" s="57">
        <f>IFERROR($W164/$W163-1,"")</f>
        <v/>
      </c>
      <c r="DE163" s="57">
        <f>IFERROR($X164/$X163-1,"")</f>
        <v/>
      </c>
      <c r="DF163" s="57">
        <f>IFERROR($Y164/$Y163-1,"")</f>
        <v/>
      </c>
      <c r="DG163" s="57">
        <f>IFERROR($Z164/$Z163-1,"")</f>
        <v/>
      </c>
      <c r="DH163" s="57">
        <f>IFERROR($AA164/$AA163-1,"")</f>
        <v/>
      </c>
      <c r="DI163" s="57">
        <f>IFERROR($AB164/$AB163-1,"")</f>
        <v/>
      </c>
      <c r="DJ163" s="57">
        <f>IFERROR($AC164/$AC163-1,"")</f>
        <v/>
      </c>
      <c r="DK163" s="57">
        <f>IFERROR($AD164/$AD163-1,"")</f>
        <v/>
      </c>
      <c r="DL163" s="57">
        <f>IFERROR($AE164/$AE163-1,"")</f>
        <v/>
      </c>
      <c r="DM163" s="56">
        <f>$AZ163-$AZ164</f>
        <v/>
      </c>
      <c r="DN163" s="56">
        <f>$BA163-$BA164</f>
        <v/>
      </c>
      <c r="DO163" s="56">
        <f>$BB163-$BB164</f>
        <v/>
      </c>
      <c r="DP163" s="56">
        <f>$BC163-$BC164</f>
        <v/>
      </c>
      <c r="DQ163" s="56">
        <f>$BD163-$BD164</f>
        <v/>
      </c>
      <c r="DR163" s="56">
        <f>$BE163-$BE164</f>
        <v/>
      </c>
      <c r="DS163" s="56">
        <f>$BF163-$BF164</f>
        <v/>
      </c>
      <c r="DT163" s="56">
        <f>$BG163-$BG164</f>
        <v/>
      </c>
      <c r="DU163" s="56">
        <f>$BH163-$BH164</f>
        <v/>
      </c>
      <c r="DV163" s="56">
        <f>$BI163-$BI164</f>
        <v/>
      </c>
      <c r="DW163" s="56">
        <f>$BJ163-$BJ164</f>
        <v/>
      </c>
      <c r="DX163" s="56">
        <f>$BK163-$BK164</f>
        <v/>
      </c>
      <c r="DY163" s="56">
        <f>$BL163-$BL164</f>
        <v/>
      </c>
      <c r="DZ163" s="56">
        <f>$BM163-$BM164</f>
        <v/>
      </c>
      <c r="EA163" s="56">
        <f>$BN163-$BN164</f>
        <v/>
      </c>
      <c r="EB163" s="56">
        <f>$BO163-$BO164</f>
        <v/>
      </c>
      <c r="EC163" s="56">
        <f>$BP163-$BP164</f>
        <v/>
      </c>
      <c r="ED163" s="56">
        <f>$BQ163-$BQ164</f>
        <v/>
      </c>
      <c r="EE163" s="56">
        <f>$BR163-$BR164</f>
        <v/>
      </c>
      <c r="EF163" s="56">
        <f>$BS163-$BS164</f>
        <v/>
      </c>
      <c r="EG163" s="56">
        <f>$BT163-$BT164</f>
        <v/>
      </c>
      <c r="EH163" s="56">
        <f>$BU163-$BU164</f>
        <v/>
      </c>
    </row>
    <row r="164">
      <c r="BV164" s="56">
        <f>($D164-$D165)*100</f>
        <v/>
      </c>
      <c r="BW164" s="56">
        <f>($C164-$C165)*100</f>
        <v/>
      </c>
      <c r="BX164" s="57">
        <f>IFERROR($I164/$I165-1,"")</f>
        <v/>
      </c>
      <c r="BY164" s="56">
        <f>($AF164-$AF165)*100</f>
        <v/>
      </c>
      <c r="BZ164" s="56">
        <f>($AG164-$AG165)*100</f>
        <v/>
      </c>
      <c r="CA164" s="56">
        <f>($AH164-$AH165)*100</f>
        <v/>
      </c>
      <c r="CB164" s="56">
        <f>($AI164-$AI165)*100</f>
        <v/>
      </c>
      <c r="CC164" s="56">
        <f>($AJ164-$AJ165)*100</f>
        <v/>
      </c>
      <c r="CD164" s="56">
        <f>($AK164-$AK165)*100</f>
        <v/>
      </c>
      <c r="CE164" s="56">
        <f>($AL164-$AL165)*100</f>
        <v/>
      </c>
      <c r="CF164" s="56">
        <f>($AM164-$AM165)*100</f>
        <v/>
      </c>
      <c r="CG164" s="56">
        <f>($AN164-$AN165)*100</f>
        <v/>
      </c>
      <c r="CH164" s="56">
        <f>($AO164-$AO165)*100</f>
        <v/>
      </c>
      <c r="CI164" s="56">
        <f>($AP164-$AP165)*100</f>
        <v/>
      </c>
      <c r="CJ164" s="56">
        <f>($AQ164-$AQ165)*100</f>
        <v/>
      </c>
      <c r="CK164" s="56">
        <f>($AR164-$AR165)*100</f>
        <v/>
      </c>
      <c r="CL164" s="56">
        <f>($AS164-$AS165)*100</f>
        <v/>
      </c>
      <c r="CM164" s="56">
        <f>($AT164-$AT165)*100</f>
        <v/>
      </c>
      <c r="CN164" s="56">
        <f>($AU164-$AU165)*100</f>
        <v/>
      </c>
      <c r="CO164" s="56">
        <f>($AV164-$AV165)*100</f>
        <v/>
      </c>
      <c r="CP164" s="56">
        <f>($AW164-$AW165)*100</f>
        <v/>
      </c>
      <c r="CQ164" s="56">
        <f>($AX164-$AX165)*100</f>
        <v/>
      </c>
      <c r="CR164" s="56">
        <f>($AY164-$AY165)*100</f>
        <v/>
      </c>
      <c r="CS164" s="57">
        <f>IFERROR($L165/$L164-1,"")</f>
        <v/>
      </c>
      <c r="CT164" s="57">
        <f>IFERROR($M165/$M164-1,"")</f>
        <v/>
      </c>
      <c r="CU164" s="57">
        <f>IFERROR($N165/$N164-1,"")</f>
        <v/>
      </c>
      <c r="CV164" s="57">
        <f>IFERROR($O165/$O164-1,"")</f>
        <v/>
      </c>
      <c r="CW164" s="57">
        <f>IFERROR($P165/$P164-1,"")</f>
        <v/>
      </c>
      <c r="CX164" s="57">
        <f>IFERROR($Q165/$Q164-1,"")</f>
        <v/>
      </c>
      <c r="CY164" s="57">
        <f>IFERROR($R165/$R164-1,"")</f>
        <v/>
      </c>
      <c r="CZ164" s="57">
        <f>IFERROR($S165/$S164-1,"")</f>
        <v/>
      </c>
      <c r="DA164" s="57">
        <f>IFERROR($T165/$T164-1,"")</f>
        <v/>
      </c>
      <c r="DB164" s="57">
        <f>IFERROR($U165/$U164-1,"")</f>
        <v/>
      </c>
      <c r="DC164" s="57">
        <f>IFERROR($V165/$V164-1,"")</f>
        <v/>
      </c>
      <c r="DD164" s="57">
        <f>IFERROR($W165/$W164-1,"")</f>
        <v/>
      </c>
      <c r="DE164" s="57">
        <f>IFERROR($X165/$X164-1,"")</f>
        <v/>
      </c>
      <c r="DF164" s="57">
        <f>IFERROR($Y165/$Y164-1,"")</f>
        <v/>
      </c>
      <c r="DG164" s="57">
        <f>IFERROR($Z165/$Z164-1,"")</f>
        <v/>
      </c>
      <c r="DH164" s="57">
        <f>IFERROR($AA165/$AA164-1,"")</f>
        <v/>
      </c>
      <c r="DI164" s="57">
        <f>IFERROR($AB165/$AB164-1,"")</f>
        <v/>
      </c>
      <c r="DJ164" s="57">
        <f>IFERROR($AC165/$AC164-1,"")</f>
        <v/>
      </c>
      <c r="DK164" s="57">
        <f>IFERROR($AD165/$AD164-1,"")</f>
        <v/>
      </c>
      <c r="DL164" s="57">
        <f>IFERROR($AE165/$AE164-1,"")</f>
        <v/>
      </c>
      <c r="DM164" s="56">
        <f>$AZ164-$AZ165</f>
        <v/>
      </c>
      <c r="DN164" s="56">
        <f>$BA164-$BA165</f>
        <v/>
      </c>
      <c r="DO164" s="56">
        <f>$BB164-$BB165</f>
        <v/>
      </c>
      <c r="DP164" s="56">
        <f>$BC164-$BC165</f>
        <v/>
      </c>
      <c r="DQ164" s="56">
        <f>$BD164-$BD165</f>
        <v/>
      </c>
      <c r="DR164" s="56">
        <f>$BE164-$BE165</f>
        <v/>
      </c>
      <c r="DS164" s="56">
        <f>$BF164-$BF165</f>
        <v/>
      </c>
      <c r="DT164" s="56">
        <f>$BG164-$BG165</f>
        <v/>
      </c>
      <c r="DU164" s="56">
        <f>$BH164-$BH165</f>
        <v/>
      </c>
      <c r="DV164" s="56">
        <f>$BI164-$BI165</f>
        <v/>
      </c>
      <c r="DW164" s="56">
        <f>$BJ164-$BJ165</f>
        <v/>
      </c>
      <c r="DX164" s="56">
        <f>$BK164-$BK165</f>
        <v/>
      </c>
      <c r="DY164" s="56">
        <f>$BL164-$BL165</f>
        <v/>
      </c>
      <c r="DZ164" s="56">
        <f>$BM164-$BM165</f>
        <v/>
      </c>
      <c r="EA164" s="56">
        <f>$BN164-$BN165</f>
        <v/>
      </c>
      <c r="EB164" s="56">
        <f>$BO164-$BO165</f>
        <v/>
      </c>
      <c r="EC164" s="56">
        <f>$BP164-$BP165</f>
        <v/>
      </c>
      <c r="ED164" s="56">
        <f>$BQ164-$BQ165</f>
        <v/>
      </c>
      <c r="EE164" s="56">
        <f>$BR164-$BR165</f>
        <v/>
      </c>
      <c r="EF164" s="56">
        <f>$BS164-$BS165</f>
        <v/>
      </c>
      <c r="EG164" s="56">
        <f>$BT164-$BT165</f>
        <v/>
      </c>
      <c r="EH164" s="56">
        <f>$BU164-$BU165</f>
        <v/>
      </c>
    </row>
    <row r="165">
      <c r="BV165" s="56">
        <f>($D165-$D166)*100</f>
        <v/>
      </c>
      <c r="BW165" s="56">
        <f>($C165-$C166)*100</f>
        <v/>
      </c>
      <c r="BX165" s="57">
        <f>IFERROR($I165/$I166-1,"")</f>
        <v/>
      </c>
      <c r="BY165" s="56">
        <f>($AF165-$AF166)*100</f>
        <v/>
      </c>
      <c r="BZ165" s="56">
        <f>($AG165-$AG166)*100</f>
        <v/>
      </c>
      <c r="CA165" s="56">
        <f>($AH165-$AH166)*100</f>
        <v/>
      </c>
      <c r="CB165" s="56">
        <f>($AI165-$AI166)*100</f>
        <v/>
      </c>
      <c r="CC165" s="56">
        <f>($AJ165-$AJ166)*100</f>
        <v/>
      </c>
      <c r="CD165" s="56">
        <f>($AK165-$AK166)*100</f>
        <v/>
      </c>
      <c r="CE165" s="56">
        <f>($AL165-$AL166)*100</f>
        <v/>
      </c>
      <c r="CF165" s="56">
        <f>($AM165-$AM166)*100</f>
        <v/>
      </c>
      <c r="CG165" s="56">
        <f>($AN165-$AN166)*100</f>
        <v/>
      </c>
      <c r="CH165" s="56">
        <f>($AO165-$AO166)*100</f>
        <v/>
      </c>
      <c r="CI165" s="56">
        <f>($AP165-$AP166)*100</f>
        <v/>
      </c>
      <c r="CJ165" s="56">
        <f>($AQ165-$AQ166)*100</f>
        <v/>
      </c>
      <c r="CK165" s="56">
        <f>($AR165-$AR166)*100</f>
        <v/>
      </c>
      <c r="CL165" s="56">
        <f>($AS165-$AS166)*100</f>
        <v/>
      </c>
      <c r="CM165" s="56">
        <f>($AT165-$AT166)*100</f>
        <v/>
      </c>
      <c r="CN165" s="56">
        <f>($AU165-$AU166)*100</f>
        <v/>
      </c>
      <c r="CO165" s="56">
        <f>($AV165-$AV166)*100</f>
        <v/>
      </c>
      <c r="CP165" s="56">
        <f>($AW165-$AW166)*100</f>
        <v/>
      </c>
      <c r="CQ165" s="56">
        <f>($AX165-$AX166)*100</f>
        <v/>
      </c>
      <c r="CR165" s="56">
        <f>($AY165-$AY166)*100</f>
        <v/>
      </c>
      <c r="CS165" s="57">
        <f>IFERROR($L166/$L165-1,"")</f>
        <v/>
      </c>
      <c r="CT165" s="57">
        <f>IFERROR($M166/$M165-1,"")</f>
        <v/>
      </c>
      <c r="CU165" s="57">
        <f>IFERROR($N166/$N165-1,"")</f>
        <v/>
      </c>
      <c r="CV165" s="57">
        <f>IFERROR($O166/$O165-1,"")</f>
        <v/>
      </c>
      <c r="CW165" s="57">
        <f>IFERROR($P166/$P165-1,"")</f>
        <v/>
      </c>
      <c r="CX165" s="57">
        <f>IFERROR($Q166/$Q165-1,"")</f>
        <v/>
      </c>
      <c r="CY165" s="57">
        <f>IFERROR($R166/$R165-1,"")</f>
        <v/>
      </c>
      <c r="CZ165" s="57">
        <f>IFERROR($S166/$S165-1,"")</f>
        <v/>
      </c>
      <c r="DA165" s="57">
        <f>IFERROR($T166/$T165-1,"")</f>
        <v/>
      </c>
      <c r="DB165" s="57">
        <f>IFERROR($U166/$U165-1,"")</f>
        <v/>
      </c>
      <c r="DC165" s="57">
        <f>IFERROR($V166/$V165-1,"")</f>
        <v/>
      </c>
      <c r="DD165" s="57">
        <f>IFERROR($W166/$W165-1,"")</f>
        <v/>
      </c>
      <c r="DE165" s="57">
        <f>IFERROR($X166/$X165-1,"")</f>
        <v/>
      </c>
      <c r="DF165" s="57">
        <f>IFERROR($Y166/$Y165-1,"")</f>
        <v/>
      </c>
      <c r="DG165" s="57">
        <f>IFERROR($Z166/$Z165-1,"")</f>
        <v/>
      </c>
      <c r="DH165" s="57">
        <f>IFERROR($AA166/$AA165-1,"")</f>
        <v/>
      </c>
      <c r="DI165" s="57">
        <f>IFERROR($AB166/$AB165-1,"")</f>
        <v/>
      </c>
      <c r="DJ165" s="57">
        <f>IFERROR($AC166/$AC165-1,"")</f>
        <v/>
      </c>
      <c r="DK165" s="57">
        <f>IFERROR($AD166/$AD165-1,"")</f>
        <v/>
      </c>
      <c r="DL165" s="57">
        <f>IFERROR($AE166/$AE165-1,"")</f>
        <v/>
      </c>
      <c r="DM165" s="56">
        <f>$AZ165-$AZ166</f>
        <v/>
      </c>
      <c r="DN165" s="56">
        <f>$BA165-$BA166</f>
        <v/>
      </c>
      <c r="DO165" s="56">
        <f>$BB165-$BB166</f>
        <v/>
      </c>
      <c r="DP165" s="56">
        <f>$BC165-$BC166</f>
        <v/>
      </c>
      <c r="DQ165" s="56">
        <f>$BD165-$BD166</f>
        <v/>
      </c>
      <c r="DR165" s="56">
        <f>$BE165-$BE166</f>
        <v/>
      </c>
      <c r="DS165" s="56">
        <f>$BF165-$BF166</f>
        <v/>
      </c>
      <c r="DT165" s="56">
        <f>$BG165-$BG166</f>
        <v/>
      </c>
      <c r="DU165" s="56">
        <f>$BH165-$BH166</f>
        <v/>
      </c>
      <c r="DV165" s="56">
        <f>$BI165-$BI166</f>
        <v/>
      </c>
      <c r="DW165" s="56">
        <f>$BJ165-$BJ166</f>
        <v/>
      </c>
      <c r="DX165" s="56">
        <f>$BK165-$BK166</f>
        <v/>
      </c>
      <c r="DY165" s="56">
        <f>$BL165-$BL166</f>
        <v/>
      </c>
      <c r="DZ165" s="56">
        <f>$BM165-$BM166</f>
        <v/>
      </c>
      <c r="EA165" s="56">
        <f>$BN165-$BN166</f>
        <v/>
      </c>
      <c r="EB165" s="56">
        <f>$BO165-$BO166</f>
        <v/>
      </c>
      <c r="EC165" s="56">
        <f>$BP165-$BP166</f>
        <v/>
      </c>
      <c r="ED165" s="56">
        <f>$BQ165-$BQ166</f>
        <v/>
      </c>
      <c r="EE165" s="56">
        <f>$BR165-$BR166</f>
        <v/>
      </c>
      <c r="EF165" s="56">
        <f>$BS165-$BS166</f>
        <v/>
      </c>
      <c r="EG165" s="56">
        <f>$BT165-$BT166</f>
        <v/>
      </c>
      <c r="EH165" s="56">
        <f>$BU165-$BU166</f>
        <v/>
      </c>
    </row>
    <row r="166">
      <c r="BV166" s="56">
        <f>($D166-$D167)*100</f>
        <v/>
      </c>
      <c r="BW166" s="56">
        <f>($C166-$C167)*100</f>
        <v/>
      </c>
      <c r="BX166" s="57">
        <f>IFERROR($I166/$I167-1,"")</f>
        <v/>
      </c>
      <c r="BY166" s="56">
        <f>($AF166-$AF167)*100</f>
        <v/>
      </c>
      <c r="BZ166" s="56">
        <f>($AG166-$AG167)*100</f>
        <v/>
      </c>
      <c r="CA166" s="56">
        <f>($AH166-$AH167)*100</f>
        <v/>
      </c>
      <c r="CB166" s="56">
        <f>($AI166-$AI167)*100</f>
        <v/>
      </c>
      <c r="CC166" s="56">
        <f>($AJ166-$AJ167)*100</f>
        <v/>
      </c>
      <c r="CD166" s="56">
        <f>($AK166-$AK167)*100</f>
        <v/>
      </c>
      <c r="CE166" s="56">
        <f>($AL166-$AL167)*100</f>
        <v/>
      </c>
      <c r="CF166" s="56">
        <f>($AM166-$AM167)*100</f>
        <v/>
      </c>
      <c r="CG166" s="56">
        <f>($AN166-$AN167)*100</f>
        <v/>
      </c>
      <c r="CH166" s="56">
        <f>($AO166-$AO167)*100</f>
        <v/>
      </c>
      <c r="CI166" s="56">
        <f>($AP166-$AP167)*100</f>
        <v/>
      </c>
      <c r="CJ166" s="56">
        <f>($AQ166-$AQ167)*100</f>
        <v/>
      </c>
      <c r="CK166" s="56">
        <f>($AR166-$AR167)*100</f>
        <v/>
      </c>
      <c r="CL166" s="56">
        <f>($AS166-$AS167)*100</f>
        <v/>
      </c>
      <c r="CM166" s="56">
        <f>($AT166-$AT167)*100</f>
        <v/>
      </c>
      <c r="CN166" s="56">
        <f>($AU166-$AU167)*100</f>
        <v/>
      </c>
      <c r="CO166" s="56">
        <f>($AV166-$AV167)*100</f>
        <v/>
      </c>
      <c r="CP166" s="56">
        <f>($AW166-$AW167)*100</f>
        <v/>
      </c>
      <c r="CQ166" s="56">
        <f>($AX166-$AX167)*100</f>
        <v/>
      </c>
      <c r="CR166" s="56">
        <f>($AY166-$AY167)*100</f>
        <v/>
      </c>
      <c r="CS166" s="57">
        <f>IFERROR($L167/$L166-1,"")</f>
        <v/>
      </c>
      <c r="CT166" s="57">
        <f>IFERROR($M167/$M166-1,"")</f>
        <v/>
      </c>
      <c r="CU166" s="57">
        <f>IFERROR($N167/$N166-1,"")</f>
        <v/>
      </c>
      <c r="CV166" s="57">
        <f>IFERROR($O167/$O166-1,"")</f>
        <v/>
      </c>
      <c r="CW166" s="57">
        <f>IFERROR($P167/$P166-1,"")</f>
        <v/>
      </c>
      <c r="CX166" s="57">
        <f>IFERROR($Q167/$Q166-1,"")</f>
        <v/>
      </c>
      <c r="CY166" s="57">
        <f>IFERROR($R167/$R166-1,"")</f>
        <v/>
      </c>
      <c r="CZ166" s="57">
        <f>IFERROR($S167/$S166-1,"")</f>
        <v/>
      </c>
      <c r="DA166" s="57">
        <f>IFERROR($T167/$T166-1,"")</f>
        <v/>
      </c>
      <c r="DB166" s="57">
        <f>IFERROR($U167/$U166-1,"")</f>
        <v/>
      </c>
      <c r="DC166" s="57">
        <f>IFERROR($V167/$V166-1,"")</f>
        <v/>
      </c>
      <c r="DD166" s="57">
        <f>IFERROR($W167/$W166-1,"")</f>
        <v/>
      </c>
      <c r="DE166" s="57">
        <f>IFERROR($X167/$X166-1,"")</f>
        <v/>
      </c>
      <c r="DF166" s="57">
        <f>IFERROR($Y167/$Y166-1,"")</f>
        <v/>
      </c>
      <c r="DG166" s="57">
        <f>IFERROR($Z167/$Z166-1,"")</f>
        <v/>
      </c>
      <c r="DH166" s="57">
        <f>IFERROR($AA167/$AA166-1,"")</f>
        <v/>
      </c>
      <c r="DI166" s="57">
        <f>IFERROR($AB167/$AB166-1,"")</f>
        <v/>
      </c>
      <c r="DJ166" s="57">
        <f>IFERROR($AC167/$AC166-1,"")</f>
        <v/>
      </c>
      <c r="DK166" s="57">
        <f>IFERROR($AD167/$AD166-1,"")</f>
        <v/>
      </c>
      <c r="DL166" s="57">
        <f>IFERROR($AE167/$AE166-1,"")</f>
        <v/>
      </c>
      <c r="DM166" s="56">
        <f>$AZ166-$AZ167</f>
        <v/>
      </c>
      <c r="DN166" s="56">
        <f>$BA166-$BA167</f>
        <v/>
      </c>
      <c r="DO166" s="56">
        <f>$BB166-$BB167</f>
        <v/>
      </c>
      <c r="DP166" s="56">
        <f>$BC166-$BC167</f>
        <v/>
      </c>
      <c r="DQ166" s="56">
        <f>$BD166-$BD167</f>
        <v/>
      </c>
      <c r="DR166" s="56">
        <f>$BE166-$BE167</f>
        <v/>
      </c>
      <c r="DS166" s="56">
        <f>$BF166-$BF167</f>
        <v/>
      </c>
      <c r="DT166" s="56">
        <f>$BG166-$BG167</f>
        <v/>
      </c>
      <c r="DU166" s="56">
        <f>$BH166-$BH167</f>
        <v/>
      </c>
      <c r="DV166" s="56">
        <f>$BI166-$BI167</f>
        <v/>
      </c>
      <c r="DW166" s="56">
        <f>$BJ166-$BJ167</f>
        <v/>
      </c>
      <c r="DX166" s="56">
        <f>$BK166-$BK167</f>
        <v/>
      </c>
      <c r="DY166" s="56">
        <f>$BL166-$BL167</f>
        <v/>
      </c>
      <c r="DZ166" s="56">
        <f>$BM166-$BM167</f>
        <v/>
      </c>
      <c r="EA166" s="56">
        <f>$BN166-$BN167</f>
        <v/>
      </c>
      <c r="EB166" s="56">
        <f>$BO166-$BO167</f>
        <v/>
      </c>
      <c r="EC166" s="56">
        <f>$BP166-$BP167</f>
        <v/>
      </c>
      <c r="ED166" s="56">
        <f>$BQ166-$BQ167</f>
        <v/>
      </c>
      <c r="EE166" s="56">
        <f>$BR166-$BR167</f>
        <v/>
      </c>
      <c r="EF166" s="56">
        <f>$BS166-$BS167</f>
        <v/>
      </c>
      <c r="EG166" s="56">
        <f>$BT166-$BT167</f>
        <v/>
      </c>
      <c r="EH166" s="56">
        <f>$BU166-$BU167</f>
        <v/>
      </c>
    </row>
    <row r="167">
      <c r="BV167" s="56">
        <f>($D167-$D168)*100</f>
        <v/>
      </c>
      <c r="BW167" s="56">
        <f>($C167-$C168)*100</f>
        <v/>
      </c>
      <c r="BX167" s="57">
        <f>IFERROR($I167/$I168-1,"")</f>
        <v/>
      </c>
      <c r="BY167" s="56">
        <f>($AF167-$AF168)*100</f>
        <v/>
      </c>
      <c r="BZ167" s="56">
        <f>($AG167-$AG168)*100</f>
        <v/>
      </c>
      <c r="CA167" s="56">
        <f>($AH167-$AH168)*100</f>
        <v/>
      </c>
      <c r="CB167" s="56">
        <f>($AI167-$AI168)*100</f>
        <v/>
      </c>
      <c r="CC167" s="56">
        <f>($AJ167-$AJ168)*100</f>
        <v/>
      </c>
      <c r="CD167" s="56">
        <f>($AK167-$AK168)*100</f>
        <v/>
      </c>
      <c r="CE167" s="56">
        <f>($AL167-$AL168)*100</f>
        <v/>
      </c>
      <c r="CF167" s="56">
        <f>($AM167-$AM168)*100</f>
        <v/>
      </c>
      <c r="CG167" s="56">
        <f>($AN167-$AN168)*100</f>
        <v/>
      </c>
      <c r="CH167" s="56">
        <f>($AO167-$AO168)*100</f>
        <v/>
      </c>
      <c r="CI167" s="56">
        <f>($AP167-$AP168)*100</f>
        <v/>
      </c>
      <c r="CJ167" s="56">
        <f>($AQ167-$AQ168)*100</f>
        <v/>
      </c>
      <c r="CK167" s="56">
        <f>($AR167-$AR168)*100</f>
        <v/>
      </c>
      <c r="CL167" s="56">
        <f>($AS167-$AS168)*100</f>
        <v/>
      </c>
      <c r="CM167" s="56">
        <f>($AT167-$AT168)*100</f>
        <v/>
      </c>
      <c r="CN167" s="56">
        <f>($AU167-$AU168)*100</f>
        <v/>
      </c>
      <c r="CO167" s="56">
        <f>($AV167-$AV168)*100</f>
        <v/>
      </c>
      <c r="CP167" s="56">
        <f>($AW167-$AW168)*100</f>
        <v/>
      </c>
      <c r="CQ167" s="56">
        <f>($AX167-$AX168)*100</f>
        <v/>
      </c>
      <c r="CR167" s="56">
        <f>($AY167-$AY168)*100</f>
        <v/>
      </c>
      <c r="CS167" s="57">
        <f>IFERROR($L168/$L167-1,"")</f>
        <v/>
      </c>
      <c r="CT167" s="57">
        <f>IFERROR($M168/$M167-1,"")</f>
        <v/>
      </c>
      <c r="CU167" s="57">
        <f>IFERROR($N168/$N167-1,"")</f>
        <v/>
      </c>
      <c r="CV167" s="57">
        <f>IFERROR($O168/$O167-1,"")</f>
        <v/>
      </c>
      <c r="CW167" s="57">
        <f>IFERROR($P168/$P167-1,"")</f>
        <v/>
      </c>
      <c r="CX167" s="57">
        <f>IFERROR($Q168/$Q167-1,"")</f>
        <v/>
      </c>
      <c r="CY167" s="57">
        <f>IFERROR($R168/$R167-1,"")</f>
        <v/>
      </c>
      <c r="CZ167" s="57">
        <f>IFERROR($S168/$S167-1,"")</f>
        <v/>
      </c>
      <c r="DA167" s="57">
        <f>IFERROR($T168/$T167-1,"")</f>
        <v/>
      </c>
      <c r="DB167" s="57">
        <f>IFERROR($U168/$U167-1,"")</f>
        <v/>
      </c>
      <c r="DC167" s="57">
        <f>IFERROR($V168/$V167-1,"")</f>
        <v/>
      </c>
      <c r="DD167" s="57">
        <f>IFERROR($W168/$W167-1,"")</f>
        <v/>
      </c>
      <c r="DE167" s="57">
        <f>IFERROR($X168/$X167-1,"")</f>
        <v/>
      </c>
      <c r="DF167" s="57">
        <f>IFERROR($Y168/$Y167-1,"")</f>
        <v/>
      </c>
      <c r="DG167" s="57">
        <f>IFERROR($Z168/$Z167-1,"")</f>
        <v/>
      </c>
      <c r="DH167" s="57">
        <f>IFERROR($AA168/$AA167-1,"")</f>
        <v/>
      </c>
      <c r="DI167" s="57">
        <f>IFERROR($AB168/$AB167-1,"")</f>
        <v/>
      </c>
      <c r="DJ167" s="57">
        <f>IFERROR($AC168/$AC167-1,"")</f>
        <v/>
      </c>
      <c r="DK167" s="57">
        <f>IFERROR($AD168/$AD167-1,"")</f>
        <v/>
      </c>
      <c r="DL167" s="57">
        <f>IFERROR($AE168/$AE167-1,"")</f>
        <v/>
      </c>
      <c r="DM167" s="56">
        <f>$AZ167-$AZ168</f>
        <v/>
      </c>
      <c r="DN167" s="56">
        <f>$BA167-$BA168</f>
        <v/>
      </c>
      <c r="DO167" s="56">
        <f>$BB167-$BB168</f>
        <v/>
      </c>
      <c r="DP167" s="56">
        <f>$BC167-$BC168</f>
        <v/>
      </c>
      <c r="DQ167" s="56">
        <f>$BD167-$BD168</f>
        <v/>
      </c>
      <c r="DR167" s="56">
        <f>$BE167-$BE168</f>
        <v/>
      </c>
      <c r="DS167" s="56">
        <f>$BF167-$BF168</f>
        <v/>
      </c>
      <c r="DT167" s="56">
        <f>$BG167-$BG168</f>
        <v/>
      </c>
      <c r="DU167" s="56">
        <f>$BH167-$BH168</f>
        <v/>
      </c>
      <c r="DV167" s="56">
        <f>$BI167-$BI168</f>
        <v/>
      </c>
      <c r="DW167" s="56">
        <f>$BJ167-$BJ168</f>
        <v/>
      </c>
      <c r="DX167" s="56">
        <f>$BK167-$BK168</f>
        <v/>
      </c>
      <c r="DY167" s="56">
        <f>$BL167-$BL168</f>
        <v/>
      </c>
      <c r="DZ167" s="56">
        <f>$BM167-$BM168</f>
        <v/>
      </c>
      <c r="EA167" s="56">
        <f>$BN167-$BN168</f>
        <v/>
      </c>
      <c r="EB167" s="56">
        <f>$BO167-$BO168</f>
        <v/>
      </c>
      <c r="EC167" s="56">
        <f>$BP167-$BP168</f>
        <v/>
      </c>
      <c r="ED167" s="56">
        <f>$BQ167-$BQ168</f>
        <v/>
      </c>
      <c r="EE167" s="56">
        <f>$BR167-$BR168</f>
        <v/>
      </c>
      <c r="EF167" s="56">
        <f>$BS167-$BS168</f>
        <v/>
      </c>
      <c r="EG167" s="56">
        <f>$BT167-$BT168</f>
        <v/>
      </c>
      <c r="EH167" s="56">
        <f>$BU167-$BU168</f>
        <v/>
      </c>
    </row>
    <row r="168">
      <c r="BV168" s="56">
        <f>($D168-$D169)*100</f>
        <v/>
      </c>
      <c r="BW168" s="56">
        <f>($C168-$C169)*100</f>
        <v/>
      </c>
      <c r="BX168" s="57">
        <f>IFERROR($I168/$I169-1,"")</f>
        <v/>
      </c>
      <c r="BY168" s="56">
        <f>($AF168-$AF169)*100</f>
        <v/>
      </c>
      <c r="BZ168" s="56">
        <f>($AG168-$AG169)*100</f>
        <v/>
      </c>
      <c r="CA168" s="56">
        <f>($AH168-$AH169)*100</f>
        <v/>
      </c>
      <c r="CB168" s="56">
        <f>($AI168-$AI169)*100</f>
        <v/>
      </c>
      <c r="CC168" s="56">
        <f>($AJ168-$AJ169)*100</f>
        <v/>
      </c>
      <c r="CD168" s="56">
        <f>($AK168-$AK169)*100</f>
        <v/>
      </c>
      <c r="CE168" s="56">
        <f>($AL168-$AL169)*100</f>
        <v/>
      </c>
      <c r="CF168" s="56">
        <f>($AM168-$AM169)*100</f>
        <v/>
      </c>
      <c r="CG168" s="56">
        <f>($AN168-$AN169)*100</f>
        <v/>
      </c>
      <c r="CH168" s="56">
        <f>($AO168-$AO169)*100</f>
        <v/>
      </c>
      <c r="CI168" s="56">
        <f>($AP168-$AP169)*100</f>
        <v/>
      </c>
      <c r="CJ168" s="56">
        <f>($AQ168-$AQ169)*100</f>
        <v/>
      </c>
      <c r="CK168" s="56">
        <f>($AR168-$AR169)*100</f>
        <v/>
      </c>
      <c r="CL168" s="56">
        <f>($AS168-$AS169)*100</f>
        <v/>
      </c>
      <c r="CM168" s="56">
        <f>($AT168-$AT169)*100</f>
        <v/>
      </c>
      <c r="CN168" s="56">
        <f>($AU168-$AU169)*100</f>
        <v/>
      </c>
      <c r="CO168" s="56">
        <f>($AV168-$AV169)*100</f>
        <v/>
      </c>
      <c r="CP168" s="56">
        <f>($AW168-$AW169)*100</f>
        <v/>
      </c>
      <c r="CQ168" s="56">
        <f>($AX168-$AX169)*100</f>
        <v/>
      </c>
      <c r="CR168" s="56">
        <f>($AY168-$AY169)*100</f>
        <v/>
      </c>
      <c r="CS168" s="57">
        <f>IFERROR($L169/$L168-1,"")</f>
        <v/>
      </c>
      <c r="CT168" s="57">
        <f>IFERROR($M169/$M168-1,"")</f>
        <v/>
      </c>
      <c r="CU168" s="57">
        <f>IFERROR($N169/$N168-1,"")</f>
        <v/>
      </c>
      <c r="CV168" s="57">
        <f>IFERROR($O169/$O168-1,"")</f>
        <v/>
      </c>
      <c r="CW168" s="57">
        <f>IFERROR($P169/$P168-1,"")</f>
        <v/>
      </c>
      <c r="CX168" s="57">
        <f>IFERROR($Q169/$Q168-1,"")</f>
        <v/>
      </c>
      <c r="CY168" s="57">
        <f>IFERROR($R169/$R168-1,"")</f>
        <v/>
      </c>
      <c r="CZ168" s="57">
        <f>IFERROR($S169/$S168-1,"")</f>
        <v/>
      </c>
      <c r="DA168" s="57">
        <f>IFERROR($T169/$T168-1,"")</f>
        <v/>
      </c>
      <c r="DB168" s="57">
        <f>IFERROR($U169/$U168-1,"")</f>
        <v/>
      </c>
      <c r="DC168" s="57">
        <f>IFERROR($V169/$V168-1,"")</f>
        <v/>
      </c>
      <c r="DD168" s="57">
        <f>IFERROR($W169/$W168-1,"")</f>
        <v/>
      </c>
      <c r="DE168" s="57">
        <f>IFERROR($X169/$X168-1,"")</f>
        <v/>
      </c>
      <c r="DF168" s="57">
        <f>IFERROR($Y169/$Y168-1,"")</f>
        <v/>
      </c>
      <c r="DG168" s="57">
        <f>IFERROR($Z169/$Z168-1,"")</f>
        <v/>
      </c>
      <c r="DH168" s="57">
        <f>IFERROR($AA169/$AA168-1,"")</f>
        <v/>
      </c>
      <c r="DI168" s="57">
        <f>IFERROR($AB169/$AB168-1,"")</f>
        <v/>
      </c>
      <c r="DJ168" s="57">
        <f>IFERROR($AC169/$AC168-1,"")</f>
        <v/>
      </c>
      <c r="DK168" s="57">
        <f>IFERROR($AD169/$AD168-1,"")</f>
        <v/>
      </c>
      <c r="DL168" s="57">
        <f>IFERROR($AE169/$AE168-1,"")</f>
        <v/>
      </c>
      <c r="DM168" s="56">
        <f>$AZ168-$AZ169</f>
        <v/>
      </c>
      <c r="DN168" s="56">
        <f>$BA168-$BA169</f>
        <v/>
      </c>
      <c r="DO168" s="56">
        <f>$BB168-$BB169</f>
        <v/>
      </c>
      <c r="DP168" s="56">
        <f>$BC168-$BC169</f>
        <v/>
      </c>
      <c r="DQ168" s="56">
        <f>$BD168-$BD169</f>
        <v/>
      </c>
      <c r="DR168" s="56">
        <f>$BE168-$BE169</f>
        <v/>
      </c>
      <c r="DS168" s="56">
        <f>$BF168-$BF169</f>
        <v/>
      </c>
      <c r="DT168" s="56">
        <f>$BG168-$BG169</f>
        <v/>
      </c>
      <c r="DU168" s="56">
        <f>$BH168-$BH169</f>
        <v/>
      </c>
      <c r="DV168" s="56">
        <f>$BI168-$BI169</f>
        <v/>
      </c>
      <c r="DW168" s="56">
        <f>$BJ168-$BJ169</f>
        <v/>
      </c>
      <c r="DX168" s="56">
        <f>$BK168-$BK169</f>
        <v/>
      </c>
      <c r="DY168" s="56">
        <f>$BL168-$BL169</f>
        <v/>
      </c>
      <c r="DZ168" s="56">
        <f>$BM168-$BM169</f>
        <v/>
      </c>
      <c r="EA168" s="56">
        <f>$BN168-$BN169</f>
        <v/>
      </c>
      <c r="EB168" s="56">
        <f>$BO168-$BO169</f>
        <v/>
      </c>
      <c r="EC168" s="56">
        <f>$BP168-$BP169</f>
        <v/>
      </c>
      <c r="ED168" s="56">
        <f>$BQ168-$BQ169</f>
        <v/>
      </c>
      <c r="EE168" s="56">
        <f>$BR168-$BR169</f>
        <v/>
      </c>
      <c r="EF168" s="56">
        <f>$BS168-$BS169</f>
        <v/>
      </c>
      <c r="EG168" s="56">
        <f>$BT168-$BT169</f>
        <v/>
      </c>
      <c r="EH168" s="56">
        <f>$BU168-$BU169</f>
        <v/>
      </c>
    </row>
    <row r="169">
      <c r="BV169" s="56">
        <f>($D169-$D170)*100</f>
        <v/>
      </c>
      <c r="BW169" s="56">
        <f>($C169-$C170)*100</f>
        <v/>
      </c>
      <c r="BX169" s="57">
        <f>IFERROR($I169/$I170-1,"")</f>
        <v/>
      </c>
      <c r="BY169" s="56">
        <f>($AF169-$AF170)*100</f>
        <v/>
      </c>
      <c r="BZ169" s="56">
        <f>($AG169-$AG170)*100</f>
        <v/>
      </c>
      <c r="CA169" s="56">
        <f>($AH169-$AH170)*100</f>
        <v/>
      </c>
      <c r="CB169" s="56">
        <f>($AI169-$AI170)*100</f>
        <v/>
      </c>
      <c r="CC169" s="56">
        <f>($AJ169-$AJ170)*100</f>
        <v/>
      </c>
      <c r="CD169" s="56">
        <f>($AK169-$AK170)*100</f>
        <v/>
      </c>
      <c r="CE169" s="56">
        <f>($AL169-$AL170)*100</f>
        <v/>
      </c>
      <c r="CF169" s="56">
        <f>($AM169-$AM170)*100</f>
        <v/>
      </c>
      <c r="CG169" s="56">
        <f>($AN169-$AN170)*100</f>
        <v/>
      </c>
      <c r="CH169" s="56">
        <f>($AO169-$AO170)*100</f>
        <v/>
      </c>
      <c r="CI169" s="56">
        <f>($AP169-$AP170)*100</f>
        <v/>
      </c>
      <c r="CJ169" s="56">
        <f>($AQ169-$AQ170)*100</f>
        <v/>
      </c>
      <c r="CK169" s="56">
        <f>($AR169-$AR170)*100</f>
        <v/>
      </c>
      <c r="CL169" s="56">
        <f>($AS169-$AS170)*100</f>
        <v/>
      </c>
      <c r="CM169" s="56">
        <f>($AT169-$AT170)*100</f>
        <v/>
      </c>
      <c r="CN169" s="56">
        <f>($AU169-$AU170)*100</f>
        <v/>
      </c>
      <c r="CO169" s="56">
        <f>($AV169-$AV170)*100</f>
        <v/>
      </c>
      <c r="CP169" s="56">
        <f>($AW169-$AW170)*100</f>
        <v/>
      </c>
      <c r="CQ169" s="56">
        <f>($AX169-$AX170)*100</f>
        <v/>
      </c>
      <c r="CR169" s="56">
        <f>($AY169-$AY170)*100</f>
        <v/>
      </c>
      <c r="CS169" s="57">
        <f>IFERROR($L170/$L169-1,"")</f>
        <v/>
      </c>
      <c r="CT169" s="57">
        <f>IFERROR($M170/$M169-1,"")</f>
        <v/>
      </c>
      <c r="CU169" s="57">
        <f>IFERROR($N170/$N169-1,"")</f>
        <v/>
      </c>
      <c r="CV169" s="57">
        <f>IFERROR($O170/$O169-1,"")</f>
        <v/>
      </c>
      <c r="CW169" s="57">
        <f>IFERROR($P170/$P169-1,"")</f>
        <v/>
      </c>
      <c r="CX169" s="57">
        <f>IFERROR($Q170/$Q169-1,"")</f>
        <v/>
      </c>
      <c r="CY169" s="57">
        <f>IFERROR($R170/$R169-1,"")</f>
        <v/>
      </c>
      <c r="CZ169" s="57">
        <f>IFERROR($S170/$S169-1,"")</f>
        <v/>
      </c>
      <c r="DA169" s="57">
        <f>IFERROR($T170/$T169-1,"")</f>
        <v/>
      </c>
      <c r="DB169" s="57">
        <f>IFERROR($U170/$U169-1,"")</f>
        <v/>
      </c>
      <c r="DC169" s="57">
        <f>IFERROR($V170/$V169-1,"")</f>
        <v/>
      </c>
      <c r="DD169" s="57">
        <f>IFERROR($W170/$W169-1,"")</f>
        <v/>
      </c>
      <c r="DE169" s="57">
        <f>IFERROR($X170/$X169-1,"")</f>
        <v/>
      </c>
      <c r="DF169" s="57">
        <f>IFERROR($Y170/$Y169-1,"")</f>
        <v/>
      </c>
      <c r="DG169" s="57">
        <f>IFERROR($Z170/$Z169-1,"")</f>
        <v/>
      </c>
      <c r="DH169" s="57">
        <f>IFERROR($AA170/$AA169-1,"")</f>
        <v/>
      </c>
      <c r="DI169" s="57">
        <f>IFERROR($AB170/$AB169-1,"")</f>
        <v/>
      </c>
      <c r="DJ169" s="57">
        <f>IFERROR($AC170/$AC169-1,"")</f>
        <v/>
      </c>
      <c r="DK169" s="57">
        <f>IFERROR($AD170/$AD169-1,"")</f>
        <v/>
      </c>
      <c r="DL169" s="57">
        <f>IFERROR($AE170/$AE169-1,"")</f>
        <v/>
      </c>
      <c r="DM169" s="56">
        <f>$AZ169-$AZ170</f>
        <v/>
      </c>
      <c r="DN169" s="56">
        <f>$BA169-$BA170</f>
        <v/>
      </c>
      <c r="DO169" s="56">
        <f>$BB169-$BB170</f>
        <v/>
      </c>
      <c r="DP169" s="56">
        <f>$BC169-$BC170</f>
        <v/>
      </c>
      <c r="DQ169" s="56">
        <f>$BD169-$BD170</f>
        <v/>
      </c>
      <c r="DR169" s="56">
        <f>$BE169-$BE170</f>
        <v/>
      </c>
      <c r="DS169" s="56">
        <f>$BF169-$BF170</f>
        <v/>
      </c>
      <c r="DT169" s="56">
        <f>$BG169-$BG170</f>
        <v/>
      </c>
      <c r="DU169" s="56">
        <f>$BH169-$BH170</f>
        <v/>
      </c>
      <c r="DV169" s="56">
        <f>$BI169-$BI170</f>
        <v/>
      </c>
      <c r="DW169" s="56">
        <f>$BJ169-$BJ170</f>
        <v/>
      </c>
      <c r="DX169" s="56">
        <f>$BK169-$BK170</f>
        <v/>
      </c>
      <c r="DY169" s="56">
        <f>$BL169-$BL170</f>
        <v/>
      </c>
      <c r="DZ169" s="56">
        <f>$BM169-$BM170</f>
        <v/>
      </c>
      <c r="EA169" s="56">
        <f>$BN169-$BN170</f>
        <v/>
      </c>
      <c r="EB169" s="56">
        <f>$BO169-$BO170</f>
        <v/>
      </c>
      <c r="EC169" s="56">
        <f>$BP169-$BP170</f>
        <v/>
      </c>
      <c r="ED169" s="56">
        <f>$BQ169-$BQ170</f>
        <v/>
      </c>
      <c r="EE169" s="56">
        <f>$BR169-$BR170</f>
        <v/>
      </c>
      <c r="EF169" s="56">
        <f>$BS169-$BS170</f>
        <v/>
      </c>
      <c r="EG169" s="56">
        <f>$BT169-$BT170</f>
        <v/>
      </c>
      <c r="EH169" s="56">
        <f>$BU169-$BU170</f>
        <v/>
      </c>
    </row>
    <row r="170">
      <c r="BV170" s="56">
        <f>($D170-$D171)*100</f>
        <v/>
      </c>
      <c r="BW170" s="56">
        <f>($C170-$C171)*100</f>
        <v/>
      </c>
      <c r="BX170" s="57">
        <f>IFERROR($I170/$I171-1,"")</f>
        <v/>
      </c>
      <c r="BY170" s="56">
        <f>($AF170-$AF171)*100</f>
        <v/>
      </c>
      <c r="BZ170" s="56">
        <f>($AG170-$AG171)*100</f>
        <v/>
      </c>
      <c r="CA170" s="56">
        <f>($AH170-$AH171)*100</f>
        <v/>
      </c>
      <c r="CB170" s="56">
        <f>($AI170-$AI171)*100</f>
        <v/>
      </c>
      <c r="CC170" s="56">
        <f>($AJ170-$AJ171)*100</f>
        <v/>
      </c>
      <c r="CD170" s="56">
        <f>($AK170-$AK171)*100</f>
        <v/>
      </c>
      <c r="CE170" s="56">
        <f>($AL170-$AL171)*100</f>
        <v/>
      </c>
      <c r="CF170" s="56">
        <f>($AM170-$AM171)*100</f>
        <v/>
      </c>
      <c r="CG170" s="56">
        <f>($AN170-$AN171)*100</f>
        <v/>
      </c>
      <c r="CH170" s="56">
        <f>($AO170-$AO171)*100</f>
        <v/>
      </c>
      <c r="CI170" s="56">
        <f>($AP170-$AP171)*100</f>
        <v/>
      </c>
      <c r="CJ170" s="56">
        <f>($AQ170-$AQ171)*100</f>
        <v/>
      </c>
      <c r="CK170" s="56">
        <f>($AR170-$AR171)*100</f>
        <v/>
      </c>
      <c r="CL170" s="56">
        <f>($AS170-$AS171)*100</f>
        <v/>
      </c>
      <c r="CM170" s="56">
        <f>($AT170-$AT171)*100</f>
        <v/>
      </c>
      <c r="CN170" s="56">
        <f>($AU170-$AU171)*100</f>
        <v/>
      </c>
      <c r="CO170" s="56">
        <f>($AV170-$AV171)*100</f>
        <v/>
      </c>
      <c r="CP170" s="56">
        <f>($AW170-$AW171)*100</f>
        <v/>
      </c>
      <c r="CQ170" s="56">
        <f>($AX170-$AX171)*100</f>
        <v/>
      </c>
      <c r="CR170" s="56">
        <f>($AY170-$AY171)*100</f>
        <v/>
      </c>
      <c r="CS170" s="57">
        <f>IFERROR($L171/$L170-1,"")</f>
        <v/>
      </c>
      <c r="CT170" s="57">
        <f>IFERROR($M171/$M170-1,"")</f>
        <v/>
      </c>
      <c r="CU170" s="57">
        <f>IFERROR($N171/$N170-1,"")</f>
        <v/>
      </c>
      <c r="CV170" s="57">
        <f>IFERROR($O171/$O170-1,"")</f>
        <v/>
      </c>
      <c r="CW170" s="57">
        <f>IFERROR($P171/$P170-1,"")</f>
        <v/>
      </c>
      <c r="CX170" s="57">
        <f>IFERROR($Q171/$Q170-1,"")</f>
        <v/>
      </c>
      <c r="CY170" s="57">
        <f>IFERROR($R171/$R170-1,"")</f>
        <v/>
      </c>
      <c r="CZ170" s="57">
        <f>IFERROR($S171/$S170-1,"")</f>
        <v/>
      </c>
      <c r="DA170" s="57">
        <f>IFERROR($T171/$T170-1,"")</f>
        <v/>
      </c>
      <c r="DB170" s="57">
        <f>IFERROR($U171/$U170-1,"")</f>
        <v/>
      </c>
      <c r="DC170" s="57">
        <f>IFERROR($V171/$V170-1,"")</f>
        <v/>
      </c>
      <c r="DD170" s="57">
        <f>IFERROR($W171/$W170-1,"")</f>
        <v/>
      </c>
      <c r="DE170" s="57">
        <f>IFERROR($X171/$X170-1,"")</f>
        <v/>
      </c>
      <c r="DF170" s="57">
        <f>IFERROR($Y171/$Y170-1,"")</f>
        <v/>
      </c>
      <c r="DG170" s="57">
        <f>IFERROR($Z171/$Z170-1,"")</f>
        <v/>
      </c>
      <c r="DH170" s="57">
        <f>IFERROR($AA171/$AA170-1,"")</f>
        <v/>
      </c>
      <c r="DI170" s="57">
        <f>IFERROR($AB171/$AB170-1,"")</f>
        <v/>
      </c>
      <c r="DJ170" s="57">
        <f>IFERROR($AC171/$AC170-1,"")</f>
        <v/>
      </c>
      <c r="DK170" s="57">
        <f>IFERROR($AD171/$AD170-1,"")</f>
        <v/>
      </c>
      <c r="DL170" s="57">
        <f>IFERROR($AE171/$AE170-1,"")</f>
        <v/>
      </c>
      <c r="DM170" s="56">
        <f>$AZ170-$AZ171</f>
        <v/>
      </c>
      <c r="DN170" s="56">
        <f>$BA170-$BA171</f>
        <v/>
      </c>
      <c r="DO170" s="56">
        <f>$BB170-$BB171</f>
        <v/>
      </c>
      <c r="DP170" s="56">
        <f>$BC170-$BC171</f>
        <v/>
      </c>
      <c r="DQ170" s="56">
        <f>$BD170-$BD171</f>
        <v/>
      </c>
      <c r="DR170" s="56">
        <f>$BE170-$BE171</f>
        <v/>
      </c>
      <c r="DS170" s="56">
        <f>$BF170-$BF171</f>
        <v/>
      </c>
      <c r="DT170" s="56">
        <f>$BG170-$BG171</f>
        <v/>
      </c>
      <c r="DU170" s="56">
        <f>$BH170-$BH171</f>
        <v/>
      </c>
      <c r="DV170" s="56">
        <f>$BI170-$BI171</f>
        <v/>
      </c>
      <c r="DW170" s="56">
        <f>$BJ170-$BJ171</f>
        <v/>
      </c>
      <c r="DX170" s="56">
        <f>$BK170-$BK171</f>
        <v/>
      </c>
      <c r="DY170" s="56">
        <f>$BL170-$BL171</f>
        <v/>
      </c>
      <c r="DZ170" s="56">
        <f>$BM170-$BM171</f>
        <v/>
      </c>
      <c r="EA170" s="56">
        <f>$BN170-$BN171</f>
        <v/>
      </c>
      <c r="EB170" s="56">
        <f>$BO170-$BO171</f>
        <v/>
      </c>
      <c r="EC170" s="56">
        <f>$BP170-$BP171</f>
        <v/>
      </c>
      <c r="ED170" s="56">
        <f>$BQ170-$BQ171</f>
        <v/>
      </c>
      <c r="EE170" s="56">
        <f>$BR170-$BR171</f>
        <v/>
      </c>
      <c r="EF170" s="56">
        <f>$BS170-$BS171</f>
        <v/>
      </c>
      <c r="EG170" s="56">
        <f>$BT170-$BT171</f>
        <v/>
      </c>
      <c r="EH170" s="56">
        <f>$BU170-$BU171</f>
        <v/>
      </c>
    </row>
    <row r="171">
      <c r="BV171" s="56">
        <f>($D171-$D172)*100</f>
        <v/>
      </c>
      <c r="BW171" s="56">
        <f>($C171-$C172)*100</f>
        <v/>
      </c>
      <c r="BX171" s="57">
        <f>IFERROR($I171/$I172-1,"")</f>
        <v/>
      </c>
      <c r="BY171" s="56">
        <f>($AF171-$AF172)*100</f>
        <v/>
      </c>
      <c r="BZ171" s="56">
        <f>($AG171-$AG172)*100</f>
        <v/>
      </c>
      <c r="CA171" s="56">
        <f>($AH171-$AH172)*100</f>
        <v/>
      </c>
      <c r="CB171" s="56">
        <f>($AI171-$AI172)*100</f>
        <v/>
      </c>
      <c r="CC171" s="56">
        <f>($AJ171-$AJ172)*100</f>
        <v/>
      </c>
      <c r="CD171" s="56">
        <f>($AK171-$AK172)*100</f>
        <v/>
      </c>
      <c r="CE171" s="56">
        <f>($AL171-$AL172)*100</f>
        <v/>
      </c>
      <c r="CF171" s="56">
        <f>($AM171-$AM172)*100</f>
        <v/>
      </c>
      <c r="CG171" s="56">
        <f>($AN171-$AN172)*100</f>
        <v/>
      </c>
      <c r="CH171" s="56">
        <f>($AO171-$AO172)*100</f>
        <v/>
      </c>
      <c r="CI171" s="56">
        <f>($AP171-$AP172)*100</f>
        <v/>
      </c>
      <c r="CJ171" s="56">
        <f>($AQ171-$AQ172)*100</f>
        <v/>
      </c>
      <c r="CK171" s="56">
        <f>($AR171-$AR172)*100</f>
        <v/>
      </c>
      <c r="CL171" s="56">
        <f>($AS171-$AS172)*100</f>
        <v/>
      </c>
      <c r="CM171" s="56">
        <f>($AT171-$AT172)*100</f>
        <v/>
      </c>
      <c r="CN171" s="56">
        <f>($AU171-$AU172)*100</f>
        <v/>
      </c>
      <c r="CO171" s="56">
        <f>($AV171-$AV172)*100</f>
        <v/>
      </c>
      <c r="CP171" s="56">
        <f>($AW171-$AW172)*100</f>
        <v/>
      </c>
      <c r="CQ171" s="56">
        <f>($AX171-$AX172)*100</f>
        <v/>
      </c>
      <c r="CR171" s="56">
        <f>($AY171-$AY172)*100</f>
        <v/>
      </c>
      <c r="CS171" s="57">
        <f>IFERROR($L172/$L171-1,"")</f>
        <v/>
      </c>
      <c r="CT171" s="57">
        <f>IFERROR($M172/$M171-1,"")</f>
        <v/>
      </c>
      <c r="CU171" s="57">
        <f>IFERROR($N172/$N171-1,"")</f>
        <v/>
      </c>
      <c r="CV171" s="57">
        <f>IFERROR($O172/$O171-1,"")</f>
        <v/>
      </c>
      <c r="CW171" s="57">
        <f>IFERROR($P172/$P171-1,"")</f>
        <v/>
      </c>
      <c r="CX171" s="57">
        <f>IFERROR($Q172/$Q171-1,"")</f>
        <v/>
      </c>
      <c r="CY171" s="57">
        <f>IFERROR($R172/$R171-1,"")</f>
        <v/>
      </c>
      <c r="CZ171" s="57">
        <f>IFERROR($S172/$S171-1,"")</f>
        <v/>
      </c>
      <c r="DA171" s="57">
        <f>IFERROR($T172/$T171-1,"")</f>
        <v/>
      </c>
      <c r="DB171" s="57">
        <f>IFERROR($U172/$U171-1,"")</f>
        <v/>
      </c>
      <c r="DC171" s="57">
        <f>IFERROR($V172/$V171-1,"")</f>
        <v/>
      </c>
      <c r="DD171" s="57">
        <f>IFERROR($W172/$W171-1,"")</f>
        <v/>
      </c>
      <c r="DE171" s="57">
        <f>IFERROR($X172/$X171-1,"")</f>
        <v/>
      </c>
      <c r="DF171" s="57">
        <f>IFERROR($Y172/$Y171-1,"")</f>
        <v/>
      </c>
      <c r="DG171" s="57">
        <f>IFERROR($Z172/$Z171-1,"")</f>
        <v/>
      </c>
      <c r="DH171" s="57">
        <f>IFERROR($AA172/$AA171-1,"")</f>
        <v/>
      </c>
      <c r="DI171" s="57">
        <f>IFERROR($AB172/$AB171-1,"")</f>
        <v/>
      </c>
      <c r="DJ171" s="57">
        <f>IFERROR($AC172/$AC171-1,"")</f>
        <v/>
      </c>
      <c r="DK171" s="57">
        <f>IFERROR($AD172/$AD171-1,"")</f>
        <v/>
      </c>
      <c r="DL171" s="57">
        <f>IFERROR($AE172/$AE171-1,"")</f>
        <v/>
      </c>
      <c r="DM171" s="56">
        <f>$AZ171-$AZ172</f>
        <v/>
      </c>
      <c r="DN171" s="56">
        <f>$BA171-$BA172</f>
        <v/>
      </c>
      <c r="DO171" s="56">
        <f>$BB171-$BB172</f>
        <v/>
      </c>
      <c r="DP171" s="56">
        <f>$BC171-$BC172</f>
        <v/>
      </c>
      <c r="DQ171" s="56">
        <f>$BD171-$BD172</f>
        <v/>
      </c>
      <c r="DR171" s="56">
        <f>$BE171-$BE172</f>
        <v/>
      </c>
      <c r="DS171" s="56">
        <f>$BF171-$BF172</f>
        <v/>
      </c>
      <c r="DT171" s="56">
        <f>$BG171-$BG172</f>
        <v/>
      </c>
      <c r="DU171" s="56">
        <f>$BH171-$BH172</f>
        <v/>
      </c>
      <c r="DV171" s="56">
        <f>$BI171-$BI172</f>
        <v/>
      </c>
      <c r="DW171" s="56">
        <f>$BJ171-$BJ172</f>
        <v/>
      </c>
      <c r="DX171" s="56">
        <f>$BK171-$BK172</f>
        <v/>
      </c>
      <c r="DY171" s="56">
        <f>$BL171-$BL172</f>
        <v/>
      </c>
      <c r="DZ171" s="56">
        <f>$BM171-$BM172</f>
        <v/>
      </c>
      <c r="EA171" s="56">
        <f>$BN171-$BN172</f>
        <v/>
      </c>
      <c r="EB171" s="56">
        <f>$BO171-$BO172</f>
        <v/>
      </c>
      <c r="EC171" s="56">
        <f>$BP171-$BP172</f>
        <v/>
      </c>
      <c r="ED171" s="56">
        <f>$BQ171-$BQ172</f>
        <v/>
      </c>
      <c r="EE171" s="56">
        <f>$BR171-$BR172</f>
        <v/>
      </c>
      <c r="EF171" s="56">
        <f>$BS171-$BS172</f>
        <v/>
      </c>
      <c r="EG171" s="56">
        <f>$BT171-$BT172</f>
        <v/>
      </c>
      <c r="EH171" s="56">
        <f>$BU171-$BU172</f>
        <v/>
      </c>
    </row>
    <row r="172">
      <c r="BV172" s="56">
        <f>($D172-$D173)*100</f>
        <v/>
      </c>
      <c r="BW172" s="56">
        <f>($C172-$C173)*100</f>
        <v/>
      </c>
      <c r="BX172" s="57">
        <f>IFERROR($I172/$I173-1,"")</f>
        <v/>
      </c>
      <c r="BY172" s="56">
        <f>($AF172-$AF173)*100</f>
        <v/>
      </c>
      <c r="BZ172" s="56">
        <f>($AG172-$AG173)*100</f>
        <v/>
      </c>
      <c r="CA172" s="56">
        <f>($AH172-$AH173)*100</f>
        <v/>
      </c>
      <c r="CB172" s="56">
        <f>($AI172-$AI173)*100</f>
        <v/>
      </c>
      <c r="CC172" s="56">
        <f>($AJ172-$AJ173)*100</f>
        <v/>
      </c>
      <c r="CD172" s="56">
        <f>($AK172-$AK173)*100</f>
        <v/>
      </c>
      <c r="CE172" s="56">
        <f>($AL172-$AL173)*100</f>
        <v/>
      </c>
      <c r="CF172" s="56">
        <f>($AM172-$AM173)*100</f>
        <v/>
      </c>
      <c r="CG172" s="56">
        <f>($AN172-$AN173)*100</f>
        <v/>
      </c>
      <c r="CH172" s="56">
        <f>($AO172-$AO173)*100</f>
        <v/>
      </c>
      <c r="CI172" s="56">
        <f>($AP172-$AP173)*100</f>
        <v/>
      </c>
      <c r="CJ172" s="56">
        <f>($AQ172-$AQ173)*100</f>
        <v/>
      </c>
      <c r="CK172" s="56">
        <f>($AR172-$AR173)*100</f>
        <v/>
      </c>
      <c r="CL172" s="56">
        <f>($AS172-$AS173)*100</f>
        <v/>
      </c>
      <c r="CM172" s="56">
        <f>($AT172-$AT173)*100</f>
        <v/>
      </c>
      <c r="CN172" s="56">
        <f>($AU172-$AU173)*100</f>
        <v/>
      </c>
      <c r="CO172" s="56">
        <f>($AV172-$AV173)*100</f>
        <v/>
      </c>
      <c r="CP172" s="56">
        <f>($AW172-$AW173)*100</f>
        <v/>
      </c>
      <c r="CQ172" s="56">
        <f>($AX172-$AX173)*100</f>
        <v/>
      </c>
      <c r="CR172" s="56">
        <f>($AY172-$AY173)*100</f>
        <v/>
      </c>
      <c r="CS172" s="57">
        <f>IFERROR($L173/$L172-1,"")</f>
        <v/>
      </c>
      <c r="CT172" s="57">
        <f>IFERROR($M173/$M172-1,"")</f>
        <v/>
      </c>
      <c r="CU172" s="57">
        <f>IFERROR($N173/$N172-1,"")</f>
        <v/>
      </c>
      <c r="CV172" s="57">
        <f>IFERROR($O173/$O172-1,"")</f>
        <v/>
      </c>
      <c r="CW172" s="57">
        <f>IFERROR($P173/$P172-1,"")</f>
        <v/>
      </c>
      <c r="CX172" s="57">
        <f>IFERROR($Q173/$Q172-1,"")</f>
        <v/>
      </c>
      <c r="CY172" s="57">
        <f>IFERROR($R173/$R172-1,"")</f>
        <v/>
      </c>
      <c r="CZ172" s="57">
        <f>IFERROR($S173/$S172-1,"")</f>
        <v/>
      </c>
      <c r="DA172" s="57">
        <f>IFERROR($T173/$T172-1,"")</f>
        <v/>
      </c>
      <c r="DB172" s="57">
        <f>IFERROR($U173/$U172-1,"")</f>
        <v/>
      </c>
      <c r="DC172" s="57">
        <f>IFERROR($V173/$V172-1,"")</f>
        <v/>
      </c>
      <c r="DD172" s="57">
        <f>IFERROR($W173/$W172-1,"")</f>
        <v/>
      </c>
      <c r="DE172" s="57">
        <f>IFERROR($X173/$X172-1,"")</f>
        <v/>
      </c>
      <c r="DF172" s="57">
        <f>IFERROR($Y173/$Y172-1,"")</f>
        <v/>
      </c>
      <c r="DG172" s="57">
        <f>IFERROR($Z173/$Z172-1,"")</f>
        <v/>
      </c>
      <c r="DH172" s="57">
        <f>IFERROR($AA173/$AA172-1,"")</f>
        <v/>
      </c>
      <c r="DI172" s="57">
        <f>IFERROR($AB173/$AB172-1,"")</f>
        <v/>
      </c>
      <c r="DJ172" s="57">
        <f>IFERROR($AC173/$AC172-1,"")</f>
        <v/>
      </c>
      <c r="DK172" s="57">
        <f>IFERROR($AD173/$AD172-1,"")</f>
        <v/>
      </c>
      <c r="DL172" s="57">
        <f>IFERROR($AE173/$AE172-1,"")</f>
        <v/>
      </c>
      <c r="DM172" s="56">
        <f>$AZ172-$AZ173</f>
        <v/>
      </c>
      <c r="DN172" s="56">
        <f>$BA172-$BA173</f>
        <v/>
      </c>
      <c r="DO172" s="56">
        <f>$BB172-$BB173</f>
        <v/>
      </c>
      <c r="DP172" s="56">
        <f>$BC172-$BC173</f>
        <v/>
      </c>
      <c r="DQ172" s="56">
        <f>$BD172-$BD173</f>
        <v/>
      </c>
      <c r="DR172" s="56">
        <f>$BE172-$BE173</f>
        <v/>
      </c>
      <c r="DS172" s="56">
        <f>$BF172-$BF173</f>
        <v/>
      </c>
      <c r="DT172" s="56">
        <f>$BG172-$BG173</f>
        <v/>
      </c>
      <c r="DU172" s="56">
        <f>$BH172-$BH173</f>
        <v/>
      </c>
      <c r="DV172" s="56">
        <f>$BI172-$BI173</f>
        <v/>
      </c>
      <c r="DW172" s="56">
        <f>$BJ172-$BJ173</f>
        <v/>
      </c>
      <c r="DX172" s="56">
        <f>$BK172-$BK173</f>
        <v/>
      </c>
      <c r="DY172" s="56">
        <f>$BL172-$BL173</f>
        <v/>
      </c>
      <c r="DZ172" s="56">
        <f>$BM172-$BM173</f>
        <v/>
      </c>
      <c r="EA172" s="56">
        <f>$BN172-$BN173</f>
        <v/>
      </c>
      <c r="EB172" s="56">
        <f>$BO172-$BO173</f>
        <v/>
      </c>
      <c r="EC172" s="56">
        <f>$BP172-$BP173</f>
        <v/>
      </c>
      <c r="ED172" s="56">
        <f>$BQ172-$BQ173</f>
        <v/>
      </c>
      <c r="EE172" s="56">
        <f>$BR172-$BR173</f>
        <v/>
      </c>
      <c r="EF172" s="56">
        <f>$BS172-$BS173</f>
        <v/>
      </c>
      <c r="EG172" s="56">
        <f>$BT172-$BT173</f>
        <v/>
      </c>
      <c r="EH172" s="56">
        <f>$BU172-$BU173</f>
        <v/>
      </c>
    </row>
    <row r="173">
      <c r="BV173" s="56">
        <f>($D173-$D174)*100</f>
        <v/>
      </c>
      <c r="BW173" s="56">
        <f>($C173-$C174)*100</f>
        <v/>
      </c>
      <c r="BX173" s="57">
        <f>IFERROR($I173/$I174-1,"")</f>
        <v/>
      </c>
      <c r="BY173" s="56">
        <f>($AF173-$AF174)*100</f>
        <v/>
      </c>
      <c r="BZ173" s="56">
        <f>($AG173-$AG174)*100</f>
        <v/>
      </c>
      <c r="CA173" s="56">
        <f>($AH173-$AH174)*100</f>
        <v/>
      </c>
      <c r="CB173" s="56">
        <f>($AI173-$AI174)*100</f>
        <v/>
      </c>
      <c r="CC173" s="56">
        <f>($AJ173-$AJ174)*100</f>
        <v/>
      </c>
      <c r="CD173" s="56">
        <f>($AK173-$AK174)*100</f>
        <v/>
      </c>
      <c r="CE173" s="56">
        <f>($AL173-$AL174)*100</f>
        <v/>
      </c>
      <c r="CF173" s="56">
        <f>($AM173-$AM174)*100</f>
        <v/>
      </c>
      <c r="CG173" s="56">
        <f>($AN173-$AN174)*100</f>
        <v/>
      </c>
      <c r="CH173" s="56">
        <f>($AO173-$AO174)*100</f>
        <v/>
      </c>
      <c r="CI173" s="56">
        <f>($AP173-$AP174)*100</f>
        <v/>
      </c>
      <c r="CJ173" s="56">
        <f>($AQ173-$AQ174)*100</f>
        <v/>
      </c>
      <c r="CK173" s="56">
        <f>($AR173-$AR174)*100</f>
        <v/>
      </c>
      <c r="CL173" s="56">
        <f>($AS173-$AS174)*100</f>
        <v/>
      </c>
      <c r="CM173" s="56">
        <f>($AT173-$AT174)*100</f>
        <v/>
      </c>
      <c r="CN173" s="56">
        <f>($AU173-$AU174)*100</f>
        <v/>
      </c>
      <c r="CO173" s="56">
        <f>($AV173-$AV174)*100</f>
        <v/>
      </c>
      <c r="CP173" s="56">
        <f>($AW173-$AW174)*100</f>
        <v/>
      </c>
      <c r="CQ173" s="56">
        <f>($AX173-$AX174)*100</f>
        <v/>
      </c>
      <c r="CR173" s="56">
        <f>($AY173-$AY174)*100</f>
        <v/>
      </c>
      <c r="CS173" s="57">
        <f>IFERROR($L174/$L173-1,"")</f>
        <v/>
      </c>
      <c r="CT173" s="57">
        <f>IFERROR($M174/$M173-1,"")</f>
        <v/>
      </c>
      <c r="CU173" s="57">
        <f>IFERROR($N174/$N173-1,"")</f>
        <v/>
      </c>
      <c r="CV173" s="57">
        <f>IFERROR($O174/$O173-1,"")</f>
        <v/>
      </c>
      <c r="CW173" s="57">
        <f>IFERROR($P174/$P173-1,"")</f>
        <v/>
      </c>
      <c r="CX173" s="57">
        <f>IFERROR($Q174/$Q173-1,"")</f>
        <v/>
      </c>
      <c r="CY173" s="57">
        <f>IFERROR($R174/$R173-1,"")</f>
        <v/>
      </c>
      <c r="CZ173" s="57">
        <f>IFERROR($S174/$S173-1,"")</f>
        <v/>
      </c>
      <c r="DA173" s="57">
        <f>IFERROR($T174/$T173-1,"")</f>
        <v/>
      </c>
      <c r="DB173" s="57">
        <f>IFERROR($U174/$U173-1,"")</f>
        <v/>
      </c>
      <c r="DC173" s="57">
        <f>IFERROR($V174/$V173-1,"")</f>
        <v/>
      </c>
      <c r="DD173" s="57">
        <f>IFERROR($W174/$W173-1,"")</f>
        <v/>
      </c>
      <c r="DE173" s="57">
        <f>IFERROR($X174/$X173-1,"")</f>
        <v/>
      </c>
      <c r="DF173" s="57">
        <f>IFERROR($Y174/$Y173-1,"")</f>
        <v/>
      </c>
      <c r="DG173" s="57">
        <f>IFERROR($Z174/$Z173-1,"")</f>
        <v/>
      </c>
      <c r="DH173" s="57">
        <f>IFERROR($AA174/$AA173-1,"")</f>
        <v/>
      </c>
      <c r="DI173" s="57">
        <f>IFERROR($AB174/$AB173-1,"")</f>
        <v/>
      </c>
      <c r="DJ173" s="57">
        <f>IFERROR($AC174/$AC173-1,"")</f>
        <v/>
      </c>
      <c r="DK173" s="57">
        <f>IFERROR($AD174/$AD173-1,"")</f>
        <v/>
      </c>
      <c r="DL173" s="57">
        <f>IFERROR($AE174/$AE173-1,"")</f>
        <v/>
      </c>
      <c r="DM173" s="56">
        <f>$AZ173-$AZ174</f>
        <v/>
      </c>
      <c r="DN173" s="56">
        <f>$BA173-$BA174</f>
        <v/>
      </c>
      <c r="DO173" s="56">
        <f>$BB173-$BB174</f>
        <v/>
      </c>
      <c r="DP173" s="56">
        <f>$BC173-$BC174</f>
        <v/>
      </c>
      <c r="DQ173" s="56">
        <f>$BD173-$BD174</f>
        <v/>
      </c>
      <c r="DR173" s="56">
        <f>$BE173-$BE174</f>
        <v/>
      </c>
      <c r="DS173" s="56">
        <f>$BF173-$BF174</f>
        <v/>
      </c>
      <c r="DT173" s="56">
        <f>$BG173-$BG174</f>
        <v/>
      </c>
      <c r="DU173" s="56">
        <f>$BH173-$BH174</f>
        <v/>
      </c>
      <c r="DV173" s="56">
        <f>$BI173-$BI174</f>
        <v/>
      </c>
      <c r="DW173" s="56">
        <f>$BJ173-$BJ174</f>
        <v/>
      </c>
      <c r="DX173" s="56">
        <f>$BK173-$BK174</f>
        <v/>
      </c>
      <c r="DY173" s="56">
        <f>$BL173-$BL174</f>
        <v/>
      </c>
      <c r="DZ173" s="56">
        <f>$BM173-$BM174</f>
        <v/>
      </c>
      <c r="EA173" s="56">
        <f>$BN173-$BN174</f>
        <v/>
      </c>
      <c r="EB173" s="56">
        <f>$BO173-$BO174</f>
        <v/>
      </c>
      <c r="EC173" s="56">
        <f>$BP173-$BP174</f>
        <v/>
      </c>
      <c r="ED173" s="56">
        <f>$BQ173-$BQ174</f>
        <v/>
      </c>
      <c r="EE173" s="56">
        <f>$BR173-$BR174</f>
        <v/>
      </c>
      <c r="EF173" s="56">
        <f>$BS173-$BS174</f>
        <v/>
      </c>
      <c r="EG173" s="56">
        <f>$BT173-$BT174</f>
        <v/>
      </c>
      <c r="EH173" s="56">
        <f>$BU173-$BU174</f>
        <v/>
      </c>
    </row>
    <row r="174">
      <c r="BV174" s="56">
        <f>($D174-$D175)*100</f>
        <v/>
      </c>
      <c r="BW174" s="56">
        <f>($C174-$C175)*100</f>
        <v/>
      </c>
      <c r="BX174" s="57">
        <f>IFERROR($I174/$I175-1,"")</f>
        <v/>
      </c>
      <c r="BY174" s="56">
        <f>($AF174-$AF175)*100</f>
        <v/>
      </c>
      <c r="BZ174" s="56">
        <f>($AG174-$AG175)*100</f>
        <v/>
      </c>
      <c r="CA174" s="56">
        <f>($AH174-$AH175)*100</f>
        <v/>
      </c>
      <c r="CB174" s="56">
        <f>($AI174-$AI175)*100</f>
        <v/>
      </c>
      <c r="CC174" s="56">
        <f>($AJ174-$AJ175)*100</f>
        <v/>
      </c>
      <c r="CD174" s="56">
        <f>($AK174-$AK175)*100</f>
        <v/>
      </c>
      <c r="CE174" s="56">
        <f>($AL174-$AL175)*100</f>
        <v/>
      </c>
      <c r="CF174" s="56">
        <f>($AM174-$AM175)*100</f>
        <v/>
      </c>
      <c r="CG174" s="56">
        <f>($AN174-$AN175)*100</f>
        <v/>
      </c>
      <c r="CH174" s="56">
        <f>($AO174-$AO175)*100</f>
        <v/>
      </c>
      <c r="CI174" s="56">
        <f>($AP174-$AP175)*100</f>
        <v/>
      </c>
      <c r="CJ174" s="56">
        <f>($AQ174-$AQ175)*100</f>
        <v/>
      </c>
      <c r="CK174" s="56">
        <f>($AR174-$AR175)*100</f>
        <v/>
      </c>
      <c r="CL174" s="56">
        <f>($AS174-$AS175)*100</f>
        <v/>
      </c>
      <c r="CM174" s="56">
        <f>($AT174-$AT175)*100</f>
        <v/>
      </c>
      <c r="CN174" s="56">
        <f>($AU174-$AU175)*100</f>
        <v/>
      </c>
      <c r="CO174" s="56">
        <f>($AV174-$AV175)*100</f>
        <v/>
      </c>
      <c r="CP174" s="56">
        <f>($AW174-$AW175)*100</f>
        <v/>
      </c>
      <c r="CQ174" s="56">
        <f>($AX174-$AX175)*100</f>
        <v/>
      </c>
      <c r="CR174" s="56">
        <f>($AY174-$AY175)*100</f>
        <v/>
      </c>
      <c r="CS174" s="57">
        <f>IFERROR($L175/$L174-1,"")</f>
        <v/>
      </c>
      <c r="CT174" s="57">
        <f>IFERROR($M175/$M174-1,"")</f>
        <v/>
      </c>
      <c r="CU174" s="57">
        <f>IFERROR($N175/$N174-1,"")</f>
        <v/>
      </c>
      <c r="CV174" s="57">
        <f>IFERROR($O175/$O174-1,"")</f>
        <v/>
      </c>
      <c r="CW174" s="57">
        <f>IFERROR($P175/$P174-1,"")</f>
        <v/>
      </c>
      <c r="CX174" s="57">
        <f>IFERROR($Q175/$Q174-1,"")</f>
        <v/>
      </c>
      <c r="CY174" s="57">
        <f>IFERROR($R175/$R174-1,"")</f>
        <v/>
      </c>
      <c r="CZ174" s="57">
        <f>IFERROR($S175/$S174-1,"")</f>
        <v/>
      </c>
      <c r="DA174" s="57">
        <f>IFERROR($T175/$T174-1,"")</f>
        <v/>
      </c>
      <c r="DB174" s="57">
        <f>IFERROR($U175/$U174-1,"")</f>
        <v/>
      </c>
      <c r="DC174" s="57">
        <f>IFERROR($V175/$V174-1,"")</f>
        <v/>
      </c>
      <c r="DD174" s="57">
        <f>IFERROR($W175/$W174-1,"")</f>
        <v/>
      </c>
      <c r="DE174" s="57">
        <f>IFERROR($X175/$X174-1,"")</f>
        <v/>
      </c>
      <c r="DF174" s="57">
        <f>IFERROR($Y175/$Y174-1,"")</f>
        <v/>
      </c>
      <c r="DG174" s="57">
        <f>IFERROR($Z175/$Z174-1,"")</f>
        <v/>
      </c>
      <c r="DH174" s="57">
        <f>IFERROR($AA175/$AA174-1,"")</f>
        <v/>
      </c>
      <c r="DI174" s="57">
        <f>IFERROR($AB175/$AB174-1,"")</f>
        <v/>
      </c>
      <c r="DJ174" s="57">
        <f>IFERROR($AC175/$AC174-1,"")</f>
        <v/>
      </c>
      <c r="DK174" s="57">
        <f>IFERROR($AD175/$AD174-1,"")</f>
        <v/>
      </c>
      <c r="DL174" s="57">
        <f>IFERROR($AE175/$AE174-1,"")</f>
        <v/>
      </c>
      <c r="DM174" s="56">
        <f>$AZ174-$AZ175</f>
        <v/>
      </c>
      <c r="DN174" s="56">
        <f>$BA174-$BA175</f>
        <v/>
      </c>
      <c r="DO174" s="56">
        <f>$BB174-$BB175</f>
        <v/>
      </c>
      <c r="DP174" s="56">
        <f>$BC174-$BC175</f>
        <v/>
      </c>
      <c r="DQ174" s="56">
        <f>$BD174-$BD175</f>
        <v/>
      </c>
      <c r="DR174" s="56">
        <f>$BE174-$BE175</f>
        <v/>
      </c>
      <c r="DS174" s="56">
        <f>$BF174-$BF175</f>
        <v/>
      </c>
      <c r="DT174" s="56">
        <f>$BG174-$BG175</f>
        <v/>
      </c>
      <c r="DU174" s="56">
        <f>$BH174-$BH175</f>
        <v/>
      </c>
      <c r="DV174" s="56">
        <f>$BI174-$BI175</f>
        <v/>
      </c>
      <c r="DW174" s="56">
        <f>$BJ174-$BJ175</f>
        <v/>
      </c>
      <c r="DX174" s="56">
        <f>$BK174-$BK175</f>
        <v/>
      </c>
      <c r="DY174" s="56">
        <f>$BL174-$BL175</f>
        <v/>
      </c>
      <c r="DZ174" s="56">
        <f>$BM174-$BM175</f>
        <v/>
      </c>
      <c r="EA174" s="56">
        <f>$BN174-$BN175</f>
        <v/>
      </c>
      <c r="EB174" s="56">
        <f>$BO174-$BO175</f>
        <v/>
      </c>
      <c r="EC174" s="56">
        <f>$BP174-$BP175</f>
        <v/>
      </c>
      <c r="ED174" s="56">
        <f>$BQ174-$BQ175</f>
        <v/>
      </c>
      <c r="EE174" s="56">
        <f>$BR174-$BR175</f>
        <v/>
      </c>
      <c r="EF174" s="56">
        <f>$BS174-$BS175</f>
        <v/>
      </c>
      <c r="EG174" s="56">
        <f>$BT174-$BT175</f>
        <v/>
      </c>
      <c r="EH174" s="56">
        <f>$BU174-$BU175</f>
        <v/>
      </c>
    </row>
    <row r="175">
      <c r="BV175" s="56">
        <f>($D175-$D176)*100</f>
        <v/>
      </c>
      <c r="BW175" s="56">
        <f>($C175-$C176)*100</f>
        <v/>
      </c>
      <c r="BX175" s="57">
        <f>IFERROR($I175/$I176-1,"")</f>
        <v/>
      </c>
      <c r="BY175" s="56">
        <f>($AF175-$AF176)*100</f>
        <v/>
      </c>
      <c r="BZ175" s="56">
        <f>($AG175-$AG176)*100</f>
        <v/>
      </c>
      <c r="CA175" s="56">
        <f>($AH175-$AH176)*100</f>
        <v/>
      </c>
      <c r="CB175" s="56">
        <f>($AI175-$AI176)*100</f>
        <v/>
      </c>
      <c r="CC175" s="56">
        <f>($AJ175-$AJ176)*100</f>
        <v/>
      </c>
      <c r="CD175" s="56">
        <f>($AK175-$AK176)*100</f>
        <v/>
      </c>
      <c r="CE175" s="56">
        <f>($AL175-$AL176)*100</f>
        <v/>
      </c>
      <c r="CF175" s="56">
        <f>($AM175-$AM176)*100</f>
        <v/>
      </c>
      <c r="CG175" s="56">
        <f>($AN175-$AN176)*100</f>
        <v/>
      </c>
      <c r="CH175" s="56">
        <f>($AO175-$AO176)*100</f>
        <v/>
      </c>
      <c r="CI175" s="56">
        <f>($AP175-$AP176)*100</f>
        <v/>
      </c>
      <c r="CJ175" s="56">
        <f>($AQ175-$AQ176)*100</f>
        <v/>
      </c>
      <c r="CK175" s="56">
        <f>($AR175-$AR176)*100</f>
        <v/>
      </c>
      <c r="CL175" s="56">
        <f>($AS175-$AS176)*100</f>
        <v/>
      </c>
      <c r="CM175" s="56">
        <f>($AT175-$AT176)*100</f>
        <v/>
      </c>
      <c r="CN175" s="56">
        <f>($AU175-$AU176)*100</f>
        <v/>
      </c>
      <c r="CO175" s="56">
        <f>($AV175-$AV176)*100</f>
        <v/>
      </c>
      <c r="CP175" s="56">
        <f>($AW175-$AW176)*100</f>
        <v/>
      </c>
      <c r="CQ175" s="56">
        <f>($AX175-$AX176)*100</f>
        <v/>
      </c>
      <c r="CR175" s="56">
        <f>($AY175-$AY176)*100</f>
        <v/>
      </c>
      <c r="CS175" s="57">
        <f>IFERROR($L176/$L175-1,"")</f>
        <v/>
      </c>
      <c r="CT175" s="57">
        <f>IFERROR($M176/$M175-1,"")</f>
        <v/>
      </c>
      <c r="CU175" s="57">
        <f>IFERROR($N176/$N175-1,"")</f>
        <v/>
      </c>
      <c r="CV175" s="57">
        <f>IFERROR($O176/$O175-1,"")</f>
        <v/>
      </c>
      <c r="CW175" s="57">
        <f>IFERROR($P176/$P175-1,"")</f>
        <v/>
      </c>
      <c r="CX175" s="57">
        <f>IFERROR($Q176/$Q175-1,"")</f>
        <v/>
      </c>
      <c r="CY175" s="57">
        <f>IFERROR($R176/$R175-1,"")</f>
        <v/>
      </c>
      <c r="CZ175" s="57">
        <f>IFERROR($S176/$S175-1,"")</f>
        <v/>
      </c>
      <c r="DA175" s="57">
        <f>IFERROR($T176/$T175-1,"")</f>
        <v/>
      </c>
      <c r="DB175" s="57">
        <f>IFERROR($U176/$U175-1,"")</f>
        <v/>
      </c>
      <c r="DC175" s="57">
        <f>IFERROR($V176/$V175-1,"")</f>
        <v/>
      </c>
      <c r="DD175" s="57">
        <f>IFERROR($W176/$W175-1,"")</f>
        <v/>
      </c>
      <c r="DE175" s="57">
        <f>IFERROR($X176/$X175-1,"")</f>
        <v/>
      </c>
      <c r="DF175" s="57">
        <f>IFERROR($Y176/$Y175-1,"")</f>
        <v/>
      </c>
      <c r="DG175" s="57">
        <f>IFERROR($Z176/$Z175-1,"")</f>
        <v/>
      </c>
      <c r="DH175" s="57">
        <f>IFERROR($AA176/$AA175-1,"")</f>
        <v/>
      </c>
      <c r="DI175" s="57">
        <f>IFERROR($AB176/$AB175-1,"")</f>
        <v/>
      </c>
      <c r="DJ175" s="57">
        <f>IFERROR($AC176/$AC175-1,"")</f>
        <v/>
      </c>
      <c r="DK175" s="57">
        <f>IFERROR($AD176/$AD175-1,"")</f>
        <v/>
      </c>
      <c r="DL175" s="57">
        <f>IFERROR($AE176/$AE175-1,"")</f>
        <v/>
      </c>
      <c r="DM175" s="56">
        <f>$AZ175-$AZ176</f>
        <v/>
      </c>
      <c r="DN175" s="56">
        <f>$BA175-$BA176</f>
        <v/>
      </c>
      <c r="DO175" s="56">
        <f>$BB175-$BB176</f>
        <v/>
      </c>
      <c r="DP175" s="56">
        <f>$BC175-$BC176</f>
        <v/>
      </c>
      <c r="DQ175" s="56">
        <f>$BD175-$BD176</f>
        <v/>
      </c>
      <c r="DR175" s="56">
        <f>$BE175-$BE176</f>
        <v/>
      </c>
      <c r="DS175" s="56">
        <f>$BF175-$BF176</f>
        <v/>
      </c>
      <c r="DT175" s="56">
        <f>$BG175-$BG176</f>
        <v/>
      </c>
      <c r="DU175" s="56">
        <f>$BH175-$BH176</f>
        <v/>
      </c>
      <c r="DV175" s="56">
        <f>$BI175-$BI176</f>
        <v/>
      </c>
      <c r="DW175" s="56">
        <f>$BJ175-$BJ176</f>
        <v/>
      </c>
      <c r="DX175" s="56">
        <f>$BK175-$BK176</f>
        <v/>
      </c>
      <c r="DY175" s="56">
        <f>$BL175-$BL176</f>
        <v/>
      </c>
      <c r="DZ175" s="56">
        <f>$BM175-$BM176</f>
        <v/>
      </c>
      <c r="EA175" s="56">
        <f>$BN175-$BN176</f>
        <v/>
      </c>
      <c r="EB175" s="56">
        <f>$BO175-$BO176</f>
        <v/>
      </c>
      <c r="EC175" s="56">
        <f>$BP175-$BP176</f>
        <v/>
      </c>
      <c r="ED175" s="56">
        <f>$BQ175-$BQ176</f>
        <v/>
      </c>
      <c r="EE175" s="56">
        <f>$BR175-$BR176</f>
        <v/>
      </c>
      <c r="EF175" s="56">
        <f>$BS175-$BS176</f>
        <v/>
      </c>
      <c r="EG175" s="56">
        <f>$BT175-$BT176</f>
        <v/>
      </c>
      <c r="EH175" s="56">
        <f>$BU175-$BU176</f>
        <v/>
      </c>
    </row>
    <row r="176">
      <c r="BV176" s="56">
        <f>($D176-$D177)*100</f>
        <v/>
      </c>
      <c r="BW176" s="56">
        <f>($C176-$C177)*100</f>
        <v/>
      </c>
      <c r="BX176" s="57">
        <f>IFERROR($I176/$I177-1,"")</f>
        <v/>
      </c>
      <c r="BY176" s="56">
        <f>($AF176-$AF177)*100</f>
        <v/>
      </c>
      <c r="BZ176" s="56">
        <f>($AG176-$AG177)*100</f>
        <v/>
      </c>
      <c r="CA176" s="56">
        <f>($AH176-$AH177)*100</f>
        <v/>
      </c>
      <c r="CB176" s="56">
        <f>($AI176-$AI177)*100</f>
        <v/>
      </c>
      <c r="CC176" s="56">
        <f>($AJ176-$AJ177)*100</f>
        <v/>
      </c>
      <c r="CD176" s="56">
        <f>($AK176-$AK177)*100</f>
        <v/>
      </c>
      <c r="CE176" s="56">
        <f>($AL176-$AL177)*100</f>
        <v/>
      </c>
      <c r="CF176" s="56">
        <f>($AM176-$AM177)*100</f>
        <v/>
      </c>
      <c r="CG176" s="56">
        <f>($AN176-$AN177)*100</f>
        <v/>
      </c>
      <c r="CH176" s="56">
        <f>($AO176-$AO177)*100</f>
        <v/>
      </c>
      <c r="CI176" s="56">
        <f>($AP176-$AP177)*100</f>
        <v/>
      </c>
      <c r="CJ176" s="56">
        <f>($AQ176-$AQ177)*100</f>
        <v/>
      </c>
      <c r="CK176" s="56">
        <f>($AR176-$AR177)*100</f>
        <v/>
      </c>
      <c r="CL176" s="56">
        <f>($AS176-$AS177)*100</f>
        <v/>
      </c>
      <c r="CM176" s="56">
        <f>($AT176-$AT177)*100</f>
        <v/>
      </c>
      <c r="CN176" s="56">
        <f>($AU176-$AU177)*100</f>
        <v/>
      </c>
      <c r="CO176" s="56">
        <f>($AV176-$AV177)*100</f>
        <v/>
      </c>
      <c r="CP176" s="56">
        <f>($AW176-$AW177)*100</f>
        <v/>
      </c>
      <c r="CQ176" s="56">
        <f>($AX176-$AX177)*100</f>
        <v/>
      </c>
      <c r="CR176" s="56">
        <f>($AY176-$AY177)*100</f>
        <v/>
      </c>
      <c r="CS176" s="57">
        <f>IFERROR($L177/$L176-1,"")</f>
        <v/>
      </c>
      <c r="CT176" s="57">
        <f>IFERROR($M177/$M176-1,"")</f>
        <v/>
      </c>
      <c r="CU176" s="57">
        <f>IFERROR($N177/$N176-1,"")</f>
        <v/>
      </c>
      <c r="CV176" s="57">
        <f>IFERROR($O177/$O176-1,"")</f>
        <v/>
      </c>
      <c r="CW176" s="57">
        <f>IFERROR($P177/$P176-1,"")</f>
        <v/>
      </c>
      <c r="CX176" s="57">
        <f>IFERROR($Q177/$Q176-1,"")</f>
        <v/>
      </c>
      <c r="CY176" s="57">
        <f>IFERROR($R177/$R176-1,"")</f>
        <v/>
      </c>
      <c r="CZ176" s="57">
        <f>IFERROR($S177/$S176-1,"")</f>
        <v/>
      </c>
      <c r="DA176" s="57">
        <f>IFERROR($T177/$T176-1,"")</f>
        <v/>
      </c>
      <c r="DB176" s="57">
        <f>IFERROR($U177/$U176-1,"")</f>
        <v/>
      </c>
      <c r="DC176" s="57">
        <f>IFERROR($V177/$V176-1,"")</f>
        <v/>
      </c>
      <c r="DD176" s="57">
        <f>IFERROR($W177/$W176-1,"")</f>
        <v/>
      </c>
      <c r="DE176" s="57">
        <f>IFERROR($X177/$X176-1,"")</f>
        <v/>
      </c>
      <c r="DF176" s="57">
        <f>IFERROR($Y177/$Y176-1,"")</f>
        <v/>
      </c>
      <c r="DG176" s="57">
        <f>IFERROR($Z177/$Z176-1,"")</f>
        <v/>
      </c>
      <c r="DH176" s="57">
        <f>IFERROR($AA177/$AA176-1,"")</f>
        <v/>
      </c>
      <c r="DI176" s="57">
        <f>IFERROR($AB177/$AB176-1,"")</f>
        <v/>
      </c>
      <c r="DJ176" s="57">
        <f>IFERROR($AC177/$AC176-1,"")</f>
        <v/>
      </c>
      <c r="DK176" s="57">
        <f>IFERROR($AD177/$AD176-1,"")</f>
        <v/>
      </c>
      <c r="DL176" s="57">
        <f>IFERROR($AE177/$AE176-1,"")</f>
        <v/>
      </c>
      <c r="DM176" s="56">
        <f>$AZ176-$AZ177</f>
        <v/>
      </c>
      <c r="DN176" s="56">
        <f>$BA176-$BA177</f>
        <v/>
      </c>
      <c r="DO176" s="56">
        <f>$BB176-$BB177</f>
        <v/>
      </c>
      <c r="DP176" s="56">
        <f>$BC176-$BC177</f>
        <v/>
      </c>
      <c r="DQ176" s="56">
        <f>$BD176-$BD177</f>
        <v/>
      </c>
      <c r="DR176" s="56">
        <f>$BE176-$BE177</f>
        <v/>
      </c>
      <c r="DS176" s="56">
        <f>$BF176-$BF177</f>
        <v/>
      </c>
      <c r="DT176" s="56">
        <f>$BG176-$BG177</f>
        <v/>
      </c>
      <c r="DU176" s="56">
        <f>$BH176-$BH177</f>
        <v/>
      </c>
      <c r="DV176" s="56">
        <f>$BI176-$BI177</f>
        <v/>
      </c>
      <c r="DW176" s="56">
        <f>$BJ176-$BJ177</f>
        <v/>
      </c>
      <c r="DX176" s="56">
        <f>$BK176-$BK177</f>
        <v/>
      </c>
      <c r="DY176" s="56">
        <f>$BL176-$BL177</f>
        <v/>
      </c>
      <c r="DZ176" s="56">
        <f>$BM176-$BM177</f>
        <v/>
      </c>
      <c r="EA176" s="56">
        <f>$BN176-$BN177</f>
        <v/>
      </c>
      <c r="EB176" s="56">
        <f>$BO176-$BO177</f>
        <v/>
      </c>
      <c r="EC176" s="56">
        <f>$BP176-$BP177</f>
        <v/>
      </c>
      <c r="ED176" s="56">
        <f>$BQ176-$BQ177</f>
        <v/>
      </c>
      <c r="EE176" s="56">
        <f>$BR176-$BR177</f>
        <v/>
      </c>
      <c r="EF176" s="56">
        <f>$BS176-$BS177</f>
        <v/>
      </c>
      <c r="EG176" s="56">
        <f>$BT176-$BT177</f>
        <v/>
      </c>
      <c r="EH176" s="56">
        <f>$BU176-$BU177</f>
        <v/>
      </c>
    </row>
    <row r="177">
      <c r="BV177" s="56">
        <f>($D177-$D178)*100</f>
        <v/>
      </c>
      <c r="BW177" s="56">
        <f>($C177-$C178)*100</f>
        <v/>
      </c>
      <c r="BX177" s="57">
        <f>IFERROR($I177/$I178-1,"")</f>
        <v/>
      </c>
      <c r="BY177" s="56">
        <f>($AF177-$AF178)*100</f>
        <v/>
      </c>
      <c r="BZ177" s="56">
        <f>($AG177-$AG178)*100</f>
        <v/>
      </c>
      <c r="CA177" s="56">
        <f>($AH177-$AH178)*100</f>
        <v/>
      </c>
      <c r="CB177" s="56">
        <f>($AI177-$AI178)*100</f>
        <v/>
      </c>
      <c r="CC177" s="56">
        <f>($AJ177-$AJ178)*100</f>
        <v/>
      </c>
      <c r="CD177" s="56">
        <f>($AK177-$AK178)*100</f>
        <v/>
      </c>
      <c r="CE177" s="56">
        <f>($AL177-$AL178)*100</f>
        <v/>
      </c>
      <c r="CF177" s="56">
        <f>($AM177-$AM178)*100</f>
        <v/>
      </c>
      <c r="CG177" s="56">
        <f>($AN177-$AN178)*100</f>
        <v/>
      </c>
      <c r="CH177" s="56">
        <f>($AO177-$AO178)*100</f>
        <v/>
      </c>
      <c r="CI177" s="56">
        <f>($AP177-$AP178)*100</f>
        <v/>
      </c>
      <c r="CJ177" s="56">
        <f>($AQ177-$AQ178)*100</f>
        <v/>
      </c>
      <c r="CK177" s="56">
        <f>($AR177-$AR178)*100</f>
        <v/>
      </c>
      <c r="CL177" s="56">
        <f>($AS177-$AS178)*100</f>
        <v/>
      </c>
      <c r="CM177" s="56">
        <f>($AT177-$AT178)*100</f>
        <v/>
      </c>
      <c r="CN177" s="56">
        <f>($AU177-$AU178)*100</f>
        <v/>
      </c>
      <c r="CO177" s="56">
        <f>($AV177-$AV178)*100</f>
        <v/>
      </c>
      <c r="CP177" s="56">
        <f>($AW177-$AW178)*100</f>
        <v/>
      </c>
      <c r="CQ177" s="56">
        <f>($AX177-$AX178)*100</f>
        <v/>
      </c>
      <c r="CR177" s="56">
        <f>($AY177-$AY178)*100</f>
        <v/>
      </c>
      <c r="CS177" s="57">
        <f>IFERROR($L178/$L177-1,"")</f>
        <v/>
      </c>
      <c r="CT177" s="57">
        <f>IFERROR($M178/$M177-1,"")</f>
        <v/>
      </c>
      <c r="CU177" s="57">
        <f>IFERROR($N178/$N177-1,"")</f>
        <v/>
      </c>
      <c r="CV177" s="57">
        <f>IFERROR($O178/$O177-1,"")</f>
        <v/>
      </c>
      <c r="CW177" s="57">
        <f>IFERROR($P178/$P177-1,"")</f>
        <v/>
      </c>
      <c r="CX177" s="57">
        <f>IFERROR($Q178/$Q177-1,"")</f>
        <v/>
      </c>
      <c r="CY177" s="57">
        <f>IFERROR($R178/$R177-1,"")</f>
        <v/>
      </c>
      <c r="CZ177" s="57">
        <f>IFERROR($S178/$S177-1,"")</f>
        <v/>
      </c>
      <c r="DA177" s="57">
        <f>IFERROR($T178/$T177-1,"")</f>
        <v/>
      </c>
      <c r="DB177" s="57">
        <f>IFERROR($U178/$U177-1,"")</f>
        <v/>
      </c>
      <c r="DC177" s="57">
        <f>IFERROR($V178/$V177-1,"")</f>
        <v/>
      </c>
      <c r="DD177" s="57">
        <f>IFERROR($W178/$W177-1,"")</f>
        <v/>
      </c>
      <c r="DE177" s="57">
        <f>IFERROR($X178/$X177-1,"")</f>
        <v/>
      </c>
      <c r="DF177" s="57">
        <f>IFERROR($Y178/$Y177-1,"")</f>
        <v/>
      </c>
      <c r="DG177" s="57">
        <f>IFERROR($Z178/$Z177-1,"")</f>
        <v/>
      </c>
      <c r="DH177" s="57">
        <f>IFERROR($AA178/$AA177-1,"")</f>
        <v/>
      </c>
      <c r="DI177" s="57">
        <f>IFERROR($AB178/$AB177-1,"")</f>
        <v/>
      </c>
      <c r="DJ177" s="57">
        <f>IFERROR($AC178/$AC177-1,"")</f>
        <v/>
      </c>
      <c r="DK177" s="57">
        <f>IFERROR($AD178/$AD177-1,"")</f>
        <v/>
      </c>
      <c r="DL177" s="57">
        <f>IFERROR($AE178/$AE177-1,"")</f>
        <v/>
      </c>
      <c r="DM177" s="56">
        <f>$AZ177-$AZ178</f>
        <v/>
      </c>
      <c r="DN177" s="56">
        <f>$BA177-$BA178</f>
        <v/>
      </c>
      <c r="DO177" s="56">
        <f>$BB177-$BB178</f>
        <v/>
      </c>
      <c r="DP177" s="56">
        <f>$BC177-$BC178</f>
        <v/>
      </c>
      <c r="DQ177" s="56">
        <f>$BD177-$BD178</f>
        <v/>
      </c>
      <c r="DR177" s="56">
        <f>$BE177-$BE178</f>
        <v/>
      </c>
      <c r="DS177" s="56">
        <f>$BF177-$BF178</f>
        <v/>
      </c>
      <c r="DT177" s="56">
        <f>$BG177-$BG178</f>
        <v/>
      </c>
      <c r="DU177" s="56">
        <f>$BH177-$BH178</f>
        <v/>
      </c>
      <c r="DV177" s="56">
        <f>$BI177-$BI178</f>
        <v/>
      </c>
      <c r="DW177" s="56">
        <f>$BJ177-$BJ178</f>
        <v/>
      </c>
      <c r="DX177" s="56">
        <f>$BK177-$BK178</f>
        <v/>
      </c>
      <c r="DY177" s="56">
        <f>$BL177-$BL178</f>
        <v/>
      </c>
      <c r="DZ177" s="56">
        <f>$BM177-$BM178</f>
        <v/>
      </c>
      <c r="EA177" s="56">
        <f>$BN177-$BN178</f>
        <v/>
      </c>
      <c r="EB177" s="56">
        <f>$BO177-$BO178</f>
        <v/>
      </c>
      <c r="EC177" s="56">
        <f>$BP177-$BP178</f>
        <v/>
      </c>
      <c r="ED177" s="56">
        <f>$BQ177-$BQ178</f>
        <v/>
      </c>
      <c r="EE177" s="56">
        <f>$BR177-$BR178</f>
        <v/>
      </c>
      <c r="EF177" s="56">
        <f>$BS177-$BS178</f>
        <v/>
      </c>
      <c r="EG177" s="56">
        <f>$BT177-$BT178</f>
        <v/>
      </c>
      <c r="EH177" s="56">
        <f>$BU177-$BU178</f>
        <v/>
      </c>
    </row>
    <row r="178">
      <c r="BV178" s="56">
        <f>($D178-$D179)*100</f>
        <v/>
      </c>
      <c r="BW178" s="56">
        <f>($C178-$C179)*100</f>
        <v/>
      </c>
      <c r="BX178" s="57">
        <f>IFERROR($I178/$I179-1,"")</f>
        <v/>
      </c>
      <c r="BY178" s="56">
        <f>($AF178-$AF179)*100</f>
        <v/>
      </c>
      <c r="BZ178" s="56">
        <f>($AG178-$AG179)*100</f>
        <v/>
      </c>
      <c r="CA178" s="56">
        <f>($AH178-$AH179)*100</f>
        <v/>
      </c>
      <c r="CB178" s="56">
        <f>($AI178-$AI179)*100</f>
        <v/>
      </c>
      <c r="CC178" s="56">
        <f>($AJ178-$AJ179)*100</f>
        <v/>
      </c>
      <c r="CD178" s="56">
        <f>($AK178-$AK179)*100</f>
        <v/>
      </c>
      <c r="CE178" s="56">
        <f>($AL178-$AL179)*100</f>
        <v/>
      </c>
      <c r="CF178" s="56">
        <f>($AM178-$AM179)*100</f>
        <v/>
      </c>
      <c r="CG178" s="56">
        <f>($AN178-$AN179)*100</f>
        <v/>
      </c>
      <c r="CH178" s="56">
        <f>($AO178-$AO179)*100</f>
        <v/>
      </c>
      <c r="CI178" s="56">
        <f>($AP178-$AP179)*100</f>
        <v/>
      </c>
      <c r="CJ178" s="56">
        <f>($AQ178-$AQ179)*100</f>
        <v/>
      </c>
      <c r="CK178" s="56">
        <f>($AR178-$AR179)*100</f>
        <v/>
      </c>
      <c r="CL178" s="56">
        <f>($AS178-$AS179)*100</f>
        <v/>
      </c>
      <c r="CM178" s="56">
        <f>($AT178-$AT179)*100</f>
        <v/>
      </c>
      <c r="CN178" s="56">
        <f>($AU178-$AU179)*100</f>
        <v/>
      </c>
      <c r="CO178" s="56">
        <f>($AV178-$AV179)*100</f>
        <v/>
      </c>
      <c r="CP178" s="56">
        <f>($AW178-$AW179)*100</f>
        <v/>
      </c>
      <c r="CQ178" s="56">
        <f>($AX178-$AX179)*100</f>
        <v/>
      </c>
      <c r="CR178" s="56">
        <f>($AY178-$AY179)*100</f>
        <v/>
      </c>
      <c r="CS178" s="57">
        <f>IFERROR($L179/$L178-1,"")</f>
        <v/>
      </c>
      <c r="CT178" s="57">
        <f>IFERROR($M179/$M178-1,"")</f>
        <v/>
      </c>
      <c r="CU178" s="57">
        <f>IFERROR($N179/$N178-1,"")</f>
        <v/>
      </c>
      <c r="CV178" s="57">
        <f>IFERROR($O179/$O178-1,"")</f>
        <v/>
      </c>
      <c r="CW178" s="57">
        <f>IFERROR($P179/$P178-1,"")</f>
        <v/>
      </c>
      <c r="CX178" s="57">
        <f>IFERROR($Q179/$Q178-1,"")</f>
        <v/>
      </c>
      <c r="CY178" s="57">
        <f>IFERROR($R179/$R178-1,"")</f>
        <v/>
      </c>
      <c r="CZ178" s="57">
        <f>IFERROR($S179/$S178-1,"")</f>
        <v/>
      </c>
      <c r="DA178" s="57">
        <f>IFERROR($T179/$T178-1,"")</f>
        <v/>
      </c>
      <c r="DB178" s="57">
        <f>IFERROR($U179/$U178-1,"")</f>
        <v/>
      </c>
      <c r="DC178" s="57">
        <f>IFERROR($V179/$V178-1,"")</f>
        <v/>
      </c>
      <c r="DD178" s="57">
        <f>IFERROR($W179/$W178-1,"")</f>
        <v/>
      </c>
      <c r="DE178" s="57">
        <f>IFERROR($X179/$X178-1,"")</f>
        <v/>
      </c>
      <c r="DF178" s="57">
        <f>IFERROR($Y179/$Y178-1,"")</f>
        <v/>
      </c>
      <c r="DG178" s="57">
        <f>IFERROR($Z179/$Z178-1,"")</f>
        <v/>
      </c>
      <c r="DH178" s="57">
        <f>IFERROR($AA179/$AA178-1,"")</f>
        <v/>
      </c>
      <c r="DI178" s="57">
        <f>IFERROR($AB179/$AB178-1,"")</f>
        <v/>
      </c>
      <c r="DJ178" s="57">
        <f>IFERROR($AC179/$AC178-1,"")</f>
        <v/>
      </c>
      <c r="DK178" s="57">
        <f>IFERROR($AD179/$AD178-1,"")</f>
        <v/>
      </c>
      <c r="DL178" s="57">
        <f>IFERROR($AE179/$AE178-1,"")</f>
        <v/>
      </c>
      <c r="DM178" s="56">
        <f>$AZ178-$AZ179</f>
        <v/>
      </c>
      <c r="DN178" s="56">
        <f>$BA178-$BA179</f>
        <v/>
      </c>
      <c r="DO178" s="56">
        <f>$BB178-$BB179</f>
        <v/>
      </c>
      <c r="DP178" s="56">
        <f>$BC178-$BC179</f>
        <v/>
      </c>
      <c r="DQ178" s="56">
        <f>$BD178-$BD179</f>
        <v/>
      </c>
      <c r="DR178" s="56">
        <f>$BE178-$BE179</f>
        <v/>
      </c>
      <c r="DS178" s="56">
        <f>$BF178-$BF179</f>
        <v/>
      </c>
      <c r="DT178" s="56">
        <f>$BG178-$BG179</f>
        <v/>
      </c>
      <c r="DU178" s="56">
        <f>$BH178-$BH179</f>
        <v/>
      </c>
      <c r="DV178" s="56">
        <f>$BI178-$BI179</f>
        <v/>
      </c>
      <c r="DW178" s="56">
        <f>$BJ178-$BJ179</f>
        <v/>
      </c>
      <c r="DX178" s="56">
        <f>$BK178-$BK179</f>
        <v/>
      </c>
      <c r="DY178" s="56">
        <f>$BL178-$BL179</f>
        <v/>
      </c>
      <c r="DZ178" s="56">
        <f>$BM178-$BM179</f>
        <v/>
      </c>
      <c r="EA178" s="56">
        <f>$BN178-$BN179</f>
        <v/>
      </c>
      <c r="EB178" s="56">
        <f>$BO178-$BO179</f>
        <v/>
      </c>
      <c r="EC178" s="56">
        <f>$BP178-$BP179</f>
        <v/>
      </c>
      <c r="ED178" s="56">
        <f>$BQ178-$BQ179</f>
        <v/>
      </c>
      <c r="EE178" s="56">
        <f>$BR178-$BR179</f>
        <v/>
      </c>
      <c r="EF178" s="56">
        <f>$BS178-$BS179</f>
        <v/>
      </c>
      <c r="EG178" s="56">
        <f>$BT178-$BT179</f>
        <v/>
      </c>
      <c r="EH178" s="56">
        <f>$BU178-$BU179</f>
        <v/>
      </c>
    </row>
    <row r="179">
      <c r="BV179" s="56">
        <f>($D179-$D180)*100</f>
        <v/>
      </c>
      <c r="BW179" s="56">
        <f>($C179-$C180)*100</f>
        <v/>
      </c>
      <c r="BX179" s="57">
        <f>IFERROR($I179/$I180-1,"")</f>
        <v/>
      </c>
      <c r="BY179" s="56">
        <f>($AF179-$AF180)*100</f>
        <v/>
      </c>
      <c r="BZ179" s="56">
        <f>($AG179-$AG180)*100</f>
        <v/>
      </c>
      <c r="CA179" s="56">
        <f>($AH179-$AH180)*100</f>
        <v/>
      </c>
      <c r="CB179" s="56">
        <f>($AI179-$AI180)*100</f>
        <v/>
      </c>
      <c r="CC179" s="56">
        <f>($AJ179-$AJ180)*100</f>
        <v/>
      </c>
      <c r="CD179" s="56">
        <f>($AK179-$AK180)*100</f>
        <v/>
      </c>
      <c r="CE179" s="56">
        <f>($AL179-$AL180)*100</f>
        <v/>
      </c>
      <c r="CF179" s="56">
        <f>($AM179-$AM180)*100</f>
        <v/>
      </c>
      <c r="CG179" s="56">
        <f>($AN179-$AN180)*100</f>
        <v/>
      </c>
      <c r="CH179" s="56">
        <f>($AO179-$AO180)*100</f>
        <v/>
      </c>
      <c r="CI179" s="56">
        <f>($AP179-$AP180)*100</f>
        <v/>
      </c>
      <c r="CJ179" s="56">
        <f>($AQ179-$AQ180)*100</f>
        <v/>
      </c>
      <c r="CK179" s="56">
        <f>($AR179-$AR180)*100</f>
        <v/>
      </c>
      <c r="CL179" s="56">
        <f>($AS179-$AS180)*100</f>
        <v/>
      </c>
      <c r="CM179" s="56">
        <f>($AT179-$AT180)*100</f>
        <v/>
      </c>
      <c r="CN179" s="56">
        <f>($AU179-$AU180)*100</f>
        <v/>
      </c>
      <c r="CO179" s="56">
        <f>($AV179-$AV180)*100</f>
        <v/>
      </c>
      <c r="CP179" s="56">
        <f>($AW179-$AW180)*100</f>
        <v/>
      </c>
      <c r="CQ179" s="56">
        <f>($AX179-$AX180)*100</f>
        <v/>
      </c>
      <c r="CR179" s="56">
        <f>($AY179-$AY180)*100</f>
        <v/>
      </c>
      <c r="CS179" s="57">
        <f>IFERROR($L180/$L179-1,"")</f>
        <v/>
      </c>
      <c r="CT179" s="57">
        <f>IFERROR($M180/$M179-1,"")</f>
        <v/>
      </c>
      <c r="CU179" s="57">
        <f>IFERROR($N180/$N179-1,"")</f>
        <v/>
      </c>
      <c r="CV179" s="57">
        <f>IFERROR($O180/$O179-1,"")</f>
        <v/>
      </c>
      <c r="CW179" s="57">
        <f>IFERROR($P180/$P179-1,"")</f>
        <v/>
      </c>
      <c r="CX179" s="57">
        <f>IFERROR($Q180/$Q179-1,"")</f>
        <v/>
      </c>
      <c r="CY179" s="57">
        <f>IFERROR($R180/$R179-1,"")</f>
        <v/>
      </c>
      <c r="CZ179" s="57">
        <f>IFERROR($S180/$S179-1,"")</f>
        <v/>
      </c>
      <c r="DA179" s="57">
        <f>IFERROR($T180/$T179-1,"")</f>
        <v/>
      </c>
      <c r="DB179" s="57">
        <f>IFERROR($U180/$U179-1,"")</f>
        <v/>
      </c>
      <c r="DC179" s="57">
        <f>IFERROR($V180/$V179-1,"")</f>
        <v/>
      </c>
      <c r="DD179" s="57">
        <f>IFERROR($W180/$W179-1,"")</f>
        <v/>
      </c>
      <c r="DE179" s="57">
        <f>IFERROR($X180/$X179-1,"")</f>
        <v/>
      </c>
      <c r="DF179" s="57">
        <f>IFERROR($Y180/$Y179-1,"")</f>
        <v/>
      </c>
      <c r="DG179" s="57">
        <f>IFERROR($Z180/$Z179-1,"")</f>
        <v/>
      </c>
      <c r="DH179" s="57">
        <f>IFERROR($AA180/$AA179-1,"")</f>
        <v/>
      </c>
      <c r="DI179" s="57">
        <f>IFERROR($AB180/$AB179-1,"")</f>
        <v/>
      </c>
      <c r="DJ179" s="57">
        <f>IFERROR($AC180/$AC179-1,"")</f>
        <v/>
      </c>
      <c r="DK179" s="57">
        <f>IFERROR($AD180/$AD179-1,"")</f>
        <v/>
      </c>
      <c r="DL179" s="57">
        <f>IFERROR($AE180/$AE179-1,"")</f>
        <v/>
      </c>
      <c r="DM179" s="56">
        <f>$AZ179-$AZ180</f>
        <v/>
      </c>
      <c r="DN179" s="56">
        <f>$BA179-$BA180</f>
        <v/>
      </c>
      <c r="DO179" s="56">
        <f>$BB179-$BB180</f>
        <v/>
      </c>
      <c r="DP179" s="56">
        <f>$BC179-$BC180</f>
        <v/>
      </c>
      <c r="DQ179" s="56">
        <f>$BD179-$BD180</f>
        <v/>
      </c>
      <c r="DR179" s="56">
        <f>$BE179-$BE180</f>
        <v/>
      </c>
      <c r="DS179" s="56">
        <f>$BF179-$BF180</f>
        <v/>
      </c>
      <c r="DT179" s="56">
        <f>$BG179-$BG180</f>
        <v/>
      </c>
      <c r="DU179" s="56">
        <f>$BH179-$BH180</f>
        <v/>
      </c>
      <c r="DV179" s="56">
        <f>$BI179-$BI180</f>
        <v/>
      </c>
      <c r="DW179" s="56">
        <f>$BJ179-$BJ180</f>
        <v/>
      </c>
      <c r="DX179" s="56">
        <f>$BK179-$BK180</f>
        <v/>
      </c>
      <c r="DY179" s="56">
        <f>$BL179-$BL180</f>
        <v/>
      </c>
      <c r="DZ179" s="56">
        <f>$BM179-$BM180</f>
        <v/>
      </c>
      <c r="EA179" s="56">
        <f>$BN179-$BN180</f>
        <v/>
      </c>
      <c r="EB179" s="56">
        <f>$BO179-$BO180</f>
        <v/>
      </c>
      <c r="EC179" s="56">
        <f>$BP179-$BP180</f>
        <v/>
      </c>
      <c r="ED179" s="56">
        <f>$BQ179-$BQ180</f>
        <v/>
      </c>
      <c r="EE179" s="56">
        <f>$BR179-$BR180</f>
        <v/>
      </c>
      <c r="EF179" s="56">
        <f>$BS179-$BS180</f>
        <v/>
      </c>
      <c r="EG179" s="56">
        <f>$BT179-$BT180</f>
        <v/>
      </c>
      <c r="EH179" s="56">
        <f>$BU179-$BU180</f>
        <v/>
      </c>
    </row>
    <row r="180">
      <c r="BV180" s="56">
        <f>($D180-$D181)*100</f>
        <v/>
      </c>
      <c r="BW180" s="56">
        <f>($C180-$C181)*100</f>
        <v/>
      </c>
      <c r="BX180" s="57">
        <f>IFERROR($I180/$I181-1,"")</f>
        <v/>
      </c>
      <c r="BY180" s="56">
        <f>($AF180-$AF181)*100</f>
        <v/>
      </c>
      <c r="BZ180" s="56">
        <f>($AG180-$AG181)*100</f>
        <v/>
      </c>
      <c r="CA180" s="56">
        <f>($AH180-$AH181)*100</f>
        <v/>
      </c>
      <c r="CB180" s="56">
        <f>($AI180-$AI181)*100</f>
        <v/>
      </c>
      <c r="CC180" s="56">
        <f>($AJ180-$AJ181)*100</f>
        <v/>
      </c>
      <c r="CD180" s="56">
        <f>($AK180-$AK181)*100</f>
        <v/>
      </c>
      <c r="CE180" s="56">
        <f>($AL180-$AL181)*100</f>
        <v/>
      </c>
      <c r="CF180" s="56">
        <f>($AM180-$AM181)*100</f>
        <v/>
      </c>
      <c r="CG180" s="56">
        <f>($AN180-$AN181)*100</f>
        <v/>
      </c>
      <c r="CH180" s="56">
        <f>($AO180-$AO181)*100</f>
        <v/>
      </c>
      <c r="CI180" s="56">
        <f>($AP180-$AP181)*100</f>
        <v/>
      </c>
      <c r="CJ180" s="56">
        <f>($AQ180-$AQ181)*100</f>
        <v/>
      </c>
      <c r="CK180" s="56">
        <f>($AR180-$AR181)*100</f>
        <v/>
      </c>
      <c r="CL180" s="56">
        <f>($AS180-$AS181)*100</f>
        <v/>
      </c>
      <c r="CM180" s="56">
        <f>($AT180-$AT181)*100</f>
        <v/>
      </c>
      <c r="CN180" s="56">
        <f>($AU180-$AU181)*100</f>
        <v/>
      </c>
      <c r="CO180" s="56">
        <f>($AV180-$AV181)*100</f>
        <v/>
      </c>
      <c r="CP180" s="56">
        <f>($AW180-$AW181)*100</f>
        <v/>
      </c>
      <c r="CQ180" s="56">
        <f>($AX180-$AX181)*100</f>
        <v/>
      </c>
      <c r="CR180" s="56">
        <f>($AY180-$AY181)*100</f>
        <v/>
      </c>
      <c r="CS180" s="57">
        <f>IFERROR($L181/$L180-1,"")</f>
        <v/>
      </c>
      <c r="CT180" s="57">
        <f>IFERROR($M181/$M180-1,"")</f>
        <v/>
      </c>
      <c r="CU180" s="57">
        <f>IFERROR($N181/$N180-1,"")</f>
        <v/>
      </c>
      <c r="CV180" s="57">
        <f>IFERROR($O181/$O180-1,"")</f>
        <v/>
      </c>
      <c r="CW180" s="57">
        <f>IFERROR($P181/$P180-1,"")</f>
        <v/>
      </c>
      <c r="CX180" s="57">
        <f>IFERROR($Q181/$Q180-1,"")</f>
        <v/>
      </c>
      <c r="CY180" s="57">
        <f>IFERROR($R181/$R180-1,"")</f>
        <v/>
      </c>
      <c r="CZ180" s="57">
        <f>IFERROR($S181/$S180-1,"")</f>
        <v/>
      </c>
      <c r="DA180" s="57">
        <f>IFERROR($T181/$T180-1,"")</f>
        <v/>
      </c>
      <c r="DB180" s="57">
        <f>IFERROR($U181/$U180-1,"")</f>
        <v/>
      </c>
      <c r="DC180" s="57">
        <f>IFERROR($V181/$V180-1,"")</f>
        <v/>
      </c>
      <c r="DD180" s="57">
        <f>IFERROR($W181/$W180-1,"")</f>
        <v/>
      </c>
      <c r="DE180" s="57">
        <f>IFERROR($X181/$X180-1,"")</f>
        <v/>
      </c>
      <c r="DF180" s="57">
        <f>IFERROR($Y181/$Y180-1,"")</f>
        <v/>
      </c>
      <c r="DG180" s="57">
        <f>IFERROR($Z181/$Z180-1,"")</f>
        <v/>
      </c>
      <c r="DH180" s="57">
        <f>IFERROR($AA181/$AA180-1,"")</f>
        <v/>
      </c>
      <c r="DI180" s="57">
        <f>IFERROR($AB181/$AB180-1,"")</f>
        <v/>
      </c>
      <c r="DJ180" s="57">
        <f>IFERROR($AC181/$AC180-1,"")</f>
        <v/>
      </c>
      <c r="DK180" s="57">
        <f>IFERROR($AD181/$AD180-1,"")</f>
        <v/>
      </c>
      <c r="DL180" s="57">
        <f>IFERROR($AE181/$AE180-1,"")</f>
        <v/>
      </c>
      <c r="DM180" s="56">
        <f>$AZ180-$AZ181</f>
        <v/>
      </c>
      <c r="DN180" s="56">
        <f>$BA180-$BA181</f>
        <v/>
      </c>
      <c r="DO180" s="56">
        <f>$BB180-$BB181</f>
        <v/>
      </c>
      <c r="DP180" s="56">
        <f>$BC180-$BC181</f>
        <v/>
      </c>
      <c r="DQ180" s="56">
        <f>$BD180-$BD181</f>
        <v/>
      </c>
      <c r="DR180" s="56">
        <f>$BE180-$BE181</f>
        <v/>
      </c>
      <c r="DS180" s="56">
        <f>$BF180-$BF181</f>
        <v/>
      </c>
      <c r="DT180" s="56">
        <f>$BG180-$BG181</f>
        <v/>
      </c>
      <c r="DU180" s="56">
        <f>$BH180-$BH181</f>
        <v/>
      </c>
      <c r="DV180" s="56">
        <f>$BI180-$BI181</f>
        <v/>
      </c>
      <c r="DW180" s="56">
        <f>$BJ180-$BJ181</f>
        <v/>
      </c>
      <c r="DX180" s="56">
        <f>$BK180-$BK181</f>
        <v/>
      </c>
      <c r="DY180" s="56">
        <f>$BL180-$BL181</f>
        <v/>
      </c>
      <c r="DZ180" s="56">
        <f>$BM180-$BM181</f>
        <v/>
      </c>
      <c r="EA180" s="56">
        <f>$BN180-$BN181</f>
        <v/>
      </c>
      <c r="EB180" s="56">
        <f>$BO180-$BO181</f>
        <v/>
      </c>
      <c r="EC180" s="56">
        <f>$BP180-$BP181</f>
        <v/>
      </c>
      <c r="ED180" s="56">
        <f>$BQ180-$BQ181</f>
        <v/>
      </c>
      <c r="EE180" s="56">
        <f>$BR180-$BR181</f>
        <v/>
      </c>
      <c r="EF180" s="56">
        <f>$BS180-$BS181</f>
        <v/>
      </c>
      <c r="EG180" s="56">
        <f>$BT180-$BT181</f>
        <v/>
      </c>
      <c r="EH180" s="56">
        <f>$BU180-$BU181</f>
        <v/>
      </c>
    </row>
    <row r="181">
      <c r="BV181" s="56">
        <f>($D181-$D182)*100</f>
        <v/>
      </c>
      <c r="BW181" s="56">
        <f>($C181-$C182)*100</f>
        <v/>
      </c>
      <c r="BX181" s="57">
        <f>IFERROR($I181/$I182-1,"")</f>
        <v/>
      </c>
      <c r="BY181" s="56">
        <f>($AF181-$AF182)*100</f>
        <v/>
      </c>
      <c r="BZ181" s="56">
        <f>($AG181-$AG182)*100</f>
        <v/>
      </c>
      <c r="CA181" s="56">
        <f>($AH181-$AH182)*100</f>
        <v/>
      </c>
      <c r="CB181" s="56">
        <f>($AI181-$AI182)*100</f>
        <v/>
      </c>
      <c r="CC181" s="56">
        <f>($AJ181-$AJ182)*100</f>
        <v/>
      </c>
      <c r="CD181" s="56">
        <f>($AK181-$AK182)*100</f>
        <v/>
      </c>
      <c r="CE181" s="56">
        <f>($AL181-$AL182)*100</f>
        <v/>
      </c>
      <c r="CF181" s="56">
        <f>($AM181-$AM182)*100</f>
        <v/>
      </c>
      <c r="CG181" s="56">
        <f>($AN181-$AN182)*100</f>
        <v/>
      </c>
      <c r="CH181" s="56">
        <f>($AO181-$AO182)*100</f>
        <v/>
      </c>
      <c r="CI181" s="56">
        <f>($AP181-$AP182)*100</f>
        <v/>
      </c>
      <c r="CJ181" s="56">
        <f>($AQ181-$AQ182)*100</f>
        <v/>
      </c>
      <c r="CK181" s="56">
        <f>($AR181-$AR182)*100</f>
        <v/>
      </c>
      <c r="CL181" s="56">
        <f>($AS181-$AS182)*100</f>
        <v/>
      </c>
      <c r="CM181" s="56">
        <f>($AT181-$AT182)*100</f>
        <v/>
      </c>
      <c r="CN181" s="56">
        <f>($AU181-$AU182)*100</f>
        <v/>
      </c>
      <c r="CO181" s="56">
        <f>($AV181-$AV182)*100</f>
        <v/>
      </c>
      <c r="CP181" s="56">
        <f>($AW181-$AW182)*100</f>
        <v/>
      </c>
      <c r="CQ181" s="56">
        <f>($AX181-$AX182)*100</f>
        <v/>
      </c>
      <c r="CR181" s="56">
        <f>($AY181-$AY182)*100</f>
        <v/>
      </c>
      <c r="CS181" s="57">
        <f>IFERROR($L182/$L181-1,"")</f>
        <v/>
      </c>
      <c r="CT181" s="57">
        <f>IFERROR($M182/$M181-1,"")</f>
        <v/>
      </c>
      <c r="CU181" s="57">
        <f>IFERROR($N182/$N181-1,"")</f>
        <v/>
      </c>
      <c r="CV181" s="57">
        <f>IFERROR($O182/$O181-1,"")</f>
        <v/>
      </c>
      <c r="CW181" s="57">
        <f>IFERROR($P182/$P181-1,"")</f>
        <v/>
      </c>
      <c r="CX181" s="57">
        <f>IFERROR($Q182/$Q181-1,"")</f>
        <v/>
      </c>
      <c r="CY181" s="57">
        <f>IFERROR($R182/$R181-1,"")</f>
        <v/>
      </c>
      <c r="CZ181" s="57">
        <f>IFERROR($S182/$S181-1,"")</f>
        <v/>
      </c>
      <c r="DA181" s="57">
        <f>IFERROR($T182/$T181-1,"")</f>
        <v/>
      </c>
      <c r="DB181" s="57">
        <f>IFERROR($U182/$U181-1,"")</f>
        <v/>
      </c>
      <c r="DC181" s="57">
        <f>IFERROR($V182/$V181-1,"")</f>
        <v/>
      </c>
      <c r="DD181" s="57">
        <f>IFERROR($W182/$W181-1,"")</f>
        <v/>
      </c>
      <c r="DE181" s="57">
        <f>IFERROR($X182/$X181-1,"")</f>
        <v/>
      </c>
      <c r="DF181" s="57">
        <f>IFERROR($Y182/$Y181-1,"")</f>
        <v/>
      </c>
      <c r="DG181" s="57">
        <f>IFERROR($Z182/$Z181-1,"")</f>
        <v/>
      </c>
      <c r="DH181" s="57">
        <f>IFERROR($AA182/$AA181-1,"")</f>
        <v/>
      </c>
      <c r="DI181" s="57">
        <f>IFERROR($AB182/$AB181-1,"")</f>
        <v/>
      </c>
      <c r="DJ181" s="57">
        <f>IFERROR($AC182/$AC181-1,"")</f>
        <v/>
      </c>
      <c r="DK181" s="57">
        <f>IFERROR($AD182/$AD181-1,"")</f>
        <v/>
      </c>
      <c r="DL181" s="57">
        <f>IFERROR($AE182/$AE181-1,"")</f>
        <v/>
      </c>
      <c r="DM181" s="56">
        <f>$AZ181-$AZ182</f>
        <v/>
      </c>
      <c r="DN181" s="56">
        <f>$BA181-$BA182</f>
        <v/>
      </c>
      <c r="DO181" s="56">
        <f>$BB181-$BB182</f>
        <v/>
      </c>
      <c r="DP181" s="56">
        <f>$BC181-$BC182</f>
        <v/>
      </c>
      <c r="DQ181" s="56">
        <f>$BD181-$BD182</f>
        <v/>
      </c>
      <c r="DR181" s="56">
        <f>$BE181-$BE182</f>
        <v/>
      </c>
      <c r="DS181" s="56">
        <f>$BF181-$BF182</f>
        <v/>
      </c>
      <c r="DT181" s="56">
        <f>$BG181-$BG182</f>
        <v/>
      </c>
      <c r="DU181" s="56">
        <f>$BH181-$BH182</f>
        <v/>
      </c>
      <c r="DV181" s="56">
        <f>$BI181-$BI182</f>
        <v/>
      </c>
      <c r="DW181" s="56">
        <f>$BJ181-$BJ182</f>
        <v/>
      </c>
      <c r="DX181" s="56">
        <f>$BK181-$BK182</f>
        <v/>
      </c>
      <c r="DY181" s="56">
        <f>$BL181-$BL182</f>
        <v/>
      </c>
      <c r="DZ181" s="56">
        <f>$BM181-$BM182</f>
        <v/>
      </c>
      <c r="EA181" s="56">
        <f>$BN181-$BN182</f>
        <v/>
      </c>
      <c r="EB181" s="56">
        <f>$BO181-$BO182</f>
        <v/>
      </c>
      <c r="EC181" s="56">
        <f>$BP181-$BP182</f>
        <v/>
      </c>
      <c r="ED181" s="56">
        <f>$BQ181-$BQ182</f>
        <v/>
      </c>
      <c r="EE181" s="56">
        <f>$BR181-$BR182</f>
        <v/>
      </c>
      <c r="EF181" s="56">
        <f>$BS181-$BS182</f>
        <v/>
      </c>
      <c r="EG181" s="56">
        <f>$BT181-$BT182</f>
        <v/>
      </c>
      <c r="EH181" s="56">
        <f>$BU181-$BU182</f>
        <v/>
      </c>
    </row>
    <row r="182">
      <c r="BV182" s="56">
        <f>($D182-$D183)*100</f>
        <v/>
      </c>
      <c r="BW182" s="56">
        <f>($C182-$C183)*100</f>
        <v/>
      </c>
      <c r="BX182" s="57">
        <f>IFERROR($I182/$I183-1,"")</f>
        <v/>
      </c>
      <c r="BY182" s="56">
        <f>($AF182-$AF183)*100</f>
        <v/>
      </c>
      <c r="BZ182" s="56">
        <f>($AG182-$AG183)*100</f>
        <v/>
      </c>
      <c r="CA182" s="56">
        <f>($AH182-$AH183)*100</f>
        <v/>
      </c>
      <c r="CB182" s="56">
        <f>($AI182-$AI183)*100</f>
        <v/>
      </c>
      <c r="CC182" s="56">
        <f>($AJ182-$AJ183)*100</f>
        <v/>
      </c>
      <c r="CD182" s="56">
        <f>($AK182-$AK183)*100</f>
        <v/>
      </c>
      <c r="CE182" s="56">
        <f>($AL182-$AL183)*100</f>
        <v/>
      </c>
      <c r="CF182" s="56">
        <f>($AM182-$AM183)*100</f>
        <v/>
      </c>
      <c r="CG182" s="56">
        <f>($AN182-$AN183)*100</f>
        <v/>
      </c>
      <c r="CH182" s="56">
        <f>($AO182-$AO183)*100</f>
        <v/>
      </c>
      <c r="CI182" s="56">
        <f>($AP182-$AP183)*100</f>
        <v/>
      </c>
      <c r="CJ182" s="56">
        <f>($AQ182-$AQ183)*100</f>
        <v/>
      </c>
      <c r="CK182" s="56">
        <f>($AR182-$AR183)*100</f>
        <v/>
      </c>
      <c r="CL182" s="56">
        <f>($AS182-$AS183)*100</f>
        <v/>
      </c>
      <c r="CM182" s="56">
        <f>($AT182-$AT183)*100</f>
        <v/>
      </c>
      <c r="CN182" s="56">
        <f>($AU182-$AU183)*100</f>
        <v/>
      </c>
      <c r="CO182" s="56">
        <f>($AV182-$AV183)*100</f>
        <v/>
      </c>
      <c r="CP182" s="56">
        <f>($AW182-$AW183)*100</f>
        <v/>
      </c>
      <c r="CQ182" s="56">
        <f>($AX182-$AX183)*100</f>
        <v/>
      </c>
      <c r="CR182" s="56">
        <f>($AY182-$AY183)*100</f>
        <v/>
      </c>
      <c r="CS182" s="57">
        <f>IFERROR($L183/$L182-1,"")</f>
        <v/>
      </c>
      <c r="CT182" s="57">
        <f>IFERROR($M183/$M182-1,"")</f>
        <v/>
      </c>
      <c r="CU182" s="57">
        <f>IFERROR($N183/$N182-1,"")</f>
        <v/>
      </c>
      <c r="CV182" s="57">
        <f>IFERROR($O183/$O182-1,"")</f>
        <v/>
      </c>
      <c r="CW182" s="57">
        <f>IFERROR($P183/$P182-1,"")</f>
        <v/>
      </c>
      <c r="CX182" s="57">
        <f>IFERROR($Q183/$Q182-1,"")</f>
        <v/>
      </c>
      <c r="CY182" s="57">
        <f>IFERROR($R183/$R182-1,"")</f>
        <v/>
      </c>
      <c r="CZ182" s="57">
        <f>IFERROR($S183/$S182-1,"")</f>
        <v/>
      </c>
      <c r="DA182" s="57">
        <f>IFERROR($T183/$T182-1,"")</f>
        <v/>
      </c>
      <c r="DB182" s="57">
        <f>IFERROR($U183/$U182-1,"")</f>
        <v/>
      </c>
      <c r="DC182" s="57">
        <f>IFERROR($V183/$V182-1,"")</f>
        <v/>
      </c>
      <c r="DD182" s="57">
        <f>IFERROR($W183/$W182-1,"")</f>
        <v/>
      </c>
      <c r="DE182" s="57">
        <f>IFERROR($X183/$X182-1,"")</f>
        <v/>
      </c>
      <c r="DF182" s="57">
        <f>IFERROR($Y183/$Y182-1,"")</f>
        <v/>
      </c>
      <c r="DG182" s="57">
        <f>IFERROR($Z183/$Z182-1,"")</f>
        <v/>
      </c>
      <c r="DH182" s="57">
        <f>IFERROR($AA183/$AA182-1,"")</f>
        <v/>
      </c>
      <c r="DI182" s="57">
        <f>IFERROR($AB183/$AB182-1,"")</f>
        <v/>
      </c>
      <c r="DJ182" s="57">
        <f>IFERROR($AC183/$AC182-1,"")</f>
        <v/>
      </c>
      <c r="DK182" s="57">
        <f>IFERROR($AD183/$AD182-1,"")</f>
        <v/>
      </c>
      <c r="DL182" s="57">
        <f>IFERROR($AE183/$AE182-1,"")</f>
        <v/>
      </c>
      <c r="DM182" s="56">
        <f>$AZ182-$AZ183</f>
        <v/>
      </c>
      <c r="DN182" s="56">
        <f>$BA182-$BA183</f>
        <v/>
      </c>
      <c r="DO182" s="56">
        <f>$BB182-$BB183</f>
        <v/>
      </c>
      <c r="DP182" s="56">
        <f>$BC182-$BC183</f>
        <v/>
      </c>
      <c r="DQ182" s="56">
        <f>$BD182-$BD183</f>
        <v/>
      </c>
      <c r="DR182" s="56">
        <f>$BE182-$BE183</f>
        <v/>
      </c>
      <c r="DS182" s="56">
        <f>$BF182-$BF183</f>
        <v/>
      </c>
      <c r="DT182" s="56">
        <f>$BG182-$BG183</f>
        <v/>
      </c>
      <c r="DU182" s="56">
        <f>$BH182-$BH183</f>
        <v/>
      </c>
      <c r="DV182" s="56">
        <f>$BI182-$BI183</f>
        <v/>
      </c>
      <c r="DW182" s="56">
        <f>$BJ182-$BJ183</f>
        <v/>
      </c>
      <c r="DX182" s="56">
        <f>$BK182-$BK183</f>
        <v/>
      </c>
      <c r="DY182" s="56">
        <f>$BL182-$BL183</f>
        <v/>
      </c>
      <c r="DZ182" s="56">
        <f>$BM182-$BM183</f>
        <v/>
      </c>
      <c r="EA182" s="56">
        <f>$BN182-$BN183</f>
        <v/>
      </c>
      <c r="EB182" s="56">
        <f>$BO182-$BO183</f>
        <v/>
      </c>
      <c r="EC182" s="56">
        <f>$BP182-$BP183</f>
        <v/>
      </c>
      <c r="ED182" s="56">
        <f>$BQ182-$BQ183</f>
        <v/>
      </c>
      <c r="EE182" s="56">
        <f>$BR182-$BR183</f>
        <v/>
      </c>
      <c r="EF182" s="56">
        <f>$BS182-$BS183</f>
        <v/>
      </c>
      <c r="EG182" s="56">
        <f>$BT182-$BT183</f>
        <v/>
      </c>
      <c r="EH182" s="56">
        <f>$BU182-$BU183</f>
        <v/>
      </c>
    </row>
    <row r="183">
      <c r="BV183" s="56">
        <f>($D183-$D184)*100</f>
        <v/>
      </c>
      <c r="BW183" s="56">
        <f>($C183-$C184)*100</f>
        <v/>
      </c>
      <c r="BX183" s="57">
        <f>IFERROR($I183/$I184-1,"")</f>
        <v/>
      </c>
      <c r="BY183" s="56">
        <f>($AF183-$AF184)*100</f>
        <v/>
      </c>
      <c r="BZ183" s="56">
        <f>($AG183-$AG184)*100</f>
        <v/>
      </c>
      <c r="CA183" s="56">
        <f>($AH183-$AH184)*100</f>
        <v/>
      </c>
      <c r="CB183" s="56">
        <f>($AI183-$AI184)*100</f>
        <v/>
      </c>
      <c r="CC183" s="56">
        <f>($AJ183-$AJ184)*100</f>
        <v/>
      </c>
      <c r="CD183" s="56">
        <f>($AK183-$AK184)*100</f>
        <v/>
      </c>
      <c r="CE183" s="56">
        <f>($AL183-$AL184)*100</f>
        <v/>
      </c>
      <c r="CF183" s="56">
        <f>($AM183-$AM184)*100</f>
        <v/>
      </c>
      <c r="CG183" s="56">
        <f>($AN183-$AN184)*100</f>
        <v/>
      </c>
      <c r="CH183" s="56">
        <f>($AO183-$AO184)*100</f>
        <v/>
      </c>
      <c r="CI183" s="56">
        <f>($AP183-$AP184)*100</f>
        <v/>
      </c>
      <c r="CJ183" s="56">
        <f>($AQ183-$AQ184)*100</f>
        <v/>
      </c>
      <c r="CK183" s="56">
        <f>($AR183-$AR184)*100</f>
        <v/>
      </c>
      <c r="CL183" s="56">
        <f>($AS183-$AS184)*100</f>
        <v/>
      </c>
      <c r="CM183" s="56">
        <f>($AT183-$AT184)*100</f>
        <v/>
      </c>
      <c r="CN183" s="56">
        <f>($AU183-$AU184)*100</f>
        <v/>
      </c>
      <c r="CO183" s="56">
        <f>($AV183-$AV184)*100</f>
        <v/>
      </c>
      <c r="CP183" s="56">
        <f>($AW183-$AW184)*100</f>
        <v/>
      </c>
      <c r="CQ183" s="56">
        <f>($AX183-$AX184)*100</f>
        <v/>
      </c>
      <c r="CR183" s="56">
        <f>($AY183-$AY184)*100</f>
        <v/>
      </c>
      <c r="CS183" s="57">
        <f>IFERROR($L184/$L183-1,"")</f>
        <v/>
      </c>
      <c r="CT183" s="57">
        <f>IFERROR($M184/$M183-1,"")</f>
        <v/>
      </c>
      <c r="CU183" s="57">
        <f>IFERROR($N184/$N183-1,"")</f>
        <v/>
      </c>
      <c r="CV183" s="57">
        <f>IFERROR($O184/$O183-1,"")</f>
        <v/>
      </c>
      <c r="CW183" s="57">
        <f>IFERROR($P184/$P183-1,"")</f>
        <v/>
      </c>
      <c r="CX183" s="57">
        <f>IFERROR($Q184/$Q183-1,"")</f>
        <v/>
      </c>
      <c r="CY183" s="57">
        <f>IFERROR($R184/$R183-1,"")</f>
        <v/>
      </c>
      <c r="CZ183" s="57">
        <f>IFERROR($S184/$S183-1,"")</f>
        <v/>
      </c>
      <c r="DA183" s="57">
        <f>IFERROR($T184/$T183-1,"")</f>
        <v/>
      </c>
      <c r="DB183" s="57">
        <f>IFERROR($U184/$U183-1,"")</f>
        <v/>
      </c>
      <c r="DC183" s="57">
        <f>IFERROR($V184/$V183-1,"")</f>
        <v/>
      </c>
      <c r="DD183" s="57">
        <f>IFERROR($W184/$W183-1,"")</f>
        <v/>
      </c>
      <c r="DE183" s="57">
        <f>IFERROR($X184/$X183-1,"")</f>
        <v/>
      </c>
      <c r="DF183" s="57">
        <f>IFERROR($Y184/$Y183-1,"")</f>
        <v/>
      </c>
      <c r="DG183" s="57">
        <f>IFERROR($Z184/$Z183-1,"")</f>
        <v/>
      </c>
      <c r="DH183" s="57">
        <f>IFERROR($AA184/$AA183-1,"")</f>
        <v/>
      </c>
      <c r="DI183" s="57">
        <f>IFERROR($AB184/$AB183-1,"")</f>
        <v/>
      </c>
      <c r="DJ183" s="57">
        <f>IFERROR($AC184/$AC183-1,"")</f>
        <v/>
      </c>
      <c r="DK183" s="57">
        <f>IFERROR($AD184/$AD183-1,"")</f>
        <v/>
      </c>
      <c r="DL183" s="57">
        <f>IFERROR($AE184/$AE183-1,"")</f>
        <v/>
      </c>
      <c r="DM183" s="56">
        <f>$AZ183-$AZ184</f>
        <v/>
      </c>
      <c r="DN183" s="56">
        <f>$BA183-$BA184</f>
        <v/>
      </c>
      <c r="DO183" s="56">
        <f>$BB183-$BB184</f>
        <v/>
      </c>
      <c r="DP183" s="56">
        <f>$BC183-$BC184</f>
        <v/>
      </c>
      <c r="DQ183" s="56">
        <f>$BD183-$BD184</f>
        <v/>
      </c>
      <c r="DR183" s="56">
        <f>$BE183-$BE184</f>
        <v/>
      </c>
      <c r="DS183" s="56">
        <f>$BF183-$BF184</f>
        <v/>
      </c>
      <c r="DT183" s="56">
        <f>$BG183-$BG184</f>
        <v/>
      </c>
      <c r="DU183" s="56">
        <f>$BH183-$BH184</f>
        <v/>
      </c>
      <c r="DV183" s="56">
        <f>$BI183-$BI184</f>
        <v/>
      </c>
      <c r="DW183" s="56">
        <f>$BJ183-$BJ184</f>
        <v/>
      </c>
      <c r="DX183" s="56">
        <f>$BK183-$BK184</f>
        <v/>
      </c>
      <c r="DY183" s="56">
        <f>$BL183-$BL184</f>
        <v/>
      </c>
      <c r="DZ183" s="56">
        <f>$BM183-$BM184</f>
        <v/>
      </c>
      <c r="EA183" s="56">
        <f>$BN183-$BN184</f>
        <v/>
      </c>
      <c r="EB183" s="56">
        <f>$BO183-$BO184</f>
        <v/>
      </c>
      <c r="EC183" s="56">
        <f>$BP183-$BP184</f>
        <v/>
      </c>
      <c r="ED183" s="56">
        <f>$BQ183-$BQ184</f>
        <v/>
      </c>
      <c r="EE183" s="56">
        <f>$BR183-$BR184</f>
        <v/>
      </c>
      <c r="EF183" s="56">
        <f>$BS183-$BS184</f>
        <v/>
      </c>
      <c r="EG183" s="56">
        <f>$BT183-$BT184</f>
        <v/>
      </c>
      <c r="EH183" s="56">
        <f>$BU183-$BU184</f>
        <v/>
      </c>
    </row>
    <row r="184">
      <c r="BV184" s="56">
        <f>($D184-$D185)*100</f>
        <v/>
      </c>
      <c r="BW184" s="56">
        <f>($C184-$C185)*100</f>
        <v/>
      </c>
      <c r="BX184" s="57">
        <f>IFERROR($I184/$I185-1,"")</f>
        <v/>
      </c>
      <c r="BY184" s="56">
        <f>($AF184-$AF185)*100</f>
        <v/>
      </c>
      <c r="BZ184" s="56">
        <f>($AG184-$AG185)*100</f>
        <v/>
      </c>
      <c r="CA184" s="56">
        <f>($AH184-$AH185)*100</f>
        <v/>
      </c>
      <c r="CB184" s="56">
        <f>($AI184-$AI185)*100</f>
        <v/>
      </c>
      <c r="CC184" s="56">
        <f>($AJ184-$AJ185)*100</f>
        <v/>
      </c>
      <c r="CD184" s="56">
        <f>($AK184-$AK185)*100</f>
        <v/>
      </c>
      <c r="CE184" s="56">
        <f>($AL184-$AL185)*100</f>
        <v/>
      </c>
      <c r="CF184" s="56">
        <f>($AM184-$AM185)*100</f>
        <v/>
      </c>
      <c r="CG184" s="56">
        <f>($AN184-$AN185)*100</f>
        <v/>
      </c>
      <c r="CH184" s="56">
        <f>($AO184-$AO185)*100</f>
        <v/>
      </c>
      <c r="CI184" s="56">
        <f>($AP184-$AP185)*100</f>
        <v/>
      </c>
      <c r="CJ184" s="56">
        <f>($AQ184-$AQ185)*100</f>
        <v/>
      </c>
      <c r="CK184" s="56">
        <f>($AR184-$AR185)*100</f>
        <v/>
      </c>
      <c r="CL184" s="56">
        <f>($AS184-$AS185)*100</f>
        <v/>
      </c>
      <c r="CM184" s="56">
        <f>($AT184-$AT185)*100</f>
        <v/>
      </c>
      <c r="CN184" s="56">
        <f>($AU184-$AU185)*100</f>
        <v/>
      </c>
      <c r="CO184" s="56">
        <f>($AV184-$AV185)*100</f>
        <v/>
      </c>
      <c r="CP184" s="56">
        <f>($AW184-$AW185)*100</f>
        <v/>
      </c>
      <c r="CQ184" s="56">
        <f>($AX184-$AX185)*100</f>
        <v/>
      </c>
      <c r="CR184" s="56">
        <f>($AY184-$AY185)*100</f>
        <v/>
      </c>
      <c r="CS184" s="57">
        <f>IFERROR($L185/$L184-1,"")</f>
        <v/>
      </c>
      <c r="CT184" s="57">
        <f>IFERROR($M185/$M184-1,"")</f>
        <v/>
      </c>
      <c r="CU184" s="57">
        <f>IFERROR($N185/$N184-1,"")</f>
        <v/>
      </c>
      <c r="CV184" s="57">
        <f>IFERROR($O185/$O184-1,"")</f>
        <v/>
      </c>
      <c r="CW184" s="57">
        <f>IFERROR($P185/$P184-1,"")</f>
        <v/>
      </c>
      <c r="CX184" s="57">
        <f>IFERROR($Q185/$Q184-1,"")</f>
        <v/>
      </c>
      <c r="CY184" s="57">
        <f>IFERROR($R185/$R184-1,"")</f>
        <v/>
      </c>
      <c r="CZ184" s="57">
        <f>IFERROR($S185/$S184-1,"")</f>
        <v/>
      </c>
      <c r="DA184" s="57">
        <f>IFERROR($T185/$T184-1,"")</f>
        <v/>
      </c>
      <c r="DB184" s="57">
        <f>IFERROR($U185/$U184-1,"")</f>
        <v/>
      </c>
      <c r="DC184" s="57">
        <f>IFERROR($V185/$V184-1,"")</f>
        <v/>
      </c>
      <c r="DD184" s="57">
        <f>IFERROR($W185/$W184-1,"")</f>
        <v/>
      </c>
      <c r="DE184" s="57">
        <f>IFERROR($X185/$X184-1,"")</f>
        <v/>
      </c>
      <c r="DF184" s="57">
        <f>IFERROR($Y185/$Y184-1,"")</f>
        <v/>
      </c>
      <c r="DG184" s="57">
        <f>IFERROR($Z185/$Z184-1,"")</f>
        <v/>
      </c>
      <c r="DH184" s="57">
        <f>IFERROR($AA185/$AA184-1,"")</f>
        <v/>
      </c>
      <c r="DI184" s="57">
        <f>IFERROR($AB185/$AB184-1,"")</f>
        <v/>
      </c>
      <c r="DJ184" s="57">
        <f>IFERROR($AC185/$AC184-1,"")</f>
        <v/>
      </c>
      <c r="DK184" s="57">
        <f>IFERROR($AD185/$AD184-1,"")</f>
        <v/>
      </c>
      <c r="DL184" s="57">
        <f>IFERROR($AE185/$AE184-1,"")</f>
        <v/>
      </c>
      <c r="DM184" s="56">
        <f>$AZ184-$AZ185</f>
        <v/>
      </c>
      <c r="DN184" s="56">
        <f>$BA184-$BA185</f>
        <v/>
      </c>
      <c r="DO184" s="56">
        <f>$BB184-$BB185</f>
        <v/>
      </c>
      <c r="DP184" s="56">
        <f>$BC184-$BC185</f>
        <v/>
      </c>
      <c r="DQ184" s="56">
        <f>$BD184-$BD185</f>
        <v/>
      </c>
      <c r="DR184" s="56">
        <f>$BE184-$BE185</f>
        <v/>
      </c>
      <c r="DS184" s="56">
        <f>$BF184-$BF185</f>
        <v/>
      </c>
      <c r="DT184" s="56">
        <f>$BG184-$BG185</f>
        <v/>
      </c>
      <c r="DU184" s="56">
        <f>$BH184-$BH185</f>
        <v/>
      </c>
      <c r="DV184" s="56">
        <f>$BI184-$BI185</f>
        <v/>
      </c>
      <c r="DW184" s="56">
        <f>$BJ184-$BJ185</f>
        <v/>
      </c>
      <c r="DX184" s="56">
        <f>$BK184-$BK185</f>
        <v/>
      </c>
      <c r="DY184" s="56">
        <f>$BL184-$BL185</f>
        <v/>
      </c>
      <c r="DZ184" s="56">
        <f>$BM184-$BM185</f>
        <v/>
      </c>
      <c r="EA184" s="56">
        <f>$BN184-$BN185</f>
        <v/>
      </c>
      <c r="EB184" s="56">
        <f>$BO184-$BO185</f>
        <v/>
      </c>
      <c r="EC184" s="56">
        <f>$BP184-$BP185</f>
        <v/>
      </c>
      <c r="ED184" s="56">
        <f>$BQ184-$BQ185</f>
        <v/>
      </c>
      <c r="EE184" s="56">
        <f>$BR184-$BR185</f>
        <v/>
      </c>
      <c r="EF184" s="56">
        <f>$BS184-$BS185</f>
        <v/>
      </c>
      <c r="EG184" s="56">
        <f>$BT184-$BT185</f>
        <v/>
      </c>
      <c r="EH184" s="56">
        <f>$BU184-$BU185</f>
        <v/>
      </c>
    </row>
    <row r="185">
      <c r="BV185" s="56">
        <f>($D185-$D186)*100</f>
        <v/>
      </c>
      <c r="BW185" s="56">
        <f>($C185-$C186)*100</f>
        <v/>
      </c>
      <c r="BX185" s="57">
        <f>IFERROR($I185/$I186-1,"")</f>
        <v/>
      </c>
      <c r="BY185" s="56">
        <f>($AF185-$AF186)*100</f>
        <v/>
      </c>
      <c r="BZ185" s="56">
        <f>($AG185-$AG186)*100</f>
        <v/>
      </c>
      <c r="CA185" s="56">
        <f>($AH185-$AH186)*100</f>
        <v/>
      </c>
      <c r="CB185" s="56">
        <f>($AI185-$AI186)*100</f>
        <v/>
      </c>
      <c r="CC185" s="56">
        <f>($AJ185-$AJ186)*100</f>
        <v/>
      </c>
      <c r="CD185" s="56">
        <f>($AK185-$AK186)*100</f>
        <v/>
      </c>
      <c r="CE185" s="56">
        <f>($AL185-$AL186)*100</f>
        <v/>
      </c>
      <c r="CF185" s="56">
        <f>($AM185-$AM186)*100</f>
        <v/>
      </c>
      <c r="CG185" s="56">
        <f>($AN185-$AN186)*100</f>
        <v/>
      </c>
      <c r="CH185" s="56">
        <f>($AO185-$AO186)*100</f>
        <v/>
      </c>
      <c r="CI185" s="56">
        <f>($AP185-$AP186)*100</f>
        <v/>
      </c>
      <c r="CJ185" s="56">
        <f>($AQ185-$AQ186)*100</f>
        <v/>
      </c>
      <c r="CK185" s="56">
        <f>($AR185-$AR186)*100</f>
        <v/>
      </c>
      <c r="CL185" s="56">
        <f>($AS185-$AS186)*100</f>
        <v/>
      </c>
      <c r="CM185" s="56">
        <f>($AT185-$AT186)*100</f>
        <v/>
      </c>
      <c r="CN185" s="56">
        <f>($AU185-$AU186)*100</f>
        <v/>
      </c>
      <c r="CO185" s="56">
        <f>($AV185-$AV186)*100</f>
        <v/>
      </c>
      <c r="CP185" s="56">
        <f>($AW185-$AW186)*100</f>
        <v/>
      </c>
      <c r="CQ185" s="56">
        <f>($AX185-$AX186)*100</f>
        <v/>
      </c>
      <c r="CR185" s="56">
        <f>($AY185-$AY186)*100</f>
        <v/>
      </c>
      <c r="CS185" s="57">
        <f>IFERROR($L186/$L185-1,"")</f>
        <v/>
      </c>
      <c r="CT185" s="57">
        <f>IFERROR($M186/$M185-1,"")</f>
        <v/>
      </c>
      <c r="CU185" s="57">
        <f>IFERROR($N186/$N185-1,"")</f>
        <v/>
      </c>
      <c r="CV185" s="57">
        <f>IFERROR($O186/$O185-1,"")</f>
        <v/>
      </c>
      <c r="CW185" s="57">
        <f>IFERROR($P186/$P185-1,"")</f>
        <v/>
      </c>
      <c r="CX185" s="57">
        <f>IFERROR($Q186/$Q185-1,"")</f>
        <v/>
      </c>
      <c r="CY185" s="57">
        <f>IFERROR($R186/$R185-1,"")</f>
        <v/>
      </c>
      <c r="CZ185" s="57">
        <f>IFERROR($S186/$S185-1,"")</f>
        <v/>
      </c>
      <c r="DA185" s="57">
        <f>IFERROR($T186/$T185-1,"")</f>
        <v/>
      </c>
      <c r="DB185" s="57">
        <f>IFERROR($U186/$U185-1,"")</f>
        <v/>
      </c>
      <c r="DC185" s="57">
        <f>IFERROR($V186/$V185-1,"")</f>
        <v/>
      </c>
      <c r="DD185" s="57">
        <f>IFERROR($W186/$W185-1,"")</f>
        <v/>
      </c>
      <c r="DE185" s="57">
        <f>IFERROR($X186/$X185-1,"")</f>
        <v/>
      </c>
      <c r="DF185" s="57">
        <f>IFERROR($Y186/$Y185-1,"")</f>
        <v/>
      </c>
      <c r="DG185" s="57">
        <f>IFERROR($Z186/$Z185-1,"")</f>
        <v/>
      </c>
      <c r="DH185" s="57">
        <f>IFERROR($AA186/$AA185-1,"")</f>
        <v/>
      </c>
      <c r="DI185" s="57">
        <f>IFERROR($AB186/$AB185-1,"")</f>
        <v/>
      </c>
      <c r="DJ185" s="57">
        <f>IFERROR($AC186/$AC185-1,"")</f>
        <v/>
      </c>
      <c r="DK185" s="57">
        <f>IFERROR($AD186/$AD185-1,"")</f>
        <v/>
      </c>
      <c r="DL185" s="57">
        <f>IFERROR($AE186/$AE185-1,"")</f>
        <v/>
      </c>
      <c r="DM185" s="56">
        <f>$AZ185-$AZ186</f>
        <v/>
      </c>
      <c r="DN185" s="56">
        <f>$BA185-$BA186</f>
        <v/>
      </c>
      <c r="DO185" s="56">
        <f>$BB185-$BB186</f>
        <v/>
      </c>
      <c r="DP185" s="56">
        <f>$BC185-$BC186</f>
        <v/>
      </c>
      <c r="DQ185" s="56">
        <f>$BD185-$BD186</f>
        <v/>
      </c>
      <c r="DR185" s="56">
        <f>$BE185-$BE186</f>
        <v/>
      </c>
      <c r="DS185" s="56">
        <f>$BF185-$BF186</f>
        <v/>
      </c>
      <c r="DT185" s="56">
        <f>$BG185-$BG186</f>
        <v/>
      </c>
      <c r="DU185" s="56">
        <f>$BH185-$BH186</f>
        <v/>
      </c>
      <c r="DV185" s="56">
        <f>$BI185-$BI186</f>
        <v/>
      </c>
      <c r="DW185" s="56">
        <f>$BJ185-$BJ186</f>
        <v/>
      </c>
      <c r="DX185" s="56">
        <f>$BK185-$BK186</f>
        <v/>
      </c>
      <c r="DY185" s="56">
        <f>$BL185-$BL186</f>
        <v/>
      </c>
      <c r="DZ185" s="56">
        <f>$BM185-$BM186</f>
        <v/>
      </c>
      <c r="EA185" s="56">
        <f>$BN185-$BN186</f>
        <v/>
      </c>
      <c r="EB185" s="56">
        <f>$BO185-$BO186</f>
        <v/>
      </c>
      <c r="EC185" s="56">
        <f>$BP185-$BP186</f>
        <v/>
      </c>
      <c r="ED185" s="56">
        <f>$BQ185-$BQ186</f>
        <v/>
      </c>
      <c r="EE185" s="56">
        <f>$BR185-$BR186</f>
        <v/>
      </c>
      <c r="EF185" s="56">
        <f>$BS185-$BS186</f>
        <v/>
      </c>
      <c r="EG185" s="56">
        <f>$BT185-$BT186</f>
        <v/>
      </c>
      <c r="EH185" s="56">
        <f>$BU185-$BU186</f>
        <v/>
      </c>
    </row>
    <row r="186">
      <c r="BV186" s="56">
        <f>($D186-$D187)*100</f>
        <v/>
      </c>
      <c r="BW186" s="56">
        <f>($C186-$C187)*100</f>
        <v/>
      </c>
      <c r="BX186" s="57">
        <f>IFERROR($I186/$I187-1,"")</f>
        <v/>
      </c>
      <c r="BY186" s="56">
        <f>($AF186-$AF187)*100</f>
        <v/>
      </c>
      <c r="BZ186" s="56">
        <f>($AG186-$AG187)*100</f>
        <v/>
      </c>
      <c r="CA186" s="56">
        <f>($AH186-$AH187)*100</f>
        <v/>
      </c>
      <c r="CB186" s="56">
        <f>($AI186-$AI187)*100</f>
        <v/>
      </c>
      <c r="CC186" s="56">
        <f>($AJ186-$AJ187)*100</f>
        <v/>
      </c>
      <c r="CD186" s="56">
        <f>($AK186-$AK187)*100</f>
        <v/>
      </c>
      <c r="CE186" s="56">
        <f>($AL186-$AL187)*100</f>
        <v/>
      </c>
      <c r="CF186" s="56">
        <f>($AM186-$AM187)*100</f>
        <v/>
      </c>
      <c r="CG186" s="56">
        <f>($AN186-$AN187)*100</f>
        <v/>
      </c>
      <c r="CH186" s="56">
        <f>($AO186-$AO187)*100</f>
        <v/>
      </c>
      <c r="CI186" s="56">
        <f>($AP186-$AP187)*100</f>
        <v/>
      </c>
      <c r="CJ186" s="56">
        <f>($AQ186-$AQ187)*100</f>
        <v/>
      </c>
      <c r="CK186" s="56">
        <f>($AR186-$AR187)*100</f>
        <v/>
      </c>
      <c r="CL186" s="56">
        <f>($AS186-$AS187)*100</f>
        <v/>
      </c>
      <c r="CM186" s="56">
        <f>($AT186-$AT187)*100</f>
        <v/>
      </c>
      <c r="CN186" s="56">
        <f>($AU186-$AU187)*100</f>
        <v/>
      </c>
      <c r="CO186" s="56">
        <f>($AV186-$AV187)*100</f>
        <v/>
      </c>
      <c r="CP186" s="56">
        <f>($AW186-$AW187)*100</f>
        <v/>
      </c>
      <c r="CQ186" s="56">
        <f>($AX186-$AX187)*100</f>
        <v/>
      </c>
      <c r="CR186" s="56">
        <f>($AY186-$AY187)*100</f>
        <v/>
      </c>
      <c r="CS186" s="57">
        <f>IFERROR($L187/$L186-1,"")</f>
        <v/>
      </c>
      <c r="CT186" s="57">
        <f>IFERROR($M187/$M186-1,"")</f>
        <v/>
      </c>
      <c r="CU186" s="57">
        <f>IFERROR($N187/$N186-1,"")</f>
        <v/>
      </c>
      <c r="CV186" s="57">
        <f>IFERROR($O187/$O186-1,"")</f>
        <v/>
      </c>
      <c r="CW186" s="57">
        <f>IFERROR($P187/$P186-1,"")</f>
        <v/>
      </c>
      <c r="CX186" s="57">
        <f>IFERROR($Q187/$Q186-1,"")</f>
        <v/>
      </c>
      <c r="CY186" s="57">
        <f>IFERROR($R187/$R186-1,"")</f>
        <v/>
      </c>
      <c r="CZ186" s="57">
        <f>IFERROR($S187/$S186-1,"")</f>
        <v/>
      </c>
      <c r="DA186" s="57">
        <f>IFERROR($T187/$T186-1,"")</f>
        <v/>
      </c>
      <c r="DB186" s="57">
        <f>IFERROR($U187/$U186-1,"")</f>
        <v/>
      </c>
      <c r="DC186" s="57">
        <f>IFERROR($V187/$V186-1,"")</f>
        <v/>
      </c>
      <c r="DD186" s="57">
        <f>IFERROR($W187/$W186-1,"")</f>
        <v/>
      </c>
      <c r="DE186" s="57">
        <f>IFERROR($X187/$X186-1,"")</f>
        <v/>
      </c>
      <c r="DF186" s="57">
        <f>IFERROR($Y187/$Y186-1,"")</f>
        <v/>
      </c>
      <c r="DG186" s="57">
        <f>IFERROR($Z187/$Z186-1,"")</f>
        <v/>
      </c>
      <c r="DH186" s="57">
        <f>IFERROR($AA187/$AA186-1,"")</f>
        <v/>
      </c>
      <c r="DI186" s="57">
        <f>IFERROR($AB187/$AB186-1,"")</f>
        <v/>
      </c>
      <c r="DJ186" s="57">
        <f>IFERROR($AC187/$AC186-1,"")</f>
        <v/>
      </c>
      <c r="DK186" s="57">
        <f>IFERROR($AD187/$AD186-1,"")</f>
        <v/>
      </c>
      <c r="DL186" s="57">
        <f>IFERROR($AE187/$AE186-1,"")</f>
        <v/>
      </c>
      <c r="DM186" s="56">
        <f>$AZ186-$AZ187</f>
        <v/>
      </c>
      <c r="DN186" s="56">
        <f>$BA186-$BA187</f>
        <v/>
      </c>
      <c r="DO186" s="56">
        <f>$BB186-$BB187</f>
        <v/>
      </c>
      <c r="DP186" s="56">
        <f>$BC186-$BC187</f>
        <v/>
      </c>
      <c r="DQ186" s="56">
        <f>$BD186-$BD187</f>
        <v/>
      </c>
      <c r="DR186" s="56">
        <f>$BE186-$BE187</f>
        <v/>
      </c>
      <c r="DS186" s="56">
        <f>$BF186-$BF187</f>
        <v/>
      </c>
      <c r="DT186" s="56">
        <f>$BG186-$BG187</f>
        <v/>
      </c>
      <c r="DU186" s="56">
        <f>$BH186-$BH187</f>
        <v/>
      </c>
      <c r="DV186" s="56">
        <f>$BI186-$BI187</f>
        <v/>
      </c>
      <c r="DW186" s="56">
        <f>$BJ186-$BJ187</f>
        <v/>
      </c>
      <c r="DX186" s="56">
        <f>$BK186-$BK187</f>
        <v/>
      </c>
      <c r="DY186" s="56">
        <f>$BL186-$BL187</f>
        <v/>
      </c>
      <c r="DZ186" s="56">
        <f>$BM186-$BM187</f>
        <v/>
      </c>
      <c r="EA186" s="56">
        <f>$BN186-$BN187</f>
        <v/>
      </c>
      <c r="EB186" s="56">
        <f>$BO186-$BO187</f>
        <v/>
      </c>
      <c r="EC186" s="56">
        <f>$BP186-$BP187</f>
        <v/>
      </c>
      <c r="ED186" s="56">
        <f>$BQ186-$BQ187</f>
        <v/>
      </c>
      <c r="EE186" s="56">
        <f>$BR186-$BR187</f>
        <v/>
      </c>
      <c r="EF186" s="56">
        <f>$BS186-$BS187</f>
        <v/>
      </c>
      <c r="EG186" s="56">
        <f>$BT186-$BT187</f>
        <v/>
      </c>
      <c r="EH186" s="56">
        <f>$BU186-$BU187</f>
        <v/>
      </c>
    </row>
    <row r="187">
      <c r="BV187" s="56">
        <f>($D187-$D188)*100</f>
        <v/>
      </c>
      <c r="BW187" s="56">
        <f>($C187-$C188)*100</f>
        <v/>
      </c>
      <c r="BX187" s="57">
        <f>IFERROR($I187/$I188-1,"")</f>
        <v/>
      </c>
      <c r="BY187" s="56">
        <f>($AF187-$AF188)*100</f>
        <v/>
      </c>
      <c r="BZ187" s="56">
        <f>($AG187-$AG188)*100</f>
        <v/>
      </c>
      <c r="CA187" s="56">
        <f>($AH187-$AH188)*100</f>
        <v/>
      </c>
      <c r="CB187" s="56">
        <f>($AI187-$AI188)*100</f>
        <v/>
      </c>
      <c r="CC187" s="56">
        <f>($AJ187-$AJ188)*100</f>
        <v/>
      </c>
      <c r="CD187" s="56">
        <f>($AK187-$AK188)*100</f>
        <v/>
      </c>
      <c r="CE187" s="56">
        <f>($AL187-$AL188)*100</f>
        <v/>
      </c>
      <c r="CF187" s="56">
        <f>($AM187-$AM188)*100</f>
        <v/>
      </c>
      <c r="CG187" s="56">
        <f>($AN187-$AN188)*100</f>
        <v/>
      </c>
      <c r="CH187" s="56">
        <f>($AO187-$AO188)*100</f>
        <v/>
      </c>
      <c r="CI187" s="56">
        <f>($AP187-$AP188)*100</f>
        <v/>
      </c>
      <c r="CJ187" s="56">
        <f>($AQ187-$AQ188)*100</f>
        <v/>
      </c>
      <c r="CK187" s="56">
        <f>($AR187-$AR188)*100</f>
        <v/>
      </c>
      <c r="CL187" s="56">
        <f>($AS187-$AS188)*100</f>
        <v/>
      </c>
      <c r="CM187" s="56">
        <f>($AT187-$AT188)*100</f>
        <v/>
      </c>
      <c r="CN187" s="56">
        <f>($AU187-$AU188)*100</f>
        <v/>
      </c>
      <c r="CO187" s="56">
        <f>($AV187-$AV188)*100</f>
        <v/>
      </c>
      <c r="CP187" s="56">
        <f>($AW187-$AW188)*100</f>
        <v/>
      </c>
      <c r="CQ187" s="56">
        <f>($AX187-$AX188)*100</f>
        <v/>
      </c>
      <c r="CR187" s="56">
        <f>($AY187-$AY188)*100</f>
        <v/>
      </c>
      <c r="CS187" s="57">
        <f>IFERROR($L188/$L187-1,"")</f>
        <v/>
      </c>
      <c r="CT187" s="57">
        <f>IFERROR($M188/$M187-1,"")</f>
        <v/>
      </c>
      <c r="CU187" s="57">
        <f>IFERROR($N188/$N187-1,"")</f>
        <v/>
      </c>
      <c r="CV187" s="57">
        <f>IFERROR($O188/$O187-1,"")</f>
        <v/>
      </c>
      <c r="CW187" s="57">
        <f>IFERROR($P188/$P187-1,"")</f>
        <v/>
      </c>
      <c r="CX187" s="57">
        <f>IFERROR($Q188/$Q187-1,"")</f>
        <v/>
      </c>
      <c r="CY187" s="57">
        <f>IFERROR($R188/$R187-1,"")</f>
        <v/>
      </c>
      <c r="CZ187" s="57">
        <f>IFERROR($S188/$S187-1,"")</f>
        <v/>
      </c>
      <c r="DA187" s="57">
        <f>IFERROR($T188/$T187-1,"")</f>
        <v/>
      </c>
      <c r="DB187" s="57">
        <f>IFERROR($U188/$U187-1,"")</f>
        <v/>
      </c>
      <c r="DC187" s="57">
        <f>IFERROR($V188/$V187-1,"")</f>
        <v/>
      </c>
      <c r="DD187" s="57">
        <f>IFERROR($W188/$W187-1,"")</f>
        <v/>
      </c>
      <c r="DE187" s="57">
        <f>IFERROR($X188/$X187-1,"")</f>
        <v/>
      </c>
      <c r="DF187" s="57">
        <f>IFERROR($Y188/$Y187-1,"")</f>
        <v/>
      </c>
      <c r="DG187" s="57">
        <f>IFERROR($Z188/$Z187-1,"")</f>
        <v/>
      </c>
      <c r="DH187" s="57">
        <f>IFERROR($AA188/$AA187-1,"")</f>
        <v/>
      </c>
      <c r="DI187" s="57">
        <f>IFERROR($AB188/$AB187-1,"")</f>
        <v/>
      </c>
      <c r="DJ187" s="57">
        <f>IFERROR($AC188/$AC187-1,"")</f>
        <v/>
      </c>
      <c r="DK187" s="57">
        <f>IFERROR($AD188/$AD187-1,"")</f>
        <v/>
      </c>
      <c r="DL187" s="57">
        <f>IFERROR($AE188/$AE187-1,"")</f>
        <v/>
      </c>
      <c r="DM187" s="56">
        <f>$AZ187-$AZ188</f>
        <v/>
      </c>
      <c r="DN187" s="56">
        <f>$BA187-$BA188</f>
        <v/>
      </c>
      <c r="DO187" s="56">
        <f>$BB187-$BB188</f>
        <v/>
      </c>
      <c r="DP187" s="56">
        <f>$BC187-$BC188</f>
        <v/>
      </c>
      <c r="DQ187" s="56">
        <f>$BD187-$BD188</f>
        <v/>
      </c>
      <c r="DR187" s="56">
        <f>$BE187-$BE188</f>
        <v/>
      </c>
      <c r="DS187" s="56">
        <f>$BF187-$BF188</f>
        <v/>
      </c>
      <c r="DT187" s="56">
        <f>$BG187-$BG188</f>
        <v/>
      </c>
      <c r="DU187" s="56">
        <f>$BH187-$BH188</f>
        <v/>
      </c>
      <c r="DV187" s="56">
        <f>$BI187-$BI188</f>
        <v/>
      </c>
      <c r="DW187" s="56">
        <f>$BJ187-$BJ188</f>
        <v/>
      </c>
      <c r="DX187" s="56">
        <f>$BK187-$BK188</f>
        <v/>
      </c>
      <c r="DY187" s="56">
        <f>$BL187-$BL188</f>
        <v/>
      </c>
      <c r="DZ187" s="56">
        <f>$BM187-$BM188</f>
        <v/>
      </c>
      <c r="EA187" s="56">
        <f>$BN187-$BN188</f>
        <v/>
      </c>
      <c r="EB187" s="56">
        <f>$BO187-$BO188</f>
        <v/>
      </c>
      <c r="EC187" s="56">
        <f>$BP187-$BP188</f>
        <v/>
      </c>
      <c r="ED187" s="56">
        <f>$BQ187-$BQ188</f>
        <v/>
      </c>
      <c r="EE187" s="56">
        <f>$BR187-$BR188</f>
        <v/>
      </c>
      <c r="EF187" s="56">
        <f>$BS187-$BS188</f>
        <v/>
      </c>
      <c r="EG187" s="56">
        <f>$BT187-$BT188</f>
        <v/>
      </c>
      <c r="EH187" s="56">
        <f>$BU187-$BU188</f>
        <v/>
      </c>
    </row>
    <row r="188">
      <c r="BV188" s="56">
        <f>($D188-$D189)*100</f>
        <v/>
      </c>
      <c r="BW188" s="56">
        <f>($C188-$C189)*100</f>
        <v/>
      </c>
      <c r="BX188" s="57">
        <f>IFERROR($I188/$I189-1,"")</f>
        <v/>
      </c>
      <c r="BY188" s="56">
        <f>($AF188-$AF189)*100</f>
        <v/>
      </c>
      <c r="BZ188" s="56">
        <f>($AG188-$AG189)*100</f>
        <v/>
      </c>
      <c r="CA188" s="56">
        <f>($AH188-$AH189)*100</f>
        <v/>
      </c>
      <c r="CB188" s="56">
        <f>($AI188-$AI189)*100</f>
        <v/>
      </c>
      <c r="CC188" s="56">
        <f>($AJ188-$AJ189)*100</f>
        <v/>
      </c>
      <c r="CD188" s="56">
        <f>($AK188-$AK189)*100</f>
        <v/>
      </c>
      <c r="CE188" s="56">
        <f>($AL188-$AL189)*100</f>
        <v/>
      </c>
      <c r="CF188" s="56">
        <f>($AM188-$AM189)*100</f>
        <v/>
      </c>
      <c r="CG188" s="56">
        <f>($AN188-$AN189)*100</f>
        <v/>
      </c>
      <c r="CH188" s="56">
        <f>($AO188-$AO189)*100</f>
        <v/>
      </c>
      <c r="CI188" s="56">
        <f>($AP188-$AP189)*100</f>
        <v/>
      </c>
      <c r="CJ188" s="56">
        <f>($AQ188-$AQ189)*100</f>
        <v/>
      </c>
      <c r="CK188" s="56">
        <f>($AR188-$AR189)*100</f>
        <v/>
      </c>
      <c r="CL188" s="56">
        <f>($AS188-$AS189)*100</f>
        <v/>
      </c>
      <c r="CM188" s="56">
        <f>($AT188-$AT189)*100</f>
        <v/>
      </c>
      <c r="CN188" s="56">
        <f>($AU188-$AU189)*100</f>
        <v/>
      </c>
      <c r="CO188" s="56">
        <f>($AV188-$AV189)*100</f>
        <v/>
      </c>
      <c r="CP188" s="56">
        <f>($AW188-$AW189)*100</f>
        <v/>
      </c>
      <c r="CQ188" s="56">
        <f>($AX188-$AX189)*100</f>
        <v/>
      </c>
      <c r="CR188" s="56">
        <f>($AY188-$AY189)*100</f>
        <v/>
      </c>
      <c r="CS188" s="57">
        <f>IFERROR($L189/$L188-1,"")</f>
        <v/>
      </c>
      <c r="CT188" s="57">
        <f>IFERROR($M189/$M188-1,"")</f>
        <v/>
      </c>
      <c r="CU188" s="57">
        <f>IFERROR($N189/$N188-1,"")</f>
        <v/>
      </c>
      <c r="CV188" s="57">
        <f>IFERROR($O189/$O188-1,"")</f>
        <v/>
      </c>
      <c r="CW188" s="57">
        <f>IFERROR($P189/$P188-1,"")</f>
        <v/>
      </c>
      <c r="CX188" s="57">
        <f>IFERROR($Q189/$Q188-1,"")</f>
        <v/>
      </c>
      <c r="CY188" s="57">
        <f>IFERROR($R189/$R188-1,"")</f>
        <v/>
      </c>
      <c r="CZ188" s="57">
        <f>IFERROR($S189/$S188-1,"")</f>
        <v/>
      </c>
      <c r="DA188" s="57">
        <f>IFERROR($T189/$T188-1,"")</f>
        <v/>
      </c>
      <c r="DB188" s="57">
        <f>IFERROR($U189/$U188-1,"")</f>
        <v/>
      </c>
      <c r="DC188" s="57">
        <f>IFERROR($V189/$V188-1,"")</f>
        <v/>
      </c>
      <c r="DD188" s="57">
        <f>IFERROR($W189/$W188-1,"")</f>
        <v/>
      </c>
      <c r="DE188" s="57">
        <f>IFERROR($X189/$X188-1,"")</f>
        <v/>
      </c>
      <c r="DF188" s="57">
        <f>IFERROR($Y189/$Y188-1,"")</f>
        <v/>
      </c>
      <c r="DG188" s="57">
        <f>IFERROR($Z189/$Z188-1,"")</f>
        <v/>
      </c>
      <c r="DH188" s="57">
        <f>IFERROR($AA189/$AA188-1,"")</f>
        <v/>
      </c>
      <c r="DI188" s="57">
        <f>IFERROR($AB189/$AB188-1,"")</f>
        <v/>
      </c>
      <c r="DJ188" s="57">
        <f>IFERROR($AC189/$AC188-1,"")</f>
        <v/>
      </c>
      <c r="DK188" s="57">
        <f>IFERROR($AD189/$AD188-1,"")</f>
        <v/>
      </c>
      <c r="DL188" s="57">
        <f>IFERROR($AE189/$AE188-1,"")</f>
        <v/>
      </c>
      <c r="DM188" s="56">
        <f>$AZ188-$AZ189</f>
        <v/>
      </c>
      <c r="DN188" s="56">
        <f>$BA188-$BA189</f>
        <v/>
      </c>
      <c r="DO188" s="56">
        <f>$BB188-$BB189</f>
        <v/>
      </c>
      <c r="DP188" s="56">
        <f>$BC188-$BC189</f>
        <v/>
      </c>
      <c r="DQ188" s="56">
        <f>$BD188-$BD189</f>
        <v/>
      </c>
      <c r="DR188" s="56">
        <f>$BE188-$BE189</f>
        <v/>
      </c>
      <c r="DS188" s="56">
        <f>$BF188-$BF189</f>
        <v/>
      </c>
      <c r="DT188" s="56">
        <f>$BG188-$BG189</f>
        <v/>
      </c>
      <c r="DU188" s="56">
        <f>$BH188-$BH189</f>
        <v/>
      </c>
      <c r="DV188" s="56">
        <f>$BI188-$BI189</f>
        <v/>
      </c>
      <c r="DW188" s="56">
        <f>$BJ188-$BJ189</f>
        <v/>
      </c>
      <c r="DX188" s="56">
        <f>$BK188-$BK189</f>
        <v/>
      </c>
      <c r="DY188" s="56">
        <f>$BL188-$BL189</f>
        <v/>
      </c>
      <c r="DZ188" s="56">
        <f>$BM188-$BM189</f>
        <v/>
      </c>
      <c r="EA188" s="56">
        <f>$BN188-$BN189</f>
        <v/>
      </c>
      <c r="EB188" s="56">
        <f>$BO188-$BO189</f>
        <v/>
      </c>
      <c r="EC188" s="56">
        <f>$BP188-$BP189</f>
        <v/>
      </c>
      <c r="ED188" s="56">
        <f>$BQ188-$BQ189</f>
        <v/>
      </c>
      <c r="EE188" s="56">
        <f>$BR188-$BR189</f>
        <v/>
      </c>
      <c r="EF188" s="56">
        <f>$BS188-$BS189</f>
        <v/>
      </c>
      <c r="EG188" s="56">
        <f>$BT188-$BT189</f>
        <v/>
      </c>
      <c r="EH188" s="56">
        <f>$BU188-$BU189</f>
        <v/>
      </c>
    </row>
    <row r="189">
      <c r="BV189" s="56">
        <f>($D189-$D190)*100</f>
        <v/>
      </c>
      <c r="BW189" s="56">
        <f>($C189-$C190)*100</f>
        <v/>
      </c>
      <c r="BX189" s="57">
        <f>IFERROR($I189/$I190-1,"")</f>
        <v/>
      </c>
      <c r="BY189" s="56">
        <f>($AF189-$AF190)*100</f>
        <v/>
      </c>
      <c r="BZ189" s="56">
        <f>($AG189-$AG190)*100</f>
        <v/>
      </c>
      <c r="CA189" s="56">
        <f>($AH189-$AH190)*100</f>
        <v/>
      </c>
      <c r="CB189" s="56">
        <f>($AI189-$AI190)*100</f>
        <v/>
      </c>
      <c r="CC189" s="56">
        <f>($AJ189-$AJ190)*100</f>
        <v/>
      </c>
      <c r="CD189" s="56">
        <f>($AK189-$AK190)*100</f>
        <v/>
      </c>
      <c r="CE189" s="56">
        <f>($AL189-$AL190)*100</f>
        <v/>
      </c>
      <c r="CF189" s="56">
        <f>($AM189-$AM190)*100</f>
        <v/>
      </c>
      <c r="CG189" s="56">
        <f>($AN189-$AN190)*100</f>
        <v/>
      </c>
      <c r="CH189" s="56">
        <f>($AO189-$AO190)*100</f>
        <v/>
      </c>
      <c r="CI189" s="56">
        <f>($AP189-$AP190)*100</f>
        <v/>
      </c>
      <c r="CJ189" s="56">
        <f>($AQ189-$AQ190)*100</f>
        <v/>
      </c>
      <c r="CK189" s="56">
        <f>($AR189-$AR190)*100</f>
        <v/>
      </c>
      <c r="CL189" s="56">
        <f>($AS189-$AS190)*100</f>
        <v/>
      </c>
      <c r="CM189" s="56">
        <f>($AT189-$AT190)*100</f>
        <v/>
      </c>
      <c r="CN189" s="56">
        <f>($AU189-$AU190)*100</f>
        <v/>
      </c>
      <c r="CO189" s="56">
        <f>($AV189-$AV190)*100</f>
        <v/>
      </c>
      <c r="CP189" s="56">
        <f>($AW189-$AW190)*100</f>
        <v/>
      </c>
      <c r="CQ189" s="56">
        <f>($AX189-$AX190)*100</f>
        <v/>
      </c>
      <c r="CR189" s="56">
        <f>($AY189-$AY190)*100</f>
        <v/>
      </c>
      <c r="CS189" s="57">
        <f>IFERROR($L190/$L189-1,"")</f>
        <v/>
      </c>
      <c r="CT189" s="57">
        <f>IFERROR($M190/$M189-1,"")</f>
        <v/>
      </c>
      <c r="CU189" s="57">
        <f>IFERROR($N190/$N189-1,"")</f>
        <v/>
      </c>
      <c r="CV189" s="57">
        <f>IFERROR($O190/$O189-1,"")</f>
        <v/>
      </c>
      <c r="CW189" s="57">
        <f>IFERROR($P190/$P189-1,"")</f>
        <v/>
      </c>
      <c r="CX189" s="57">
        <f>IFERROR($Q190/$Q189-1,"")</f>
        <v/>
      </c>
      <c r="CY189" s="57">
        <f>IFERROR($R190/$R189-1,"")</f>
        <v/>
      </c>
      <c r="CZ189" s="57">
        <f>IFERROR($S190/$S189-1,"")</f>
        <v/>
      </c>
      <c r="DA189" s="57">
        <f>IFERROR($T190/$T189-1,"")</f>
        <v/>
      </c>
      <c r="DB189" s="57">
        <f>IFERROR($U190/$U189-1,"")</f>
        <v/>
      </c>
      <c r="DC189" s="57">
        <f>IFERROR($V190/$V189-1,"")</f>
        <v/>
      </c>
      <c r="DD189" s="57">
        <f>IFERROR($W190/$W189-1,"")</f>
        <v/>
      </c>
      <c r="DE189" s="57">
        <f>IFERROR($X190/$X189-1,"")</f>
        <v/>
      </c>
      <c r="DF189" s="57">
        <f>IFERROR($Y190/$Y189-1,"")</f>
        <v/>
      </c>
      <c r="DG189" s="57">
        <f>IFERROR($Z190/$Z189-1,"")</f>
        <v/>
      </c>
      <c r="DH189" s="57">
        <f>IFERROR($AA190/$AA189-1,"")</f>
        <v/>
      </c>
      <c r="DI189" s="57">
        <f>IFERROR($AB190/$AB189-1,"")</f>
        <v/>
      </c>
      <c r="DJ189" s="57">
        <f>IFERROR($AC190/$AC189-1,"")</f>
        <v/>
      </c>
      <c r="DK189" s="57">
        <f>IFERROR($AD190/$AD189-1,"")</f>
        <v/>
      </c>
      <c r="DL189" s="57">
        <f>IFERROR($AE190/$AE189-1,"")</f>
        <v/>
      </c>
      <c r="DM189" s="56">
        <f>$AZ189-$AZ190</f>
        <v/>
      </c>
      <c r="DN189" s="56">
        <f>$BA189-$BA190</f>
        <v/>
      </c>
      <c r="DO189" s="56">
        <f>$BB189-$BB190</f>
        <v/>
      </c>
      <c r="DP189" s="56">
        <f>$BC189-$BC190</f>
        <v/>
      </c>
      <c r="DQ189" s="56">
        <f>$BD189-$BD190</f>
        <v/>
      </c>
      <c r="DR189" s="56">
        <f>$BE189-$BE190</f>
        <v/>
      </c>
      <c r="DS189" s="56">
        <f>$BF189-$BF190</f>
        <v/>
      </c>
      <c r="DT189" s="56">
        <f>$BG189-$BG190</f>
        <v/>
      </c>
      <c r="DU189" s="56">
        <f>$BH189-$BH190</f>
        <v/>
      </c>
      <c r="DV189" s="56">
        <f>$BI189-$BI190</f>
        <v/>
      </c>
      <c r="DW189" s="56">
        <f>$BJ189-$BJ190</f>
        <v/>
      </c>
      <c r="DX189" s="56">
        <f>$BK189-$BK190</f>
        <v/>
      </c>
      <c r="DY189" s="56">
        <f>$BL189-$BL190</f>
        <v/>
      </c>
      <c r="DZ189" s="56">
        <f>$BM189-$BM190</f>
        <v/>
      </c>
      <c r="EA189" s="56">
        <f>$BN189-$BN190</f>
        <v/>
      </c>
      <c r="EB189" s="56">
        <f>$BO189-$BO190</f>
        <v/>
      </c>
      <c r="EC189" s="56">
        <f>$BP189-$BP190</f>
        <v/>
      </c>
      <c r="ED189" s="56">
        <f>$BQ189-$BQ190</f>
        <v/>
      </c>
      <c r="EE189" s="56">
        <f>$BR189-$BR190</f>
        <v/>
      </c>
      <c r="EF189" s="56">
        <f>$BS189-$BS190</f>
        <v/>
      </c>
      <c r="EG189" s="56">
        <f>$BT189-$BT190</f>
        <v/>
      </c>
      <c r="EH189" s="56">
        <f>$BU189-$BU190</f>
        <v/>
      </c>
    </row>
    <row r="190">
      <c r="BV190" s="56">
        <f>($D190-$D191)*100</f>
        <v/>
      </c>
      <c r="BW190" s="56">
        <f>($C190-$C191)*100</f>
        <v/>
      </c>
      <c r="BX190" s="57">
        <f>IFERROR($I190/$I191-1,"")</f>
        <v/>
      </c>
      <c r="BY190" s="56">
        <f>($AF190-$AF191)*100</f>
        <v/>
      </c>
      <c r="BZ190" s="56">
        <f>($AG190-$AG191)*100</f>
        <v/>
      </c>
      <c r="CA190" s="56">
        <f>($AH190-$AH191)*100</f>
        <v/>
      </c>
      <c r="CB190" s="56">
        <f>($AI190-$AI191)*100</f>
        <v/>
      </c>
      <c r="CC190" s="56">
        <f>($AJ190-$AJ191)*100</f>
        <v/>
      </c>
      <c r="CD190" s="56">
        <f>($AK190-$AK191)*100</f>
        <v/>
      </c>
      <c r="CE190" s="56">
        <f>($AL190-$AL191)*100</f>
        <v/>
      </c>
      <c r="CF190" s="56">
        <f>($AM190-$AM191)*100</f>
        <v/>
      </c>
      <c r="CG190" s="56">
        <f>($AN190-$AN191)*100</f>
        <v/>
      </c>
      <c r="CH190" s="56">
        <f>($AO190-$AO191)*100</f>
        <v/>
      </c>
      <c r="CI190" s="56">
        <f>($AP190-$AP191)*100</f>
        <v/>
      </c>
      <c r="CJ190" s="56">
        <f>($AQ190-$AQ191)*100</f>
        <v/>
      </c>
      <c r="CK190" s="56">
        <f>($AR190-$AR191)*100</f>
        <v/>
      </c>
      <c r="CL190" s="56">
        <f>($AS190-$AS191)*100</f>
        <v/>
      </c>
      <c r="CM190" s="56">
        <f>($AT190-$AT191)*100</f>
        <v/>
      </c>
      <c r="CN190" s="56">
        <f>($AU190-$AU191)*100</f>
        <v/>
      </c>
      <c r="CO190" s="56">
        <f>($AV190-$AV191)*100</f>
        <v/>
      </c>
      <c r="CP190" s="56">
        <f>($AW190-$AW191)*100</f>
        <v/>
      </c>
      <c r="CQ190" s="56">
        <f>($AX190-$AX191)*100</f>
        <v/>
      </c>
      <c r="CR190" s="56">
        <f>($AY190-$AY191)*100</f>
        <v/>
      </c>
      <c r="CS190" s="57">
        <f>IFERROR($L191/$L190-1,"")</f>
        <v/>
      </c>
      <c r="CT190" s="57">
        <f>IFERROR($M191/$M190-1,"")</f>
        <v/>
      </c>
      <c r="CU190" s="57">
        <f>IFERROR($N191/$N190-1,"")</f>
        <v/>
      </c>
      <c r="CV190" s="57">
        <f>IFERROR($O191/$O190-1,"")</f>
        <v/>
      </c>
      <c r="CW190" s="57">
        <f>IFERROR($P191/$P190-1,"")</f>
        <v/>
      </c>
      <c r="CX190" s="57">
        <f>IFERROR($Q191/$Q190-1,"")</f>
        <v/>
      </c>
      <c r="CY190" s="57">
        <f>IFERROR($R191/$R190-1,"")</f>
        <v/>
      </c>
      <c r="CZ190" s="57">
        <f>IFERROR($S191/$S190-1,"")</f>
        <v/>
      </c>
      <c r="DA190" s="57">
        <f>IFERROR($T191/$T190-1,"")</f>
        <v/>
      </c>
      <c r="DB190" s="57">
        <f>IFERROR($U191/$U190-1,"")</f>
        <v/>
      </c>
      <c r="DC190" s="57">
        <f>IFERROR($V191/$V190-1,"")</f>
        <v/>
      </c>
      <c r="DD190" s="57">
        <f>IFERROR($W191/$W190-1,"")</f>
        <v/>
      </c>
      <c r="DE190" s="57">
        <f>IFERROR($X191/$X190-1,"")</f>
        <v/>
      </c>
      <c r="DF190" s="57">
        <f>IFERROR($Y191/$Y190-1,"")</f>
        <v/>
      </c>
      <c r="DG190" s="57">
        <f>IFERROR($Z191/$Z190-1,"")</f>
        <v/>
      </c>
      <c r="DH190" s="57">
        <f>IFERROR($AA191/$AA190-1,"")</f>
        <v/>
      </c>
      <c r="DI190" s="57">
        <f>IFERROR($AB191/$AB190-1,"")</f>
        <v/>
      </c>
      <c r="DJ190" s="57">
        <f>IFERROR($AC191/$AC190-1,"")</f>
        <v/>
      </c>
      <c r="DK190" s="57">
        <f>IFERROR($AD191/$AD190-1,"")</f>
        <v/>
      </c>
      <c r="DL190" s="57">
        <f>IFERROR($AE191/$AE190-1,"")</f>
        <v/>
      </c>
      <c r="DM190" s="56">
        <f>$AZ190-$AZ191</f>
        <v/>
      </c>
      <c r="DN190" s="56">
        <f>$BA190-$BA191</f>
        <v/>
      </c>
      <c r="DO190" s="56">
        <f>$BB190-$BB191</f>
        <v/>
      </c>
      <c r="DP190" s="56">
        <f>$BC190-$BC191</f>
        <v/>
      </c>
      <c r="DQ190" s="56">
        <f>$BD190-$BD191</f>
        <v/>
      </c>
      <c r="DR190" s="56">
        <f>$BE190-$BE191</f>
        <v/>
      </c>
      <c r="DS190" s="56">
        <f>$BF190-$BF191</f>
        <v/>
      </c>
      <c r="DT190" s="56">
        <f>$BG190-$BG191</f>
        <v/>
      </c>
      <c r="DU190" s="56">
        <f>$BH190-$BH191</f>
        <v/>
      </c>
      <c r="DV190" s="56">
        <f>$BI190-$BI191</f>
        <v/>
      </c>
      <c r="DW190" s="56">
        <f>$BJ190-$BJ191</f>
        <v/>
      </c>
      <c r="DX190" s="56">
        <f>$BK190-$BK191</f>
        <v/>
      </c>
      <c r="DY190" s="56">
        <f>$BL190-$BL191</f>
        <v/>
      </c>
      <c r="DZ190" s="56">
        <f>$BM190-$BM191</f>
        <v/>
      </c>
      <c r="EA190" s="56">
        <f>$BN190-$BN191</f>
        <v/>
      </c>
      <c r="EB190" s="56">
        <f>$BO190-$BO191</f>
        <v/>
      </c>
      <c r="EC190" s="56">
        <f>$BP190-$BP191</f>
        <v/>
      </c>
      <c r="ED190" s="56">
        <f>$BQ190-$BQ191</f>
        <v/>
      </c>
      <c r="EE190" s="56">
        <f>$BR190-$BR191</f>
        <v/>
      </c>
      <c r="EF190" s="56">
        <f>$BS190-$BS191</f>
        <v/>
      </c>
      <c r="EG190" s="56">
        <f>$BT190-$BT191</f>
        <v/>
      </c>
      <c r="EH190" s="56">
        <f>$BU190-$BU191</f>
        <v/>
      </c>
    </row>
    <row r="191">
      <c r="BV191" s="56">
        <f>($D191-$D192)*100</f>
        <v/>
      </c>
      <c r="BW191" s="56">
        <f>($C191-$C192)*100</f>
        <v/>
      </c>
      <c r="BX191" s="57">
        <f>IFERROR($I191/$I192-1,"")</f>
        <v/>
      </c>
      <c r="BY191" s="56">
        <f>($AF191-$AF192)*100</f>
        <v/>
      </c>
      <c r="BZ191" s="56">
        <f>($AG191-$AG192)*100</f>
        <v/>
      </c>
      <c r="CA191" s="56">
        <f>($AH191-$AH192)*100</f>
        <v/>
      </c>
      <c r="CB191" s="56">
        <f>($AI191-$AI192)*100</f>
        <v/>
      </c>
      <c r="CC191" s="56">
        <f>($AJ191-$AJ192)*100</f>
        <v/>
      </c>
      <c r="CD191" s="56">
        <f>($AK191-$AK192)*100</f>
        <v/>
      </c>
      <c r="CE191" s="56">
        <f>($AL191-$AL192)*100</f>
        <v/>
      </c>
      <c r="CF191" s="56">
        <f>($AM191-$AM192)*100</f>
        <v/>
      </c>
      <c r="CG191" s="56">
        <f>($AN191-$AN192)*100</f>
        <v/>
      </c>
      <c r="CH191" s="56">
        <f>($AO191-$AO192)*100</f>
        <v/>
      </c>
      <c r="CI191" s="56">
        <f>($AP191-$AP192)*100</f>
        <v/>
      </c>
      <c r="CJ191" s="56">
        <f>($AQ191-$AQ192)*100</f>
        <v/>
      </c>
      <c r="CK191" s="56">
        <f>($AR191-$AR192)*100</f>
        <v/>
      </c>
      <c r="CL191" s="56">
        <f>($AS191-$AS192)*100</f>
        <v/>
      </c>
      <c r="CM191" s="56">
        <f>($AT191-$AT192)*100</f>
        <v/>
      </c>
      <c r="CN191" s="56">
        <f>($AU191-$AU192)*100</f>
        <v/>
      </c>
      <c r="CO191" s="56">
        <f>($AV191-$AV192)*100</f>
        <v/>
      </c>
      <c r="CP191" s="56">
        <f>($AW191-$AW192)*100</f>
        <v/>
      </c>
      <c r="CQ191" s="56">
        <f>($AX191-$AX192)*100</f>
        <v/>
      </c>
      <c r="CR191" s="56">
        <f>($AY191-$AY192)*100</f>
        <v/>
      </c>
      <c r="CS191" s="57">
        <f>IFERROR($L192/$L191-1,"")</f>
        <v/>
      </c>
      <c r="CT191" s="57">
        <f>IFERROR($M192/$M191-1,"")</f>
        <v/>
      </c>
      <c r="CU191" s="57">
        <f>IFERROR($N192/$N191-1,"")</f>
        <v/>
      </c>
      <c r="CV191" s="57">
        <f>IFERROR($O192/$O191-1,"")</f>
        <v/>
      </c>
      <c r="CW191" s="57">
        <f>IFERROR($P192/$P191-1,"")</f>
        <v/>
      </c>
      <c r="CX191" s="57">
        <f>IFERROR($Q192/$Q191-1,"")</f>
        <v/>
      </c>
      <c r="CY191" s="57">
        <f>IFERROR($R192/$R191-1,"")</f>
        <v/>
      </c>
      <c r="CZ191" s="57">
        <f>IFERROR($S192/$S191-1,"")</f>
        <v/>
      </c>
      <c r="DA191" s="57">
        <f>IFERROR($T192/$T191-1,"")</f>
        <v/>
      </c>
      <c r="DB191" s="57">
        <f>IFERROR($U192/$U191-1,"")</f>
        <v/>
      </c>
      <c r="DC191" s="57">
        <f>IFERROR($V192/$V191-1,"")</f>
        <v/>
      </c>
      <c r="DD191" s="57">
        <f>IFERROR($W192/$W191-1,"")</f>
        <v/>
      </c>
      <c r="DE191" s="57">
        <f>IFERROR($X192/$X191-1,"")</f>
        <v/>
      </c>
      <c r="DF191" s="57">
        <f>IFERROR($Y192/$Y191-1,"")</f>
        <v/>
      </c>
      <c r="DG191" s="57">
        <f>IFERROR($Z192/$Z191-1,"")</f>
        <v/>
      </c>
      <c r="DH191" s="57">
        <f>IFERROR($AA192/$AA191-1,"")</f>
        <v/>
      </c>
      <c r="DI191" s="57">
        <f>IFERROR($AB192/$AB191-1,"")</f>
        <v/>
      </c>
      <c r="DJ191" s="57">
        <f>IFERROR($AC192/$AC191-1,"")</f>
        <v/>
      </c>
      <c r="DK191" s="57">
        <f>IFERROR($AD192/$AD191-1,"")</f>
        <v/>
      </c>
      <c r="DL191" s="57">
        <f>IFERROR($AE192/$AE191-1,"")</f>
        <v/>
      </c>
      <c r="DM191" s="56">
        <f>$AZ191-$AZ192</f>
        <v/>
      </c>
      <c r="DN191" s="56">
        <f>$BA191-$BA192</f>
        <v/>
      </c>
      <c r="DO191" s="56">
        <f>$BB191-$BB192</f>
        <v/>
      </c>
      <c r="DP191" s="56">
        <f>$BC191-$BC192</f>
        <v/>
      </c>
      <c r="DQ191" s="56">
        <f>$BD191-$BD192</f>
        <v/>
      </c>
      <c r="DR191" s="56">
        <f>$BE191-$BE192</f>
        <v/>
      </c>
      <c r="DS191" s="56">
        <f>$BF191-$BF192</f>
        <v/>
      </c>
      <c r="DT191" s="56">
        <f>$BG191-$BG192</f>
        <v/>
      </c>
      <c r="DU191" s="56">
        <f>$BH191-$BH192</f>
        <v/>
      </c>
      <c r="DV191" s="56">
        <f>$BI191-$BI192</f>
        <v/>
      </c>
      <c r="DW191" s="56">
        <f>$BJ191-$BJ192</f>
        <v/>
      </c>
      <c r="DX191" s="56">
        <f>$BK191-$BK192</f>
        <v/>
      </c>
      <c r="DY191" s="56">
        <f>$BL191-$BL192</f>
        <v/>
      </c>
      <c r="DZ191" s="56">
        <f>$BM191-$BM192</f>
        <v/>
      </c>
      <c r="EA191" s="56">
        <f>$BN191-$BN192</f>
        <v/>
      </c>
      <c r="EB191" s="56">
        <f>$BO191-$BO192</f>
        <v/>
      </c>
      <c r="EC191" s="56">
        <f>$BP191-$BP192</f>
        <v/>
      </c>
      <c r="ED191" s="56">
        <f>$BQ191-$BQ192</f>
        <v/>
      </c>
      <c r="EE191" s="56">
        <f>$BR191-$BR192</f>
        <v/>
      </c>
      <c r="EF191" s="56">
        <f>$BS191-$BS192</f>
        <v/>
      </c>
      <c r="EG191" s="56">
        <f>$BT191-$BT192</f>
        <v/>
      </c>
      <c r="EH191" s="56">
        <f>$BU191-$BU192</f>
        <v/>
      </c>
    </row>
    <row r="192">
      <c r="BV192" s="56">
        <f>($D192-$D193)*100</f>
        <v/>
      </c>
      <c r="BW192" s="56">
        <f>($C192-$C193)*100</f>
        <v/>
      </c>
      <c r="BX192" s="57">
        <f>IFERROR($I192/$I193-1,"")</f>
        <v/>
      </c>
      <c r="BY192" s="56">
        <f>($AF192-$AF193)*100</f>
        <v/>
      </c>
      <c r="BZ192" s="56">
        <f>($AG192-$AG193)*100</f>
        <v/>
      </c>
      <c r="CA192" s="56">
        <f>($AH192-$AH193)*100</f>
        <v/>
      </c>
      <c r="CB192" s="56">
        <f>($AI192-$AI193)*100</f>
        <v/>
      </c>
      <c r="CC192" s="56">
        <f>($AJ192-$AJ193)*100</f>
        <v/>
      </c>
      <c r="CD192" s="56">
        <f>($AK192-$AK193)*100</f>
        <v/>
      </c>
      <c r="CE192" s="56">
        <f>($AL192-$AL193)*100</f>
        <v/>
      </c>
      <c r="CF192" s="56">
        <f>($AM192-$AM193)*100</f>
        <v/>
      </c>
      <c r="CG192" s="56">
        <f>($AN192-$AN193)*100</f>
        <v/>
      </c>
      <c r="CH192" s="56">
        <f>($AO192-$AO193)*100</f>
        <v/>
      </c>
      <c r="CI192" s="56">
        <f>($AP192-$AP193)*100</f>
        <v/>
      </c>
      <c r="CJ192" s="56">
        <f>($AQ192-$AQ193)*100</f>
        <v/>
      </c>
      <c r="CK192" s="56">
        <f>($AR192-$AR193)*100</f>
        <v/>
      </c>
      <c r="CL192" s="56">
        <f>($AS192-$AS193)*100</f>
        <v/>
      </c>
      <c r="CM192" s="56">
        <f>($AT192-$AT193)*100</f>
        <v/>
      </c>
      <c r="CN192" s="56">
        <f>($AU192-$AU193)*100</f>
        <v/>
      </c>
      <c r="CO192" s="56">
        <f>($AV192-$AV193)*100</f>
        <v/>
      </c>
      <c r="CP192" s="56">
        <f>($AW192-$AW193)*100</f>
        <v/>
      </c>
      <c r="CQ192" s="56">
        <f>($AX192-$AX193)*100</f>
        <v/>
      </c>
      <c r="CR192" s="56">
        <f>($AY192-$AY193)*100</f>
        <v/>
      </c>
      <c r="CS192" s="57">
        <f>IFERROR($L193/$L192-1,"")</f>
        <v/>
      </c>
      <c r="CT192" s="57">
        <f>IFERROR($M193/$M192-1,"")</f>
        <v/>
      </c>
      <c r="CU192" s="57">
        <f>IFERROR($N193/$N192-1,"")</f>
        <v/>
      </c>
      <c r="CV192" s="57">
        <f>IFERROR($O193/$O192-1,"")</f>
        <v/>
      </c>
      <c r="CW192" s="57">
        <f>IFERROR($P193/$P192-1,"")</f>
        <v/>
      </c>
      <c r="CX192" s="57">
        <f>IFERROR($Q193/$Q192-1,"")</f>
        <v/>
      </c>
      <c r="CY192" s="57">
        <f>IFERROR($R193/$R192-1,"")</f>
        <v/>
      </c>
      <c r="CZ192" s="57">
        <f>IFERROR($S193/$S192-1,"")</f>
        <v/>
      </c>
      <c r="DA192" s="57">
        <f>IFERROR($T193/$T192-1,"")</f>
        <v/>
      </c>
      <c r="DB192" s="57">
        <f>IFERROR($U193/$U192-1,"")</f>
        <v/>
      </c>
      <c r="DC192" s="57">
        <f>IFERROR($V193/$V192-1,"")</f>
        <v/>
      </c>
      <c r="DD192" s="57">
        <f>IFERROR($W193/$W192-1,"")</f>
        <v/>
      </c>
      <c r="DE192" s="57">
        <f>IFERROR($X193/$X192-1,"")</f>
        <v/>
      </c>
      <c r="DF192" s="57">
        <f>IFERROR($Y193/$Y192-1,"")</f>
        <v/>
      </c>
      <c r="DG192" s="57">
        <f>IFERROR($Z193/$Z192-1,"")</f>
        <v/>
      </c>
      <c r="DH192" s="57">
        <f>IFERROR($AA193/$AA192-1,"")</f>
        <v/>
      </c>
      <c r="DI192" s="57">
        <f>IFERROR($AB193/$AB192-1,"")</f>
        <v/>
      </c>
      <c r="DJ192" s="57">
        <f>IFERROR($AC193/$AC192-1,"")</f>
        <v/>
      </c>
      <c r="DK192" s="57">
        <f>IFERROR($AD193/$AD192-1,"")</f>
        <v/>
      </c>
      <c r="DL192" s="57">
        <f>IFERROR($AE193/$AE192-1,"")</f>
        <v/>
      </c>
      <c r="DM192" s="56">
        <f>$AZ192-$AZ193</f>
        <v/>
      </c>
      <c r="DN192" s="56">
        <f>$BA192-$BA193</f>
        <v/>
      </c>
      <c r="DO192" s="56">
        <f>$BB192-$BB193</f>
        <v/>
      </c>
      <c r="DP192" s="56">
        <f>$BC192-$BC193</f>
        <v/>
      </c>
      <c r="DQ192" s="56">
        <f>$BD192-$BD193</f>
        <v/>
      </c>
      <c r="DR192" s="56">
        <f>$BE192-$BE193</f>
        <v/>
      </c>
      <c r="DS192" s="56">
        <f>$BF192-$BF193</f>
        <v/>
      </c>
      <c r="DT192" s="56">
        <f>$BG192-$BG193</f>
        <v/>
      </c>
      <c r="DU192" s="56">
        <f>$BH192-$BH193</f>
        <v/>
      </c>
      <c r="DV192" s="56">
        <f>$BI192-$BI193</f>
        <v/>
      </c>
      <c r="DW192" s="56">
        <f>$BJ192-$BJ193</f>
        <v/>
      </c>
      <c r="DX192" s="56">
        <f>$BK192-$BK193</f>
        <v/>
      </c>
      <c r="DY192" s="56">
        <f>$BL192-$BL193</f>
        <v/>
      </c>
      <c r="DZ192" s="56">
        <f>$BM192-$BM193</f>
        <v/>
      </c>
      <c r="EA192" s="56">
        <f>$BN192-$BN193</f>
        <v/>
      </c>
      <c r="EB192" s="56">
        <f>$BO192-$BO193</f>
        <v/>
      </c>
      <c r="EC192" s="56">
        <f>$BP192-$BP193</f>
        <v/>
      </c>
      <c r="ED192" s="56">
        <f>$BQ192-$BQ193</f>
        <v/>
      </c>
      <c r="EE192" s="56">
        <f>$BR192-$BR193</f>
        <v/>
      </c>
      <c r="EF192" s="56">
        <f>$BS192-$BS193</f>
        <v/>
      </c>
      <c r="EG192" s="56">
        <f>$BT192-$BT193</f>
        <v/>
      </c>
      <c r="EH192" s="56">
        <f>$BU192-$BU193</f>
        <v/>
      </c>
    </row>
    <row r="193">
      <c r="BV193" s="56">
        <f>($D193-$D194)*100</f>
        <v/>
      </c>
      <c r="BW193" s="56">
        <f>($C193-$C194)*100</f>
        <v/>
      </c>
      <c r="BX193" s="57">
        <f>IFERROR($I193/$I194-1,"")</f>
        <v/>
      </c>
      <c r="BY193" s="56">
        <f>($AF193-$AF194)*100</f>
        <v/>
      </c>
      <c r="BZ193" s="56">
        <f>($AG193-$AG194)*100</f>
        <v/>
      </c>
      <c r="CA193" s="56">
        <f>($AH193-$AH194)*100</f>
        <v/>
      </c>
      <c r="CB193" s="56">
        <f>($AI193-$AI194)*100</f>
        <v/>
      </c>
      <c r="CC193" s="56">
        <f>($AJ193-$AJ194)*100</f>
        <v/>
      </c>
      <c r="CD193" s="56">
        <f>($AK193-$AK194)*100</f>
        <v/>
      </c>
      <c r="CE193" s="56">
        <f>($AL193-$AL194)*100</f>
        <v/>
      </c>
      <c r="CF193" s="56">
        <f>($AM193-$AM194)*100</f>
        <v/>
      </c>
      <c r="CG193" s="56">
        <f>($AN193-$AN194)*100</f>
        <v/>
      </c>
      <c r="CH193" s="56">
        <f>($AO193-$AO194)*100</f>
        <v/>
      </c>
      <c r="CI193" s="56">
        <f>($AP193-$AP194)*100</f>
        <v/>
      </c>
      <c r="CJ193" s="56">
        <f>($AQ193-$AQ194)*100</f>
        <v/>
      </c>
      <c r="CK193" s="56">
        <f>($AR193-$AR194)*100</f>
        <v/>
      </c>
      <c r="CL193" s="56">
        <f>($AS193-$AS194)*100</f>
        <v/>
      </c>
      <c r="CM193" s="56">
        <f>($AT193-$AT194)*100</f>
        <v/>
      </c>
      <c r="CN193" s="56">
        <f>($AU193-$AU194)*100</f>
        <v/>
      </c>
      <c r="CO193" s="56">
        <f>($AV193-$AV194)*100</f>
        <v/>
      </c>
      <c r="CP193" s="56">
        <f>($AW193-$AW194)*100</f>
        <v/>
      </c>
      <c r="CQ193" s="56">
        <f>($AX193-$AX194)*100</f>
        <v/>
      </c>
      <c r="CR193" s="56">
        <f>($AY193-$AY194)*100</f>
        <v/>
      </c>
      <c r="CS193" s="57">
        <f>IFERROR($L194/$L193-1,"")</f>
        <v/>
      </c>
      <c r="CT193" s="57">
        <f>IFERROR($M194/$M193-1,"")</f>
        <v/>
      </c>
      <c r="CU193" s="57">
        <f>IFERROR($N194/$N193-1,"")</f>
        <v/>
      </c>
      <c r="CV193" s="57">
        <f>IFERROR($O194/$O193-1,"")</f>
        <v/>
      </c>
      <c r="CW193" s="57">
        <f>IFERROR($P194/$P193-1,"")</f>
        <v/>
      </c>
      <c r="CX193" s="57">
        <f>IFERROR($Q194/$Q193-1,"")</f>
        <v/>
      </c>
      <c r="CY193" s="57">
        <f>IFERROR($R194/$R193-1,"")</f>
        <v/>
      </c>
      <c r="CZ193" s="57">
        <f>IFERROR($S194/$S193-1,"")</f>
        <v/>
      </c>
      <c r="DA193" s="57">
        <f>IFERROR($T194/$T193-1,"")</f>
        <v/>
      </c>
      <c r="DB193" s="57">
        <f>IFERROR($U194/$U193-1,"")</f>
        <v/>
      </c>
      <c r="DC193" s="57">
        <f>IFERROR($V194/$V193-1,"")</f>
        <v/>
      </c>
      <c r="DD193" s="57">
        <f>IFERROR($W194/$W193-1,"")</f>
        <v/>
      </c>
      <c r="DE193" s="57">
        <f>IFERROR($X194/$X193-1,"")</f>
        <v/>
      </c>
      <c r="DF193" s="57">
        <f>IFERROR($Y194/$Y193-1,"")</f>
        <v/>
      </c>
      <c r="DG193" s="57">
        <f>IFERROR($Z194/$Z193-1,"")</f>
        <v/>
      </c>
      <c r="DH193" s="57">
        <f>IFERROR($AA194/$AA193-1,"")</f>
        <v/>
      </c>
      <c r="DI193" s="57">
        <f>IFERROR($AB194/$AB193-1,"")</f>
        <v/>
      </c>
      <c r="DJ193" s="57">
        <f>IFERROR($AC194/$AC193-1,"")</f>
        <v/>
      </c>
      <c r="DK193" s="57">
        <f>IFERROR($AD194/$AD193-1,"")</f>
        <v/>
      </c>
      <c r="DL193" s="57">
        <f>IFERROR($AE194/$AE193-1,"")</f>
        <v/>
      </c>
      <c r="DM193" s="56">
        <f>$AZ193-$AZ194</f>
        <v/>
      </c>
      <c r="DN193" s="56">
        <f>$BA193-$BA194</f>
        <v/>
      </c>
      <c r="DO193" s="56">
        <f>$BB193-$BB194</f>
        <v/>
      </c>
      <c r="DP193" s="56">
        <f>$BC193-$BC194</f>
        <v/>
      </c>
      <c r="DQ193" s="56">
        <f>$BD193-$BD194</f>
        <v/>
      </c>
      <c r="DR193" s="56">
        <f>$BE193-$BE194</f>
        <v/>
      </c>
      <c r="DS193" s="56">
        <f>$BF193-$BF194</f>
        <v/>
      </c>
      <c r="DT193" s="56">
        <f>$BG193-$BG194</f>
        <v/>
      </c>
      <c r="DU193" s="56">
        <f>$BH193-$BH194</f>
        <v/>
      </c>
      <c r="DV193" s="56">
        <f>$BI193-$BI194</f>
        <v/>
      </c>
      <c r="DW193" s="56">
        <f>$BJ193-$BJ194</f>
        <v/>
      </c>
      <c r="DX193" s="56">
        <f>$BK193-$BK194</f>
        <v/>
      </c>
      <c r="DY193" s="56">
        <f>$BL193-$BL194</f>
        <v/>
      </c>
      <c r="DZ193" s="56">
        <f>$BM193-$BM194</f>
        <v/>
      </c>
      <c r="EA193" s="56">
        <f>$BN193-$BN194</f>
        <v/>
      </c>
      <c r="EB193" s="56">
        <f>$BO193-$BO194</f>
        <v/>
      </c>
      <c r="EC193" s="56">
        <f>$BP193-$BP194</f>
        <v/>
      </c>
      <c r="ED193" s="56">
        <f>$BQ193-$BQ194</f>
        <v/>
      </c>
      <c r="EE193" s="56">
        <f>$BR193-$BR194</f>
        <v/>
      </c>
      <c r="EF193" s="56">
        <f>$BS193-$BS194</f>
        <v/>
      </c>
      <c r="EG193" s="56">
        <f>$BT193-$BT194</f>
        <v/>
      </c>
      <c r="EH193" s="56">
        <f>$BU193-$BU194</f>
        <v/>
      </c>
    </row>
    <row r="194">
      <c r="BV194" s="56">
        <f>($D194-$D195)*100</f>
        <v/>
      </c>
      <c r="BW194" s="56">
        <f>($C194-$C195)*100</f>
        <v/>
      </c>
      <c r="BX194" s="57">
        <f>IFERROR($I194/$I195-1,"")</f>
        <v/>
      </c>
      <c r="BY194" s="56">
        <f>($AF194-$AF195)*100</f>
        <v/>
      </c>
      <c r="BZ194" s="56">
        <f>($AG194-$AG195)*100</f>
        <v/>
      </c>
      <c r="CA194" s="56">
        <f>($AH194-$AH195)*100</f>
        <v/>
      </c>
      <c r="CB194" s="56">
        <f>($AI194-$AI195)*100</f>
        <v/>
      </c>
      <c r="CC194" s="56">
        <f>($AJ194-$AJ195)*100</f>
        <v/>
      </c>
      <c r="CD194" s="56">
        <f>($AK194-$AK195)*100</f>
        <v/>
      </c>
      <c r="CE194" s="56">
        <f>($AL194-$AL195)*100</f>
        <v/>
      </c>
      <c r="CF194" s="56">
        <f>($AM194-$AM195)*100</f>
        <v/>
      </c>
      <c r="CG194" s="56">
        <f>($AN194-$AN195)*100</f>
        <v/>
      </c>
      <c r="CH194" s="56">
        <f>($AO194-$AO195)*100</f>
        <v/>
      </c>
      <c r="CI194" s="56">
        <f>($AP194-$AP195)*100</f>
        <v/>
      </c>
      <c r="CJ194" s="56">
        <f>($AQ194-$AQ195)*100</f>
        <v/>
      </c>
      <c r="CK194" s="56">
        <f>($AR194-$AR195)*100</f>
        <v/>
      </c>
      <c r="CL194" s="56">
        <f>($AS194-$AS195)*100</f>
        <v/>
      </c>
      <c r="CM194" s="56">
        <f>($AT194-$AT195)*100</f>
        <v/>
      </c>
      <c r="CN194" s="56">
        <f>($AU194-$AU195)*100</f>
        <v/>
      </c>
      <c r="CO194" s="56">
        <f>($AV194-$AV195)*100</f>
        <v/>
      </c>
      <c r="CP194" s="56">
        <f>($AW194-$AW195)*100</f>
        <v/>
      </c>
      <c r="CQ194" s="56">
        <f>($AX194-$AX195)*100</f>
        <v/>
      </c>
      <c r="CR194" s="56">
        <f>($AY194-$AY195)*100</f>
        <v/>
      </c>
      <c r="CS194" s="57">
        <f>IFERROR($L195/$L194-1,"")</f>
        <v/>
      </c>
      <c r="CT194" s="57">
        <f>IFERROR($M195/$M194-1,"")</f>
        <v/>
      </c>
      <c r="CU194" s="57">
        <f>IFERROR($N195/$N194-1,"")</f>
        <v/>
      </c>
      <c r="CV194" s="57">
        <f>IFERROR($O195/$O194-1,"")</f>
        <v/>
      </c>
      <c r="CW194" s="57">
        <f>IFERROR($P195/$P194-1,"")</f>
        <v/>
      </c>
      <c r="CX194" s="57">
        <f>IFERROR($Q195/$Q194-1,"")</f>
        <v/>
      </c>
      <c r="CY194" s="57">
        <f>IFERROR($R195/$R194-1,"")</f>
        <v/>
      </c>
      <c r="CZ194" s="57">
        <f>IFERROR($S195/$S194-1,"")</f>
        <v/>
      </c>
      <c r="DA194" s="57">
        <f>IFERROR($T195/$T194-1,"")</f>
        <v/>
      </c>
      <c r="DB194" s="57">
        <f>IFERROR($U195/$U194-1,"")</f>
        <v/>
      </c>
      <c r="DC194" s="57">
        <f>IFERROR($V195/$V194-1,"")</f>
        <v/>
      </c>
      <c r="DD194" s="57">
        <f>IFERROR($W195/$W194-1,"")</f>
        <v/>
      </c>
      <c r="DE194" s="57">
        <f>IFERROR($X195/$X194-1,"")</f>
        <v/>
      </c>
      <c r="DF194" s="57">
        <f>IFERROR($Y195/$Y194-1,"")</f>
        <v/>
      </c>
      <c r="DG194" s="57">
        <f>IFERROR($Z195/$Z194-1,"")</f>
        <v/>
      </c>
      <c r="DH194" s="57">
        <f>IFERROR($AA195/$AA194-1,"")</f>
        <v/>
      </c>
      <c r="DI194" s="57">
        <f>IFERROR($AB195/$AB194-1,"")</f>
        <v/>
      </c>
      <c r="DJ194" s="57">
        <f>IFERROR($AC195/$AC194-1,"")</f>
        <v/>
      </c>
      <c r="DK194" s="57">
        <f>IFERROR($AD195/$AD194-1,"")</f>
        <v/>
      </c>
      <c r="DL194" s="57">
        <f>IFERROR($AE195/$AE194-1,"")</f>
        <v/>
      </c>
      <c r="DM194" s="56">
        <f>$AZ194-$AZ195</f>
        <v/>
      </c>
      <c r="DN194" s="56">
        <f>$BA194-$BA195</f>
        <v/>
      </c>
      <c r="DO194" s="56">
        <f>$BB194-$BB195</f>
        <v/>
      </c>
      <c r="DP194" s="56">
        <f>$BC194-$BC195</f>
        <v/>
      </c>
      <c r="DQ194" s="56">
        <f>$BD194-$BD195</f>
        <v/>
      </c>
      <c r="DR194" s="56">
        <f>$BE194-$BE195</f>
        <v/>
      </c>
      <c r="DS194" s="56">
        <f>$BF194-$BF195</f>
        <v/>
      </c>
      <c r="DT194" s="56">
        <f>$BG194-$BG195</f>
        <v/>
      </c>
      <c r="DU194" s="56">
        <f>$BH194-$BH195</f>
        <v/>
      </c>
      <c r="DV194" s="56">
        <f>$BI194-$BI195</f>
        <v/>
      </c>
      <c r="DW194" s="56">
        <f>$BJ194-$BJ195</f>
        <v/>
      </c>
      <c r="DX194" s="56">
        <f>$BK194-$BK195</f>
        <v/>
      </c>
      <c r="DY194" s="56">
        <f>$BL194-$BL195</f>
        <v/>
      </c>
      <c r="DZ194" s="56">
        <f>$BM194-$BM195</f>
        <v/>
      </c>
      <c r="EA194" s="56">
        <f>$BN194-$BN195</f>
        <v/>
      </c>
      <c r="EB194" s="56">
        <f>$BO194-$BO195</f>
        <v/>
      </c>
      <c r="EC194" s="56">
        <f>$BP194-$BP195</f>
        <v/>
      </c>
      <c r="ED194" s="56">
        <f>$BQ194-$BQ195</f>
        <v/>
      </c>
      <c r="EE194" s="56">
        <f>$BR194-$BR195</f>
        <v/>
      </c>
      <c r="EF194" s="56">
        <f>$BS194-$BS195</f>
        <v/>
      </c>
      <c r="EG194" s="56">
        <f>$BT194-$BT195</f>
        <v/>
      </c>
      <c r="EH194" s="56">
        <f>$BU194-$BU195</f>
        <v/>
      </c>
    </row>
    <row r="195">
      <c r="BV195" s="56">
        <f>($D195-$D196)*100</f>
        <v/>
      </c>
      <c r="BW195" s="56">
        <f>($C195-$C196)*100</f>
        <v/>
      </c>
      <c r="BX195" s="57">
        <f>IFERROR($I195/$I196-1,"")</f>
        <v/>
      </c>
      <c r="BY195" s="56">
        <f>($AF195-$AF196)*100</f>
        <v/>
      </c>
      <c r="BZ195" s="56">
        <f>($AG195-$AG196)*100</f>
        <v/>
      </c>
      <c r="CA195" s="56">
        <f>($AH195-$AH196)*100</f>
        <v/>
      </c>
      <c r="CB195" s="56">
        <f>($AI195-$AI196)*100</f>
        <v/>
      </c>
      <c r="CC195" s="56">
        <f>($AJ195-$AJ196)*100</f>
        <v/>
      </c>
      <c r="CD195" s="56">
        <f>($AK195-$AK196)*100</f>
        <v/>
      </c>
      <c r="CE195" s="56">
        <f>($AL195-$AL196)*100</f>
        <v/>
      </c>
      <c r="CF195" s="56">
        <f>($AM195-$AM196)*100</f>
        <v/>
      </c>
      <c r="CG195" s="56">
        <f>($AN195-$AN196)*100</f>
        <v/>
      </c>
      <c r="CH195" s="56">
        <f>($AO195-$AO196)*100</f>
        <v/>
      </c>
      <c r="CI195" s="56">
        <f>($AP195-$AP196)*100</f>
        <v/>
      </c>
      <c r="CJ195" s="56">
        <f>($AQ195-$AQ196)*100</f>
        <v/>
      </c>
      <c r="CK195" s="56">
        <f>($AR195-$AR196)*100</f>
        <v/>
      </c>
      <c r="CL195" s="56">
        <f>($AS195-$AS196)*100</f>
        <v/>
      </c>
      <c r="CM195" s="56">
        <f>($AT195-$AT196)*100</f>
        <v/>
      </c>
      <c r="CN195" s="56">
        <f>($AU195-$AU196)*100</f>
        <v/>
      </c>
      <c r="CO195" s="56">
        <f>($AV195-$AV196)*100</f>
        <v/>
      </c>
      <c r="CP195" s="56">
        <f>($AW195-$AW196)*100</f>
        <v/>
      </c>
      <c r="CQ195" s="56">
        <f>($AX195-$AX196)*100</f>
        <v/>
      </c>
      <c r="CR195" s="56">
        <f>($AY195-$AY196)*100</f>
        <v/>
      </c>
      <c r="CS195" s="57">
        <f>IFERROR($L196/$L195-1,"")</f>
        <v/>
      </c>
      <c r="CT195" s="57">
        <f>IFERROR($M196/$M195-1,"")</f>
        <v/>
      </c>
      <c r="CU195" s="57">
        <f>IFERROR($N196/$N195-1,"")</f>
        <v/>
      </c>
      <c r="CV195" s="57">
        <f>IFERROR($O196/$O195-1,"")</f>
        <v/>
      </c>
      <c r="CW195" s="57">
        <f>IFERROR($P196/$P195-1,"")</f>
        <v/>
      </c>
      <c r="CX195" s="57">
        <f>IFERROR($Q196/$Q195-1,"")</f>
        <v/>
      </c>
      <c r="CY195" s="57">
        <f>IFERROR($R196/$R195-1,"")</f>
        <v/>
      </c>
      <c r="CZ195" s="57">
        <f>IFERROR($S196/$S195-1,"")</f>
        <v/>
      </c>
      <c r="DA195" s="57">
        <f>IFERROR($T196/$T195-1,"")</f>
        <v/>
      </c>
      <c r="DB195" s="57">
        <f>IFERROR($U196/$U195-1,"")</f>
        <v/>
      </c>
      <c r="DC195" s="57">
        <f>IFERROR($V196/$V195-1,"")</f>
        <v/>
      </c>
      <c r="DD195" s="57">
        <f>IFERROR($W196/$W195-1,"")</f>
        <v/>
      </c>
      <c r="DE195" s="57">
        <f>IFERROR($X196/$X195-1,"")</f>
        <v/>
      </c>
      <c r="DF195" s="57">
        <f>IFERROR($Y196/$Y195-1,"")</f>
        <v/>
      </c>
      <c r="DG195" s="57">
        <f>IFERROR($Z196/$Z195-1,"")</f>
        <v/>
      </c>
      <c r="DH195" s="57">
        <f>IFERROR($AA196/$AA195-1,"")</f>
        <v/>
      </c>
      <c r="DI195" s="57">
        <f>IFERROR($AB196/$AB195-1,"")</f>
        <v/>
      </c>
      <c r="DJ195" s="57">
        <f>IFERROR($AC196/$AC195-1,"")</f>
        <v/>
      </c>
      <c r="DK195" s="57">
        <f>IFERROR($AD196/$AD195-1,"")</f>
        <v/>
      </c>
      <c r="DL195" s="57">
        <f>IFERROR($AE196/$AE195-1,"")</f>
        <v/>
      </c>
      <c r="DM195" s="56">
        <f>$AZ195-$AZ196</f>
        <v/>
      </c>
      <c r="DN195" s="56">
        <f>$BA195-$BA196</f>
        <v/>
      </c>
      <c r="DO195" s="56">
        <f>$BB195-$BB196</f>
        <v/>
      </c>
      <c r="DP195" s="56">
        <f>$BC195-$BC196</f>
        <v/>
      </c>
      <c r="DQ195" s="56">
        <f>$BD195-$BD196</f>
        <v/>
      </c>
      <c r="DR195" s="56">
        <f>$BE195-$BE196</f>
        <v/>
      </c>
      <c r="DS195" s="56">
        <f>$BF195-$BF196</f>
        <v/>
      </c>
      <c r="DT195" s="56">
        <f>$BG195-$BG196</f>
        <v/>
      </c>
      <c r="DU195" s="56">
        <f>$BH195-$BH196</f>
        <v/>
      </c>
      <c r="DV195" s="56">
        <f>$BI195-$BI196</f>
        <v/>
      </c>
      <c r="DW195" s="56">
        <f>$BJ195-$BJ196</f>
        <v/>
      </c>
      <c r="DX195" s="56">
        <f>$BK195-$BK196</f>
        <v/>
      </c>
      <c r="DY195" s="56">
        <f>$BL195-$BL196</f>
        <v/>
      </c>
      <c r="DZ195" s="56">
        <f>$BM195-$BM196</f>
        <v/>
      </c>
      <c r="EA195" s="56">
        <f>$BN195-$BN196</f>
        <v/>
      </c>
      <c r="EB195" s="56">
        <f>$BO195-$BO196</f>
        <v/>
      </c>
      <c r="EC195" s="56">
        <f>$BP195-$BP196</f>
        <v/>
      </c>
      <c r="ED195" s="56">
        <f>$BQ195-$BQ196</f>
        <v/>
      </c>
      <c r="EE195" s="56">
        <f>$BR195-$BR196</f>
        <v/>
      </c>
      <c r="EF195" s="56">
        <f>$BS195-$BS196</f>
        <v/>
      </c>
      <c r="EG195" s="56">
        <f>$BT195-$BT196</f>
        <v/>
      </c>
      <c r="EH195" s="56">
        <f>$BU195-$BU196</f>
        <v/>
      </c>
    </row>
    <row r="196">
      <c r="BV196" s="56">
        <f>($D196-$D197)*100</f>
        <v/>
      </c>
      <c r="BW196" s="56">
        <f>($C196-$C197)*100</f>
        <v/>
      </c>
      <c r="BX196" s="57">
        <f>IFERROR($I196/$I197-1,"")</f>
        <v/>
      </c>
      <c r="BY196" s="56">
        <f>($AF196-$AF197)*100</f>
        <v/>
      </c>
      <c r="BZ196" s="56">
        <f>($AG196-$AG197)*100</f>
        <v/>
      </c>
      <c r="CA196" s="56">
        <f>($AH196-$AH197)*100</f>
        <v/>
      </c>
      <c r="CB196" s="56">
        <f>($AI196-$AI197)*100</f>
        <v/>
      </c>
      <c r="CC196" s="56">
        <f>($AJ196-$AJ197)*100</f>
        <v/>
      </c>
      <c r="CD196" s="56">
        <f>($AK196-$AK197)*100</f>
        <v/>
      </c>
      <c r="CE196" s="56">
        <f>($AL196-$AL197)*100</f>
        <v/>
      </c>
      <c r="CF196" s="56">
        <f>($AM196-$AM197)*100</f>
        <v/>
      </c>
      <c r="CG196" s="56">
        <f>($AN196-$AN197)*100</f>
        <v/>
      </c>
      <c r="CH196" s="56">
        <f>($AO196-$AO197)*100</f>
        <v/>
      </c>
      <c r="CI196" s="56">
        <f>($AP196-$AP197)*100</f>
        <v/>
      </c>
      <c r="CJ196" s="56">
        <f>($AQ196-$AQ197)*100</f>
        <v/>
      </c>
      <c r="CK196" s="56">
        <f>($AR196-$AR197)*100</f>
        <v/>
      </c>
      <c r="CL196" s="56">
        <f>($AS196-$AS197)*100</f>
        <v/>
      </c>
      <c r="CM196" s="56">
        <f>($AT196-$AT197)*100</f>
        <v/>
      </c>
      <c r="CN196" s="56">
        <f>($AU196-$AU197)*100</f>
        <v/>
      </c>
      <c r="CO196" s="56">
        <f>($AV196-$AV197)*100</f>
        <v/>
      </c>
      <c r="CP196" s="56">
        <f>($AW196-$AW197)*100</f>
        <v/>
      </c>
      <c r="CQ196" s="56">
        <f>($AX196-$AX197)*100</f>
        <v/>
      </c>
      <c r="CR196" s="56">
        <f>($AY196-$AY197)*100</f>
        <v/>
      </c>
      <c r="CS196" s="57">
        <f>IFERROR($L197/$L196-1,"")</f>
        <v/>
      </c>
      <c r="CT196" s="57">
        <f>IFERROR($M197/$M196-1,"")</f>
        <v/>
      </c>
      <c r="CU196" s="57">
        <f>IFERROR($N197/$N196-1,"")</f>
        <v/>
      </c>
      <c r="CV196" s="57">
        <f>IFERROR($O197/$O196-1,"")</f>
        <v/>
      </c>
      <c r="CW196" s="57">
        <f>IFERROR($P197/$P196-1,"")</f>
        <v/>
      </c>
      <c r="CX196" s="57">
        <f>IFERROR($Q197/$Q196-1,"")</f>
        <v/>
      </c>
      <c r="CY196" s="57">
        <f>IFERROR($R197/$R196-1,"")</f>
        <v/>
      </c>
      <c r="CZ196" s="57">
        <f>IFERROR($S197/$S196-1,"")</f>
        <v/>
      </c>
      <c r="DA196" s="57">
        <f>IFERROR($T197/$T196-1,"")</f>
        <v/>
      </c>
      <c r="DB196" s="57">
        <f>IFERROR($U197/$U196-1,"")</f>
        <v/>
      </c>
      <c r="DC196" s="57">
        <f>IFERROR($V197/$V196-1,"")</f>
        <v/>
      </c>
      <c r="DD196" s="57">
        <f>IFERROR($W197/$W196-1,"")</f>
        <v/>
      </c>
      <c r="DE196" s="57">
        <f>IFERROR($X197/$X196-1,"")</f>
        <v/>
      </c>
      <c r="DF196" s="57">
        <f>IFERROR($Y197/$Y196-1,"")</f>
        <v/>
      </c>
      <c r="DG196" s="57">
        <f>IFERROR($Z197/$Z196-1,"")</f>
        <v/>
      </c>
      <c r="DH196" s="57">
        <f>IFERROR($AA197/$AA196-1,"")</f>
        <v/>
      </c>
      <c r="DI196" s="57">
        <f>IFERROR($AB197/$AB196-1,"")</f>
        <v/>
      </c>
      <c r="DJ196" s="57">
        <f>IFERROR($AC197/$AC196-1,"")</f>
        <v/>
      </c>
      <c r="DK196" s="57">
        <f>IFERROR($AD197/$AD196-1,"")</f>
        <v/>
      </c>
      <c r="DL196" s="57">
        <f>IFERROR($AE197/$AE196-1,"")</f>
        <v/>
      </c>
      <c r="DM196" s="56">
        <f>$AZ196-$AZ197</f>
        <v/>
      </c>
      <c r="DN196" s="56">
        <f>$BA196-$BA197</f>
        <v/>
      </c>
      <c r="DO196" s="56">
        <f>$BB196-$BB197</f>
        <v/>
      </c>
      <c r="DP196" s="56">
        <f>$BC196-$BC197</f>
        <v/>
      </c>
      <c r="DQ196" s="56">
        <f>$BD196-$BD197</f>
        <v/>
      </c>
      <c r="DR196" s="56">
        <f>$BE196-$BE197</f>
        <v/>
      </c>
      <c r="DS196" s="56">
        <f>$BF196-$BF197</f>
        <v/>
      </c>
      <c r="DT196" s="56">
        <f>$BG196-$BG197</f>
        <v/>
      </c>
      <c r="DU196" s="56">
        <f>$BH196-$BH197</f>
        <v/>
      </c>
      <c r="DV196" s="56">
        <f>$BI196-$BI197</f>
        <v/>
      </c>
      <c r="DW196" s="56">
        <f>$BJ196-$BJ197</f>
        <v/>
      </c>
      <c r="DX196" s="56">
        <f>$BK196-$BK197</f>
        <v/>
      </c>
      <c r="DY196" s="56">
        <f>$BL196-$BL197</f>
        <v/>
      </c>
      <c r="DZ196" s="56">
        <f>$BM196-$BM197</f>
        <v/>
      </c>
      <c r="EA196" s="56">
        <f>$BN196-$BN197</f>
        <v/>
      </c>
      <c r="EB196" s="56">
        <f>$BO196-$BO197</f>
        <v/>
      </c>
      <c r="EC196" s="56">
        <f>$BP196-$BP197</f>
        <v/>
      </c>
      <c r="ED196" s="56">
        <f>$BQ196-$BQ197</f>
        <v/>
      </c>
      <c r="EE196" s="56">
        <f>$BR196-$BR197</f>
        <v/>
      </c>
      <c r="EF196" s="56">
        <f>$BS196-$BS197</f>
        <v/>
      </c>
      <c r="EG196" s="56">
        <f>$BT196-$BT197</f>
        <v/>
      </c>
      <c r="EH196" s="56">
        <f>$BU196-$BU197</f>
        <v/>
      </c>
    </row>
    <row r="197">
      <c r="BV197" s="56">
        <f>($D197-$D198)*100</f>
        <v/>
      </c>
      <c r="BW197" s="56">
        <f>($C197-$C198)*100</f>
        <v/>
      </c>
      <c r="BX197" s="57">
        <f>IFERROR($I197/$I198-1,"")</f>
        <v/>
      </c>
      <c r="BY197" s="56">
        <f>($AF197-$AF198)*100</f>
        <v/>
      </c>
      <c r="BZ197" s="56">
        <f>($AG197-$AG198)*100</f>
        <v/>
      </c>
      <c r="CA197" s="56">
        <f>($AH197-$AH198)*100</f>
        <v/>
      </c>
      <c r="CB197" s="56">
        <f>($AI197-$AI198)*100</f>
        <v/>
      </c>
      <c r="CC197" s="56">
        <f>($AJ197-$AJ198)*100</f>
        <v/>
      </c>
      <c r="CD197" s="56">
        <f>($AK197-$AK198)*100</f>
        <v/>
      </c>
      <c r="CE197" s="56">
        <f>($AL197-$AL198)*100</f>
        <v/>
      </c>
      <c r="CF197" s="56">
        <f>($AM197-$AM198)*100</f>
        <v/>
      </c>
      <c r="CG197" s="56">
        <f>($AN197-$AN198)*100</f>
        <v/>
      </c>
      <c r="CH197" s="56">
        <f>($AO197-$AO198)*100</f>
        <v/>
      </c>
      <c r="CI197" s="56">
        <f>($AP197-$AP198)*100</f>
        <v/>
      </c>
      <c r="CJ197" s="56">
        <f>($AQ197-$AQ198)*100</f>
        <v/>
      </c>
      <c r="CK197" s="56">
        <f>($AR197-$AR198)*100</f>
        <v/>
      </c>
      <c r="CL197" s="56">
        <f>($AS197-$AS198)*100</f>
        <v/>
      </c>
      <c r="CM197" s="56">
        <f>($AT197-$AT198)*100</f>
        <v/>
      </c>
      <c r="CN197" s="56">
        <f>($AU197-$AU198)*100</f>
        <v/>
      </c>
      <c r="CO197" s="56">
        <f>($AV197-$AV198)*100</f>
        <v/>
      </c>
      <c r="CP197" s="56">
        <f>($AW197-$AW198)*100</f>
        <v/>
      </c>
      <c r="CQ197" s="56">
        <f>($AX197-$AX198)*100</f>
        <v/>
      </c>
      <c r="CR197" s="56">
        <f>($AY197-$AY198)*100</f>
        <v/>
      </c>
      <c r="CS197" s="57">
        <f>IFERROR($L198/$L197-1,"")</f>
        <v/>
      </c>
      <c r="CT197" s="57">
        <f>IFERROR($M198/$M197-1,"")</f>
        <v/>
      </c>
      <c r="CU197" s="57">
        <f>IFERROR($N198/$N197-1,"")</f>
        <v/>
      </c>
      <c r="CV197" s="57">
        <f>IFERROR($O198/$O197-1,"")</f>
        <v/>
      </c>
      <c r="CW197" s="57">
        <f>IFERROR($P198/$P197-1,"")</f>
        <v/>
      </c>
      <c r="CX197" s="57">
        <f>IFERROR($Q198/$Q197-1,"")</f>
        <v/>
      </c>
      <c r="CY197" s="57">
        <f>IFERROR($R198/$R197-1,"")</f>
        <v/>
      </c>
      <c r="CZ197" s="57">
        <f>IFERROR($S198/$S197-1,"")</f>
        <v/>
      </c>
      <c r="DA197" s="57">
        <f>IFERROR($T198/$T197-1,"")</f>
        <v/>
      </c>
      <c r="DB197" s="57">
        <f>IFERROR($U198/$U197-1,"")</f>
        <v/>
      </c>
      <c r="DC197" s="57">
        <f>IFERROR($V198/$V197-1,"")</f>
        <v/>
      </c>
      <c r="DD197" s="57">
        <f>IFERROR($W198/$W197-1,"")</f>
        <v/>
      </c>
      <c r="DE197" s="57">
        <f>IFERROR($X198/$X197-1,"")</f>
        <v/>
      </c>
      <c r="DF197" s="57">
        <f>IFERROR($Y198/$Y197-1,"")</f>
        <v/>
      </c>
      <c r="DG197" s="57">
        <f>IFERROR($Z198/$Z197-1,"")</f>
        <v/>
      </c>
      <c r="DH197" s="57">
        <f>IFERROR($AA198/$AA197-1,"")</f>
        <v/>
      </c>
      <c r="DI197" s="57">
        <f>IFERROR($AB198/$AB197-1,"")</f>
        <v/>
      </c>
      <c r="DJ197" s="57">
        <f>IFERROR($AC198/$AC197-1,"")</f>
        <v/>
      </c>
      <c r="DK197" s="57">
        <f>IFERROR($AD198/$AD197-1,"")</f>
        <v/>
      </c>
      <c r="DL197" s="57">
        <f>IFERROR($AE198/$AE197-1,"")</f>
        <v/>
      </c>
      <c r="DM197" s="56">
        <f>$AZ197-$AZ198</f>
        <v/>
      </c>
      <c r="DN197" s="56">
        <f>$BA197-$BA198</f>
        <v/>
      </c>
      <c r="DO197" s="56">
        <f>$BB197-$BB198</f>
        <v/>
      </c>
      <c r="DP197" s="56">
        <f>$BC197-$BC198</f>
        <v/>
      </c>
      <c r="DQ197" s="56">
        <f>$BD197-$BD198</f>
        <v/>
      </c>
      <c r="DR197" s="56">
        <f>$BE197-$BE198</f>
        <v/>
      </c>
      <c r="DS197" s="56">
        <f>$BF197-$BF198</f>
        <v/>
      </c>
      <c r="DT197" s="56">
        <f>$BG197-$BG198</f>
        <v/>
      </c>
      <c r="DU197" s="56">
        <f>$BH197-$BH198</f>
        <v/>
      </c>
      <c r="DV197" s="56">
        <f>$BI197-$BI198</f>
        <v/>
      </c>
      <c r="DW197" s="56">
        <f>$BJ197-$BJ198</f>
        <v/>
      </c>
      <c r="DX197" s="56">
        <f>$BK197-$BK198</f>
        <v/>
      </c>
      <c r="DY197" s="56">
        <f>$BL197-$BL198</f>
        <v/>
      </c>
      <c r="DZ197" s="56">
        <f>$BM197-$BM198</f>
        <v/>
      </c>
      <c r="EA197" s="56">
        <f>$BN197-$BN198</f>
        <v/>
      </c>
      <c r="EB197" s="56">
        <f>$BO197-$BO198</f>
        <v/>
      </c>
      <c r="EC197" s="56">
        <f>$BP197-$BP198</f>
        <v/>
      </c>
      <c r="ED197" s="56">
        <f>$BQ197-$BQ198</f>
        <v/>
      </c>
      <c r="EE197" s="56">
        <f>$BR197-$BR198</f>
        <v/>
      </c>
      <c r="EF197" s="56">
        <f>$BS197-$BS198</f>
        <v/>
      </c>
      <c r="EG197" s="56">
        <f>$BT197-$BT198</f>
        <v/>
      </c>
      <c r="EH197" s="56">
        <f>$BU197-$BU198</f>
        <v/>
      </c>
    </row>
    <row r="198">
      <c r="BV198" s="56">
        <f>($D198-$D199)*100</f>
        <v/>
      </c>
      <c r="BW198" s="56">
        <f>($C198-$C199)*100</f>
        <v/>
      </c>
      <c r="BX198" s="57">
        <f>IFERROR($I198/$I199-1,"")</f>
        <v/>
      </c>
      <c r="BY198" s="56">
        <f>($AF198-$AF199)*100</f>
        <v/>
      </c>
      <c r="BZ198" s="56">
        <f>($AG198-$AG199)*100</f>
        <v/>
      </c>
      <c r="CA198" s="56">
        <f>($AH198-$AH199)*100</f>
        <v/>
      </c>
      <c r="CB198" s="56">
        <f>($AI198-$AI199)*100</f>
        <v/>
      </c>
      <c r="CC198" s="56">
        <f>($AJ198-$AJ199)*100</f>
        <v/>
      </c>
      <c r="CD198" s="56">
        <f>($AK198-$AK199)*100</f>
        <v/>
      </c>
      <c r="CE198" s="56">
        <f>($AL198-$AL199)*100</f>
        <v/>
      </c>
      <c r="CF198" s="56">
        <f>($AM198-$AM199)*100</f>
        <v/>
      </c>
      <c r="CG198" s="56">
        <f>($AN198-$AN199)*100</f>
        <v/>
      </c>
      <c r="CH198" s="56">
        <f>($AO198-$AO199)*100</f>
        <v/>
      </c>
      <c r="CI198" s="56">
        <f>($AP198-$AP199)*100</f>
        <v/>
      </c>
      <c r="CJ198" s="56">
        <f>($AQ198-$AQ199)*100</f>
        <v/>
      </c>
      <c r="CK198" s="56">
        <f>($AR198-$AR199)*100</f>
        <v/>
      </c>
      <c r="CL198" s="56">
        <f>($AS198-$AS199)*100</f>
        <v/>
      </c>
      <c r="CM198" s="56">
        <f>($AT198-$AT199)*100</f>
        <v/>
      </c>
      <c r="CN198" s="56">
        <f>($AU198-$AU199)*100</f>
        <v/>
      </c>
      <c r="CO198" s="56">
        <f>($AV198-$AV199)*100</f>
        <v/>
      </c>
      <c r="CP198" s="56">
        <f>($AW198-$AW199)*100</f>
        <v/>
      </c>
      <c r="CQ198" s="56">
        <f>($AX198-$AX199)*100</f>
        <v/>
      </c>
      <c r="CR198" s="56">
        <f>($AY198-$AY199)*100</f>
        <v/>
      </c>
      <c r="CS198" s="57">
        <f>IFERROR($L199/$L198-1,"")</f>
        <v/>
      </c>
      <c r="CT198" s="57">
        <f>IFERROR($M199/$M198-1,"")</f>
        <v/>
      </c>
      <c r="CU198" s="57">
        <f>IFERROR($N199/$N198-1,"")</f>
        <v/>
      </c>
      <c r="CV198" s="57">
        <f>IFERROR($O199/$O198-1,"")</f>
        <v/>
      </c>
      <c r="CW198" s="57">
        <f>IFERROR($P199/$P198-1,"")</f>
        <v/>
      </c>
      <c r="CX198" s="57">
        <f>IFERROR($Q199/$Q198-1,"")</f>
        <v/>
      </c>
      <c r="CY198" s="57">
        <f>IFERROR($R199/$R198-1,"")</f>
        <v/>
      </c>
      <c r="CZ198" s="57">
        <f>IFERROR($S199/$S198-1,"")</f>
        <v/>
      </c>
      <c r="DA198" s="57">
        <f>IFERROR($T199/$T198-1,"")</f>
        <v/>
      </c>
      <c r="DB198" s="57">
        <f>IFERROR($U199/$U198-1,"")</f>
        <v/>
      </c>
      <c r="DC198" s="57">
        <f>IFERROR($V199/$V198-1,"")</f>
        <v/>
      </c>
      <c r="DD198" s="57">
        <f>IFERROR($W199/$W198-1,"")</f>
        <v/>
      </c>
      <c r="DE198" s="57">
        <f>IFERROR($X199/$X198-1,"")</f>
        <v/>
      </c>
      <c r="DF198" s="57">
        <f>IFERROR($Y199/$Y198-1,"")</f>
        <v/>
      </c>
      <c r="DG198" s="57">
        <f>IFERROR($Z199/$Z198-1,"")</f>
        <v/>
      </c>
      <c r="DH198" s="57">
        <f>IFERROR($AA199/$AA198-1,"")</f>
        <v/>
      </c>
      <c r="DI198" s="57">
        <f>IFERROR($AB199/$AB198-1,"")</f>
        <v/>
      </c>
      <c r="DJ198" s="57">
        <f>IFERROR($AC199/$AC198-1,"")</f>
        <v/>
      </c>
      <c r="DK198" s="57">
        <f>IFERROR($AD199/$AD198-1,"")</f>
        <v/>
      </c>
      <c r="DL198" s="57">
        <f>IFERROR($AE199/$AE198-1,"")</f>
        <v/>
      </c>
      <c r="DM198" s="56">
        <f>$AZ198-$AZ199</f>
        <v/>
      </c>
      <c r="DN198" s="56">
        <f>$BA198-$BA199</f>
        <v/>
      </c>
      <c r="DO198" s="56">
        <f>$BB198-$BB199</f>
        <v/>
      </c>
      <c r="DP198" s="56">
        <f>$BC198-$BC199</f>
        <v/>
      </c>
      <c r="DQ198" s="56">
        <f>$BD198-$BD199</f>
        <v/>
      </c>
      <c r="DR198" s="56">
        <f>$BE198-$BE199</f>
        <v/>
      </c>
      <c r="DS198" s="56">
        <f>$BF198-$BF199</f>
        <v/>
      </c>
      <c r="DT198" s="56">
        <f>$BG198-$BG199</f>
        <v/>
      </c>
      <c r="DU198" s="56">
        <f>$BH198-$BH199</f>
        <v/>
      </c>
      <c r="DV198" s="56">
        <f>$BI198-$BI199</f>
        <v/>
      </c>
      <c r="DW198" s="56">
        <f>$BJ198-$BJ199</f>
        <v/>
      </c>
      <c r="DX198" s="56">
        <f>$BK198-$BK199</f>
        <v/>
      </c>
      <c r="DY198" s="56">
        <f>$BL198-$BL199</f>
        <v/>
      </c>
      <c r="DZ198" s="56">
        <f>$BM198-$BM199</f>
        <v/>
      </c>
      <c r="EA198" s="56">
        <f>$BN198-$BN199</f>
        <v/>
      </c>
      <c r="EB198" s="56">
        <f>$BO198-$BO199</f>
        <v/>
      </c>
      <c r="EC198" s="56">
        <f>$BP198-$BP199</f>
        <v/>
      </c>
      <c r="ED198" s="56">
        <f>$BQ198-$BQ199</f>
        <v/>
      </c>
      <c r="EE198" s="56">
        <f>$BR198-$BR199</f>
        <v/>
      </c>
      <c r="EF198" s="56">
        <f>$BS198-$BS199</f>
        <v/>
      </c>
      <c r="EG198" s="56">
        <f>$BT198-$BT199</f>
        <v/>
      </c>
      <c r="EH198" s="56">
        <f>$BU198-$BU199</f>
        <v/>
      </c>
    </row>
    <row r="199">
      <c r="BV199" s="56">
        <f>($D199-$D200)*100</f>
        <v/>
      </c>
      <c r="BW199" s="56">
        <f>($C199-$C200)*100</f>
        <v/>
      </c>
      <c r="BX199" s="57">
        <f>IFERROR($I199/$I200-1,"")</f>
        <v/>
      </c>
      <c r="BY199" s="56">
        <f>($AF199-$AF200)*100</f>
        <v/>
      </c>
      <c r="BZ199" s="56">
        <f>($AG199-$AG200)*100</f>
        <v/>
      </c>
      <c r="CA199" s="56">
        <f>($AH199-$AH200)*100</f>
        <v/>
      </c>
      <c r="CB199" s="56">
        <f>($AI199-$AI200)*100</f>
        <v/>
      </c>
      <c r="CC199" s="56">
        <f>($AJ199-$AJ200)*100</f>
        <v/>
      </c>
      <c r="CD199" s="56">
        <f>($AK199-$AK200)*100</f>
        <v/>
      </c>
      <c r="CE199" s="56">
        <f>($AL199-$AL200)*100</f>
        <v/>
      </c>
      <c r="CF199" s="56">
        <f>($AM199-$AM200)*100</f>
        <v/>
      </c>
      <c r="CG199" s="56">
        <f>($AN199-$AN200)*100</f>
        <v/>
      </c>
      <c r="CH199" s="56">
        <f>($AO199-$AO200)*100</f>
        <v/>
      </c>
      <c r="CI199" s="56">
        <f>($AP199-$AP200)*100</f>
        <v/>
      </c>
      <c r="CJ199" s="56">
        <f>($AQ199-$AQ200)*100</f>
        <v/>
      </c>
      <c r="CK199" s="56">
        <f>($AR199-$AR200)*100</f>
        <v/>
      </c>
      <c r="CL199" s="56">
        <f>($AS199-$AS200)*100</f>
        <v/>
      </c>
      <c r="CM199" s="56">
        <f>($AT199-$AT200)*100</f>
        <v/>
      </c>
      <c r="CN199" s="56">
        <f>($AU199-$AU200)*100</f>
        <v/>
      </c>
      <c r="CO199" s="56">
        <f>($AV199-$AV200)*100</f>
        <v/>
      </c>
      <c r="CP199" s="56">
        <f>($AW199-$AW200)*100</f>
        <v/>
      </c>
      <c r="CQ199" s="56">
        <f>($AX199-$AX200)*100</f>
        <v/>
      </c>
      <c r="CR199" s="56">
        <f>($AY199-$AY200)*100</f>
        <v/>
      </c>
      <c r="CS199" s="57">
        <f>IFERROR($L200/$L199-1,"")</f>
        <v/>
      </c>
      <c r="CT199" s="57">
        <f>IFERROR($M200/$M199-1,"")</f>
        <v/>
      </c>
      <c r="CU199" s="57">
        <f>IFERROR($N200/$N199-1,"")</f>
        <v/>
      </c>
      <c r="CV199" s="57">
        <f>IFERROR($O200/$O199-1,"")</f>
        <v/>
      </c>
      <c r="CW199" s="57">
        <f>IFERROR($P200/$P199-1,"")</f>
        <v/>
      </c>
      <c r="CX199" s="57">
        <f>IFERROR($Q200/$Q199-1,"")</f>
        <v/>
      </c>
      <c r="CY199" s="57">
        <f>IFERROR($R200/$R199-1,"")</f>
        <v/>
      </c>
      <c r="CZ199" s="57">
        <f>IFERROR($S200/$S199-1,"")</f>
        <v/>
      </c>
      <c r="DA199" s="57">
        <f>IFERROR($T200/$T199-1,"")</f>
        <v/>
      </c>
      <c r="DB199" s="57">
        <f>IFERROR($U200/$U199-1,"")</f>
        <v/>
      </c>
      <c r="DC199" s="57">
        <f>IFERROR($V200/$V199-1,"")</f>
        <v/>
      </c>
      <c r="DD199" s="57">
        <f>IFERROR($W200/$W199-1,"")</f>
        <v/>
      </c>
      <c r="DE199" s="57">
        <f>IFERROR($X200/$X199-1,"")</f>
        <v/>
      </c>
      <c r="DF199" s="57">
        <f>IFERROR($Y200/$Y199-1,"")</f>
        <v/>
      </c>
      <c r="DG199" s="57">
        <f>IFERROR($Z200/$Z199-1,"")</f>
        <v/>
      </c>
      <c r="DH199" s="57">
        <f>IFERROR($AA200/$AA199-1,"")</f>
        <v/>
      </c>
      <c r="DI199" s="57">
        <f>IFERROR($AB200/$AB199-1,"")</f>
        <v/>
      </c>
      <c r="DJ199" s="57">
        <f>IFERROR($AC200/$AC199-1,"")</f>
        <v/>
      </c>
      <c r="DK199" s="57">
        <f>IFERROR($AD200/$AD199-1,"")</f>
        <v/>
      </c>
      <c r="DL199" s="57">
        <f>IFERROR($AE200/$AE199-1,"")</f>
        <v/>
      </c>
      <c r="DM199" s="56">
        <f>$AZ199-$AZ200</f>
        <v/>
      </c>
      <c r="DN199" s="56">
        <f>$BA199-$BA200</f>
        <v/>
      </c>
      <c r="DO199" s="56">
        <f>$BB199-$BB200</f>
        <v/>
      </c>
      <c r="DP199" s="56">
        <f>$BC199-$BC200</f>
        <v/>
      </c>
      <c r="DQ199" s="56">
        <f>$BD199-$BD200</f>
        <v/>
      </c>
      <c r="DR199" s="56">
        <f>$BE199-$BE200</f>
        <v/>
      </c>
      <c r="DS199" s="56">
        <f>$BF199-$BF200</f>
        <v/>
      </c>
      <c r="DT199" s="56">
        <f>$BG199-$BG200</f>
        <v/>
      </c>
      <c r="DU199" s="56">
        <f>$BH199-$BH200</f>
        <v/>
      </c>
      <c r="DV199" s="56">
        <f>$BI199-$BI200</f>
        <v/>
      </c>
      <c r="DW199" s="56">
        <f>$BJ199-$BJ200</f>
        <v/>
      </c>
      <c r="DX199" s="56">
        <f>$BK199-$BK200</f>
        <v/>
      </c>
      <c r="DY199" s="56">
        <f>$BL199-$BL200</f>
        <v/>
      </c>
      <c r="DZ199" s="56">
        <f>$BM199-$BM200</f>
        <v/>
      </c>
      <c r="EA199" s="56">
        <f>$BN199-$BN200</f>
        <v/>
      </c>
      <c r="EB199" s="56">
        <f>$BO199-$BO200</f>
        <v/>
      </c>
      <c r="EC199" s="56">
        <f>$BP199-$BP200</f>
        <v/>
      </c>
      <c r="ED199" s="56">
        <f>$BQ199-$BQ200</f>
        <v/>
      </c>
      <c r="EE199" s="56">
        <f>$BR199-$BR200</f>
        <v/>
      </c>
      <c r="EF199" s="56">
        <f>$BS199-$BS200</f>
        <v/>
      </c>
      <c r="EG199" s="56">
        <f>$BT199-$BT200</f>
        <v/>
      </c>
      <c r="EH199" s="56">
        <f>$BU199-$BU200</f>
        <v/>
      </c>
    </row>
    <row r="200">
      <c r="BV200" s="56">
        <f>($D200-$D201)*100</f>
        <v/>
      </c>
      <c r="BW200" s="56">
        <f>($C200-$C201)*100</f>
        <v/>
      </c>
      <c r="BX200" s="57">
        <f>IFERROR($I200/$I201-1,"")</f>
        <v/>
      </c>
      <c r="BY200" s="56">
        <f>($AF200-$AF201)*100</f>
        <v/>
      </c>
      <c r="BZ200" s="56">
        <f>($AG200-$AG201)*100</f>
        <v/>
      </c>
      <c r="CA200" s="56">
        <f>($AH200-$AH201)*100</f>
        <v/>
      </c>
      <c r="CB200" s="56">
        <f>($AI200-$AI201)*100</f>
        <v/>
      </c>
      <c r="CC200" s="56">
        <f>($AJ200-$AJ201)*100</f>
        <v/>
      </c>
      <c r="CD200" s="56">
        <f>($AK200-$AK201)*100</f>
        <v/>
      </c>
      <c r="CE200" s="56">
        <f>($AL200-$AL201)*100</f>
        <v/>
      </c>
      <c r="CF200" s="56">
        <f>($AM200-$AM201)*100</f>
        <v/>
      </c>
      <c r="CG200" s="56">
        <f>($AN200-$AN201)*100</f>
        <v/>
      </c>
      <c r="CH200" s="56">
        <f>($AO200-$AO201)*100</f>
        <v/>
      </c>
      <c r="CI200" s="56">
        <f>($AP200-$AP201)*100</f>
        <v/>
      </c>
      <c r="CJ200" s="56">
        <f>($AQ200-$AQ201)*100</f>
        <v/>
      </c>
      <c r="CK200" s="56">
        <f>($AR200-$AR201)*100</f>
        <v/>
      </c>
      <c r="CL200" s="56">
        <f>($AS200-$AS201)*100</f>
        <v/>
      </c>
      <c r="CM200" s="56">
        <f>($AT200-$AT201)*100</f>
        <v/>
      </c>
      <c r="CN200" s="56">
        <f>($AU200-$AU201)*100</f>
        <v/>
      </c>
      <c r="CO200" s="56">
        <f>($AV200-$AV201)*100</f>
        <v/>
      </c>
      <c r="CP200" s="56">
        <f>($AW200-$AW201)*100</f>
        <v/>
      </c>
      <c r="CQ200" s="56">
        <f>($AX200-$AX201)*100</f>
        <v/>
      </c>
      <c r="CR200" s="56">
        <f>($AY200-$AY201)*100</f>
        <v/>
      </c>
      <c r="CS200" s="57">
        <f>IFERROR($L201/$L200-1,"")</f>
        <v/>
      </c>
      <c r="CT200" s="57">
        <f>IFERROR($M201/$M200-1,"")</f>
        <v/>
      </c>
      <c r="CU200" s="57">
        <f>IFERROR($N201/$N200-1,"")</f>
        <v/>
      </c>
      <c r="CV200" s="57">
        <f>IFERROR($O201/$O200-1,"")</f>
        <v/>
      </c>
      <c r="CW200" s="57">
        <f>IFERROR($P201/$P200-1,"")</f>
        <v/>
      </c>
      <c r="CX200" s="57">
        <f>IFERROR($Q201/$Q200-1,"")</f>
        <v/>
      </c>
      <c r="CY200" s="57">
        <f>IFERROR($R201/$R200-1,"")</f>
        <v/>
      </c>
      <c r="CZ200" s="57">
        <f>IFERROR($S201/$S200-1,"")</f>
        <v/>
      </c>
      <c r="DA200" s="57">
        <f>IFERROR($T201/$T200-1,"")</f>
        <v/>
      </c>
      <c r="DB200" s="57">
        <f>IFERROR($U201/$U200-1,"")</f>
        <v/>
      </c>
      <c r="DC200" s="57">
        <f>IFERROR($V201/$V200-1,"")</f>
        <v/>
      </c>
      <c r="DD200" s="57">
        <f>IFERROR($W201/$W200-1,"")</f>
        <v/>
      </c>
      <c r="DE200" s="57">
        <f>IFERROR($X201/$X200-1,"")</f>
        <v/>
      </c>
      <c r="DF200" s="57">
        <f>IFERROR($Y201/$Y200-1,"")</f>
        <v/>
      </c>
      <c r="DG200" s="57">
        <f>IFERROR($Z201/$Z200-1,"")</f>
        <v/>
      </c>
      <c r="DH200" s="57">
        <f>IFERROR($AA201/$AA200-1,"")</f>
        <v/>
      </c>
      <c r="DI200" s="57">
        <f>IFERROR($AB201/$AB200-1,"")</f>
        <v/>
      </c>
      <c r="DJ200" s="57">
        <f>IFERROR($AC201/$AC200-1,"")</f>
        <v/>
      </c>
      <c r="DK200" s="57">
        <f>IFERROR($AD201/$AD200-1,"")</f>
        <v/>
      </c>
      <c r="DL200" s="57">
        <f>IFERROR($AE201/$AE200-1,"")</f>
        <v/>
      </c>
      <c r="DM200" s="56">
        <f>$AZ200-$AZ201</f>
        <v/>
      </c>
      <c r="DN200" s="56">
        <f>$BA200-$BA201</f>
        <v/>
      </c>
      <c r="DO200" s="56">
        <f>$BB200-$BB201</f>
        <v/>
      </c>
      <c r="DP200" s="56">
        <f>$BC200-$BC201</f>
        <v/>
      </c>
      <c r="DQ200" s="56">
        <f>$BD200-$BD201</f>
        <v/>
      </c>
      <c r="DR200" s="56">
        <f>$BE200-$BE201</f>
        <v/>
      </c>
      <c r="DS200" s="56">
        <f>$BF200-$BF201</f>
        <v/>
      </c>
      <c r="DT200" s="56">
        <f>$BG200-$BG201</f>
        <v/>
      </c>
      <c r="DU200" s="56">
        <f>$BH200-$BH201</f>
        <v/>
      </c>
      <c r="DV200" s="56">
        <f>$BI200-$BI201</f>
        <v/>
      </c>
      <c r="DW200" s="56">
        <f>$BJ200-$BJ201</f>
        <v/>
      </c>
      <c r="DX200" s="56">
        <f>$BK200-$BK201</f>
        <v/>
      </c>
      <c r="DY200" s="56">
        <f>$BL200-$BL201</f>
        <v/>
      </c>
      <c r="DZ200" s="56">
        <f>$BM200-$BM201</f>
        <v/>
      </c>
      <c r="EA200" s="56">
        <f>$BN200-$BN201</f>
        <v/>
      </c>
      <c r="EB200" s="56">
        <f>$BO200-$BO201</f>
        <v/>
      </c>
      <c r="EC200" s="56">
        <f>$BP200-$BP201</f>
        <v/>
      </c>
      <c r="ED200" s="56">
        <f>$BQ200-$BQ201</f>
        <v/>
      </c>
      <c r="EE200" s="56">
        <f>$BR200-$BR201</f>
        <v/>
      </c>
      <c r="EF200" s="56">
        <f>$BS200-$BS201</f>
        <v/>
      </c>
      <c r="EG200" s="56">
        <f>$BT200-$BT201</f>
        <v/>
      </c>
      <c r="EH200" s="56">
        <f>$BU200-$BU201</f>
        <v/>
      </c>
    </row>
    <row r="201">
      <c r="BV201" s="56">
        <f>($D201-$D202)*100</f>
        <v/>
      </c>
      <c r="BW201" s="56">
        <f>($C201-$C202)*100</f>
        <v/>
      </c>
      <c r="BX201" s="57">
        <f>IFERROR($I201/$I202-1,"")</f>
        <v/>
      </c>
      <c r="BY201" s="56">
        <f>($AF201-$AF202)*100</f>
        <v/>
      </c>
      <c r="BZ201" s="56">
        <f>($AG201-$AG202)*100</f>
        <v/>
      </c>
      <c r="CA201" s="56">
        <f>($AH201-$AH202)*100</f>
        <v/>
      </c>
      <c r="CB201" s="56">
        <f>($AI201-$AI202)*100</f>
        <v/>
      </c>
      <c r="CC201" s="56">
        <f>($AJ201-$AJ202)*100</f>
        <v/>
      </c>
      <c r="CD201" s="56">
        <f>($AK201-$AK202)*100</f>
        <v/>
      </c>
      <c r="CE201" s="56">
        <f>($AL201-$AL202)*100</f>
        <v/>
      </c>
      <c r="CF201" s="56">
        <f>($AM201-$AM202)*100</f>
        <v/>
      </c>
      <c r="CG201" s="56">
        <f>($AN201-$AN202)*100</f>
        <v/>
      </c>
      <c r="CH201" s="56">
        <f>($AO201-$AO202)*100</f>
        <v/>
      </c>
      <c r="CI201" s="56">
        <f>($AP201-$AP202)*100</f>
        <v/>
      </c>
      <c r="CJ201" s="56">
        <f>($AQ201-$AQ202)*100</f>
        <v/>
      </c>
      <c r="CK201" s="56">
        <f>($AR201-$AR202)*100</f>
        <v/>
      </c>
      <c r="CL201" s="56">
        <f>($AS201-$AS202)*100</f>
        <v/>
      </c>
      <c r="CM201" s="56">
        <f>($AT201-$AT202)*100</f>
        <v/>
      </c>
      <c r="CN201" s="56">
        <f>($AU201-$AU202)*100</f>
        <v/>
      </c>
      <c r="CO201" s="56">
        <f>($AV201-$AV202)*100</f>
        <v/>
      </c>
      <c r="CP201" s="56">
        <f>($AW201-$AW202)*100</f>
        <v/>
      </c>
      <c r="CQ201" s="56">
        <f>($AX201-$AX202)*100</f>
        <v/>
      </c>
      <c r="CR201" s="56">
        <f>($AY201-$AY202)*100</f>
        <v/>
      </c>
      <c r="CS201" s="57">
        <f>IFERROR($L202/$L201-1,"")</f>
        <v/>
      </c>
      <c r="CT201" s="57">
        <f>IFERROR($M202/$M201-1,"")</f>
        <v/>
      </c>
      <c r="CU201" s="57">
        <f>IFERROR($N202/$N201-1,"")</f>
        <v/>
      </c>
      <c r="CV201" s="57">
        <f>IFERROR($O202/$O201-1,"")</f>
        <v/>
      </c>
      <c r="CW201" s="57">
        <f>IFERROR($P202/$P201-1,"")</f>
        <v/>
      </c>
      <c r="CX201" s="57">
        <f>IFERROR($Q202/$Q201-1,"")</f>
        <v/>
      </c>
      <c r="CY201" s="57">
        <f>IFERROR($R202/$R201-1,"")</f>
        <v/>
      </c>
      <c r="CZ201" s="57">
        <f>IFERROR($S202/$S201-1,"")</f>
        <v/>
      </c>
      <c r="DA201" s="57">
        <f>IFERROR($T202/$T201-1,"")</f>
        <v/>
      </c>
      <c r="DB201" s="57">
        <f>IFERROR($U202/$U201-1,"")</f>
        <v/>
      </c>
      <c r="DC201" s="57">
        <f>IFERROR($V202/$V201-1,"")</f>
        <v/>
      </c>
      <c r="DD201" s="57">
        <f>IFERROR($W202/$W201-1,"")</f>
        <v/>
      </c>
      <c r="DE201" s="57">
        <f>IFERROR($X202/$X201-1,"")</f>
        <v/>
      </c>
      <c r="DF201" s="57">
        <f>IFERROR($Y202/$Y201-1,"")</f>
        <v/>
      </c>
      <c r="DG201" s="57">
        <f>IFERROR($Z202/$Z201-1,"")</f>
        <v/>
      </c>
      <c r="DH201" s="57">
        <f>IFERROR($AA202/$AA201-1,"")</f>
        <v/>
      </c>
      <c r="DI201" s="57">
        <f>IFERROR($AB202/$AB201-1,"")</f>
        <v/>
      </c>
      <c r="DJ201" s="57">
        <f>IFERROR($AC202/$AC201-1,"")</f>
        <v/>
      </c>
      <c r="DK201" s="57">
        <f>IFERROR($AD202/$AD201-1,"")</f>
        <v/>
      </c>
      <c r="DL201" s="57">
        <f>IFERROR($AE202/$AE201-1,"")</f>
        <v/>
      </c>
      <c r="DM201" s="56">
        <f>$AZ201-$AZ202</f>
        <v/>
      </c>
      <c r="DN201" s="56">
        <f>$BA201-$BA202</f>
        <v/>
      </c>
      <c r="DO201" s="56">
        <f>$BB201-$BB202</f>
        <v/>
      </c>
      <c r="DP201" s="56">
        <f>$BC201-$BC202</f>
        <v/>
      </c>
      <c r="DQ201" s="56">
        <f>$BD201-$BD202</f>
        <v/>
      </c>
      <c r="DR201" s="56">
        <f>$BE201-$BE202</f>
        <v/>
      </c>
      <c r="DS201" s="56">
        <f>$BF201-$BF202</f>
        <v/>
      </c>
      <c r="DT201" s="56">
        <f>$BG201-$BG202</f>
        <v/>
      </c>
      <c r="DU201" s="56">
        <f>$BH201-$BH202</f>
        <v/>
      </c>
      <c r="DV201" s="56">
        <f>$BI201-$BI202</f>
        <v/>
      </c>
      <c r="DW201" s="56">
        <f>$BJ201-$BJ202</f>
        <v/>
      </c>
      <c r="DX201" s="56">
        <f>$BK201-$BK202</f>
        <v/>
      </c>
      <c r="DY201" s="56">
        <f>$BL201-$BL202</f>
        <v/>
      </c>
      <c r="DZ201" s="56">
        <f>$BM201-$BM202</f>
        <v/>
      </c>
      <c r="EA201" s="56">
        <f>$BN201-$BN202</f>
        <v/>
      </c>
      <c r="EB201" s="56">
        <f>$BO201-$BO202</f>
        <v/>
      </c>
      <c r="EC201" s="56">
        <f>$BP201-$BP202</f>
        <v/>
      </c>
      <c r="ED201" s="56">
        <f>$BQ201-$BQ202</f>
        <v/>
      </c>
      <c r="EE201" s="56">
        <f>$BR201-$BR202</f>
        <v/>
      </c>
      <c r="EF201" s="56">
        <f>$BS201-$BS202</f>
        <v/>
      </c>
      <c r="EG201" s="56">
        <f>$BT201-$BT202</f>
        <v/>
      </c>
      <c r="EH201" s="56">
        <f>$BU201-$BU202</f>
        <v/>
      </c>
    </row>
    <row r="202">
      <c r="BV202" s="56">
        <f>($D202-$D203)*100</f>
        <v/>
      </c>
      <c r="BW202" s="56">
        <f>($C202-$C203)*100</f>
        <v/>
      </c>
      <c r="BX202" s="57">
        <f>IFERROR($I202/$I203-1,"")</f>
        <v/>
      </c>
      <c r="BY202" s="56">
        <f>($AF202-$AF203)*100</f>
        <v/>
      </c>
      <c r="BZ202" s="56">
        <f>($AG202-$AG203)*100</f>
        <v/>
      </c>
      <c r="CA202" s="56">
        <f>($AH202-$AH203)*100</f>
        <v/>
      </c>
      <c r="CB202" s="56">
        <f>($AI202-$AI203)*100</f>
        <v/>
      </c>
      <c r="CC202" s="56">
        <f>($AJ202-$AJ203)*100</f>
        <v/>
      </c>
      <c r="CD202" s="56">
        <f>($AK202-$AK203)*100</f>
        <v/>
      </c>
      <c r="CE202" s="56">
        <f>($AL202-$AL203)*100</f>
        <v/>
      </c>
      <c r="CF202" s="56">
        <f>($AM202-$AM203)*100</f>
        <v/>
      </c>
      <c r="CG202" s="56">
        <f>($AN202-$AN203)*100</f>
        <v/>
      </c>
      <c r="CH202" s="56">
        <f>($AO202-$AO203)*100</f>
        <v/>
      </c>
      <c r="CI202" s="56">
        <f>($AP202-$AP203)*100</f>
        <v/>
      </c>
      <c r="CJ202" s="56">
        <f>($AQ202-$AQ203)*100</f>
        <v/>
      </c>
      <c r="CK202" s="56">
        <f>($AR202-$AR203)*100</f>
        <v/>
      </c>
      <c r="CL202" s="56">
        <f>($AS202-$AS203)*100</f>
        <v/>
      </c>
      <c r="CM202" s="56">
        <f>($AT202-$AT203)*100</f>
        <v/>
      </c>
      <c r="CN202" s="56">
        <f>($AU202-$AU203)*100</f>
        <v/>
      </c>
      <c r="CO202" s="56">
        <f>($AV202-$AV203)*100</f>
        <v/>
      </c>
      <c r="CP202" s="56">
        <f>($AW202-$AW203)*100</f>
        <v/>
      </c>
      <c r="CQ202" s="56">
        <f>($AX202-$AX203)*100</f>
        <v/>
      </c>
      <c r="CR202" s="56">
        <f>($AY202-$AY203)*100</f>
        <v/>
      </c>
      <c r="CS202" s="57">
        <f>IFERROR($L203/$L202-1,"")</f>
        <v/>
      </c>
      <c r="CT202" s="57">
        <f>IFERROR($M203/$M202-1,"")</f>
        <v/>
      </c>
      <c r="CU202" s="57">
        <f>IFERROR($N203/$N202-1,"")</f>
        <v/>
      </c>
      <c r="CV202" s="57">
        <f>IFERROR($O203/$O202-1,"")</f>
        <v/>
      </c>
      <c r="CW202" s="57">
        <f>IFERROR($P203/$P202-1,"")</f>
        <v/>
      </c>
      <c r="CX202" s="57">
        <f>IFERROR($Q203/$Q202-1,"")</f>
        <v/>
      </c>
      <c r="CY202" s="57">
        <f>IFERROR($R203/$R202-1,"")</f>
        <v/>
      </c>
      <c r="CZ202" s="57">
        <f>IFERROR($S203/$S202-1,"")</f>
        <v/>
      </c>
      <c r="DA202" s="57">
        <f>IFERROR($T203/$T202-1,"")</f>
        <v/>
      </c>
      <c r="DB202" s="57">
        <f>IFERROR($U203/$U202-1,"")</f>
        <v/>
      </c>
      <c r="DC202" s="57">
        <f>IFERROR($V203/$V202-1,"")</f>
        <v/>
      </c>
      <c r="DD202" s="57">
        <f>IFERROR($W203/$W202-1,"")</f>
        <v/>
      </c>
      <c r="DE202" s="57">
        <f>IFERROR($X203/$X202-1,"")</f>
        <v/>
      </c>
      <c r="DF202" s="57">
        <f>IFERROR($Y203/$Y202-1,"")</f>
        <v/>
      </c>
      <c r="DG202" s="57">
        <f>IFERROR($Z203/$Z202-1,"")</f>
        <v/>
      </c>
      <c r="DH202" s="57">
        <f>IFERROR($AA203/$AA202-1,"")</f>
        <v/>
      </c>
      <c r="DI202" s="57">
        <f>IFERROR($AB203/$AB202-1,"")</f>
        <v/>
      </c>
      <c r="DJ202" s="57">
        <f>IFERROR($AC203/$AC202-1,"")</f>
        <v/>
      </c>
      <c r="DK202" s="57">
        <f>IFERROR($AD203/$AD202-1,"")</f>
        <v/>
      </c>
      <c r="DL202" s="57">
        <f>IFERROR($AE203/$AE202-1,"")</f>
        <v/>
      </c>
      <c r="DM202" s="56">
        <f>$AZ202-$AZ203</f>
        <v/>
      </c>
      <c r="DN202" s="56">
        <f>$BA202-$BA203</f>
        <v/>
      </c>
      <c r="DO202" s="56">
        <f>$BB202-$BB203</f>
        <v/>
      </c>
      <c r="DP202" s="56">
        <f>$BC202-$BC203</f>
        <v/>
      </c>
      <c r="DQ202" s="56">
        <f>$BD202-$BD203</f>
        <v/>
      </c>
      <c r="DR202" s="56">
        <f>$BE202-$BE203</f>
        <v/>
      </c>
      <c r="DS202" s="56">
        <f>$BF202-$BF203</f>
        <v/>
      </c>
      <c r="DT202" s="56">
        <f>$BG202-$BG203</f>
        <v/>
      </c>
      <c r="DU202" s="56">
        <f>$BH202-$BH203</f>
        <v/>
      </c>
      <c r="DV202" s="56">
        <f>$BI202-$BI203</f>
        <v/>
      </c>
      <c r="DW202" s="56">
        <f>$BJ202-$BJ203</f>
        <v/>
      </c>
      <c r="DX202" s="56">
        <f>$BK202-$BK203</f>
        <v/>
      </c>
      <c r="DY202" s="56">
        <f>$BL202-$BL203</f>
        <v/>
      </c>
      <c r="DZ202" s="56">
        <f>$BM202-$BM203</f>
        <v/>
      </c>
      <c r="EA202" s="56">
        <f>$BN202-$BN203</f>
        <v/>
      </c>
      <c r="EB202" s="56">
        <f>$BO202-$BO203</f>
        <v/>
      </c>
      <c r="EC202" s="56">
        <f>$BP202-$BP203</f>
        <v/>
      </c>
      <c r="ED202" s="56">
        <f>$BQ202-$BQ203</f>
        <v/>
      </c>
      <c r="EE202" s="56">
        <f>$BR202-$BR203</f>
        <v/>
      </c>
      <c r="EF202" s="56">
        <f>$BS202-$BS203</f>
        <v/>
      </c>
      <c r="EG202" s="56">
        <f>$BT202-$BT203</f>
        <v/>
      </c>
      <c r="EH202" s="56">
        <f>$BU202-$BU203</f>
        <v/>
      </c>
    </row>
    <row r="203">
      <c r="BV203" s="56">
        <f>($D203-$D204)*100</f>
        <v/>
      </c>
      <c r="BW203" s="56">
        <f>($C203-$C204)*100</f>
        <v/>
      </c>
      <c r="BX203" s="57">
        <f>IFERROR($I203/$I204-1,"")</f>
        <v/>
      </c>
      <c r="BY203" s="56">
        <f>($AF203-$AF204)*100</f>
        <v/>
      </c>
      <c r="BZ203" s="56">
        <f>($AG203-$AG204)*100</f>
        <v/>
      </c>
      <c r="CA203" s="56">
        <f>($AH203-$AH204)*100</f>
        <v/>
      </c>
      <c r="CB203" s="56">
        <f>($AI203-$AI204)*100</f>
        <v/>
      </c>
      <c r="CC203" s="56">
        <f>($AJ203-$AJ204)*100</f>
        <v/>
      </c>
      <c r="CD203" s="56">
        <f>($AK203-$AK204)*100</f>
        <v/>
      </c>
      <c r="CE203" s="56">
        <f>($AL203-$AL204)*100</f>
        <v/>
      </c>
      <c r="CF203" s="56">
        <f>($AM203-$AM204)*100</f>
        <v/>
      </c>
      <c r="CG203" s="56">
        <f>($AN203-$AN204)*100</f>
        <v/>
      </c>
      <c r="CH203" s="56">
        <f>($AO203-$AO204)*100</f>
        <v/>
      </c>
      <c r="CI203" s="56">
        <f>($AP203-$AP204)*100</f>
        <v/>
      </c>
      <c r="CJ203" s="56">
        <f>($AQ203-$AQ204)*100</f>
        <v/>
      </c>
      <c r="CK203" s="56">
        <f>($AR203-$AR204)*100</f>
        <v/>
      </c>
      <c r="CL203" s="56">
        <f>($AS203-$AS204)*100</f>
        <v/>
      </c>
      <c r="CM203" s="56">
        <f>($AT203-$AT204)*100</f>
        <v/>
      </c>
      <c r="CN203" s="56">
        <f>($AU203-$AU204)*100</f>
        <v/>
      </c>
      <c r="CO203" s="56">
        <f>($AV203-$AV204)*100</f>
        <v/>
      </c>
      <c r="CP203" s="56">
        <f>($AW203-$AW204)*100</f>
        <v/>
      </c>
      <c r="CQ203" s="56">
        <f>($AX203-$AX204)*100</f>
        <v/>
      </c>
      <c r="CR203" s="56">
        <f>($AY203-$AY204)*100</f>
        <v/>
      </c>
      <c r="CS203" s="57">
        <f>IFERROR($L204/$L203-1,"")</f>
        <v/>
      </c>
      <c r="CT203" s="57">
        <f>IFERROR($M204/$M203-1,"")</f>
        <v/>
      </c>
      <c r="CU203" s="57">
        <f>IFERROR($N204/$N203-1,"")</f>
        <v/>
      </c>
      <c r="CV203" s="57">
        <f>IFERROR($O204/$O203-1,"")</f>
        <v/>
      </c>
      <c r="CW203" s="57">
        <f>IFERROR($P204/$P203-1,"")</f>
        <v/>
      </c>
      <c r="CX203" s="57">
        <f>IFERROR($Q204/$Q203-1,"")</f>
        <v/>
      </c>
      <c r="CY203" s="57">
        <f>IFERROR($R204/$R203-1,"")</f>
        <v/>
      </c>
      <c r="CZ203" s="57">
        <f>IFERROR($S204/$S203-1,"")</f>
        <v/>
      </c>
      <c r="DA203" s="57">
        <f>IFERROR($T204/$T203-1,"")</f>
        <v/>
      </c>
      <c r="DB203" s="57">
        <f>IFERROR($U204/$U203-1,"")</f>
        <v/>
      </c>
      <c r="DC203" s="57">
        <f>IFERROR($V204/$V203-1,"")</f>
        <v/>
      </c>
      <c r="DD203" s="57">
        <f>IFERROR($W204/$W203-1,"")</f>
        <v/>
      </c>
      <c r="DE203" s="57">
        <f>IFERROR($X204/$X203-1,"")</f>
        <v/>
      </c>
      <c r="DF203" s="57">
        <f>IFERROR($Y204/$Y203-1,"")</f>
        <v/>
      </c>
      <c r="DG203" s="57">
        <f>IFERROR($Z204/$Z203-1,"")</f>
        <v/>
      </c>
      <c r="DH203" s="57">
        <f>IFERROR($AA204/$AA203-1,"")</f>
        <v/>
      </c>
      <c r="DI203" s="57">
        <f>IFERROR($AB204/$AB203-1,"")</f>
        <v/>
      </c>
      <c r="DJ203" s="57">
        <f>IFERROR($AC204/$AC203-1,"")</f>
        <v/>
      </c>
      <c r="DK203" s="57">
        <f>IFERROR($AD204/$AD203-1,"")</f>
        <v/>
      </c>
      <c r="DL203" s="57">
        <f>IFERROR($AE204/$AE203-1,"")</f>
        <v/>
      </c>
      <c r="DM203" s="56">
        <f>$AZ203-$AZ204</f>
        <v/>
      </c>
      <c r="DN203" s="56">
        <f>$BA203-$BA204</f>
        <v/>
      </c>
      <c r="DO203" s="56">
        <f>$BB203-$BB204</f>
        <v/>
      </c>
      <c r="DP203" s="56">
        <f>$BC203-$BC204</f>
        <v/>
      </c>
      <c r="DQ203" s="56">
        <f>$BD203-$BD204</f>
        <v/>
      </c>
      <c r="DR203" s="56">
        <f>$BE203-$BE204</f>
        <v/>
      </c>
      <c r="DS203" s="56">
        <f>$BF203-$BF204</f>
        <v/>
      </c>
      <c r="DT203" s="56">
        <f>$BG203-$BG204</f>
        <v/>
      </c>
      <c r="DU203" s="56">
        <f>$BH203-$BH204</f>
        <v/>
      </c>
      <c r="DV203" s="56">
        <f>$BI203-$BI204</f>
        <v/>
      </c>
      <c r="DW203" s="56">
        <f>$BJ203-$BJ204</f>
        <v/>
      </c>
      <c r="DX203" s="56">
        <f>$BK203-$BK204</f>
        <v/>
      </c>
      <c r="DY203" s="56">
        <f>$BL203-$BL204</f>
        <v/>
      </c>
      <c r="DZ203" s="56">
        <f>$BM203-$BM204</f>
        <v/>
      </c>
      <c r="EA203" s="56">
        <f>$BN203-$BN204</f>
        <v/>
      </c>
      <c r="EB203" s="56">
        <f>$BO203-$BO204</f>
        <v/>
      </c>
      <c r="EC203" s="56">
        <f>$BP203-$BP204</f>
        <v/>
      </c>
      <c r="ED203" s="56">
        <f>$BQ203-$BQ204</f>
        <v/>
      </c>
      <c r="EE203" s="56">
        <f>$BR203-$BR204</f>
        <v/>
      </c>
      <c r="EF203" s="56">
        <f>$BS203-$BS204</f>
        <v/>
      </c>
      <c r="EG203" s="56">
        <f>$BT203-$BT204</f>
        <v/>
      </c>
      <c r="EH203" s="56">
        <f>$BU203-$BU204</f>
        <v/>
      </c>
    </row>
    <row r="204">
      <c r="BV204" s="56">
        <f>($D204-$D205)*100</f>
        <v/>
      </c>
      <c r="BW204" s="56">
        <f>($C204-$C205)*100</f>
        <v/>
      </c>
      <c r="BX204" s="57">
        <f>IFERROR($I204/$I205-1,"")</f>
        <v/>
      </c>
      <c r="BY204" s="56">
        <f>($AF204-$AF205)*100</f>
        <v/>
      </c>
      <c r="BZ204" s="56">
        <f>($AG204-$AG205)*100</f>
        <v/>
      </c>
      <c r="CA204" s="56">
        <f>($AH204-$AH205)*100</f>
        <v/>
      </c>
      <c r="CB204" s="56">
        <f>($AI204-$AI205)*100</f>
        <v/>
      </c>
      <c r="CC204" s="56">
        <f>($AJ204-$AJ205)*100</f>
        <v/>
      </c>
      <c r="CD204" s="56">
        <f>($AK204-$AK205)*100</f>
        <v/>
      </c>
      <c r="CE204" s="56">
        <f>($AL204-$AL205)*100</f>
        <v/>
      </c>
      <c r="CF204" s="56">
        <f>($AM204-$AM205)*100</f>
        <v/>
      </c>
      <c r="CG204" s="56">
        <f>($AN204-$AN205)*100</f>
        <v/>
      </c>
      <c r="CH204" s="56">
        <f>($AO204-$AO205)*100</f>
        <v/>
      </c>
      <c r="CI204" s="56">
        <f>($AP204-$AP205)*100</f>
        <v/>
      </c>
      <c r="CJ204" s="56">
        <f>($AQ204-$AQ205)*100</f>
        <v/>
      </c>
      <c r="CK204" s="56">
        <f>($AR204-$AR205)*100</f>
        <v/>
      </c>
      <c r="CL204" s="56">
        <f>($AS204-$AS205)*100</f>
        <v/>
      </c>
      <c r="CM204" s="56">
        <f>($AT204-$AT205)*100</f>
        <v/>
      </c>
      <c r="CN204" s="56">
        <f>($AU204-$AU205)*100</f>
        <v/>
      </c>
      <c r="CO204" s="56">
        <f>($AV204-$AV205)*100</f>
        <v/>
      </c>
      <c r="CP204" s="56">
        <f>($AW204-$AW205)*100</f>
        <v/>
      </c>
      <c r="CQ204" s="56">
        <f>($AX204-$AX205)*100</f>
        <v/>
      </c>
      <c r="CR204" s="56">
        <f>($AY204-$AY205)*100</f>
        <v/>
      </c>
      <c r="CS204" s="57">
        <f>IFERROR($L205/$L204-1,"")</f>
        <v/>
      </c>
      <c r="CT204" s="57">
        <f>IFERROR($M205/$M204-1,"")</f>
        <v/>
      </c>
      <c r="CU204" s="57">
        <f>IFERROR($N205/$N204-1,"")</f>
        <v/>
      </c>
      <c r="CV204" s="57">
        <f>IFERROR($O205/$O204-1,"")</f>
        <v/>
      </c>
      <c r="CW204" s="57">
        <f>IFERROR($P205/$P204-1,"")</f>
        <v/>
      </c>
      <c r="CX204" s="57">
        <f>IFERROR($Q205/$Q204-1,"")</f>
        <v/>
      </c>
      <c r="CY204" s="57">
        <f>IFERROR($R205/$R204-1,"")</f>
        <v/>
      </c>
      <c r="CZ204" s="57">
        <f>IFERROR($S205/$S204-1,"")</f>
        <v/>
      </c>
      <c r="DA204" s="57">
        <f>IFERROR($T205/$T204-1,"")</f>
        <v/>
      </c>
      <c r="DB204" s="57">
        <f>IFERROR($U205/$U204-1,"")</f>
        <v/>
      </c>
      <c r="DC204" s="57">
        <f>IFERROR($V205/$V204-1,"")</f>
        <v/>
      </c>
      <c r="DD204" s="57">
        <f>IFERROR($W205/$W204-1,"")</f>
        <v/>
      </c>
      <c r="DE204" s="57">
        <f>IFERROR($X205/$X204-1,"")</f>
        <v/>
      </c>
      <c r="DF204" s="57">
        <f>IFERROR($Y205/$Y204-1,"")</f>
        <v/>
      </c>
      <c r="DG204" s="57">
        <f>IFERROR($Z205/$Z204-1,"")</f>
        <v/>
      </c>
      <c r="DH204" s="57">
        <f>IFERROR($AA205/$AA204-1,"")</f>
        <v/>
      </c>
      <c r="DI204" s="57">
        <f>IFERROR($AB205/$AB204-1,"")</f>
        <v/>
      </c>
      <c r="DJ204" s="57">
        <f>IFERROR($AC205/$AC204-1,"")</f>
        <v/>
      </c>
      <c r="DK204" s="57">
        <f>IFERROR($AD205/$AD204-1,"")</f>
        <v/>
      </c>
      <c r="DL204" s="57">
        <f>IFERROR($AE205/$AE204-1,"")</f>
        <v/>
      </c>
      <c r="DM204" s="56">
        <f>$AZ204-$AZ205</f>
        <v/>
      </c>
      <c r="DN204" s="56">
        <f>$BA204-$BA205</f>
        <v/>
      </c>
      <c r="DO204" s="56">
        <f>$BB204-$BB205</f>
        <v/>
      </c>
      <c r="DP204" s="56">
        <f>$BC204-$BC205</f>
        <v/>
      </c>
      <c r="DQ204" s="56">
        <f>$BD204-$BD205</f>
        <v/>
      </c>
      <c r="DR204" s="56">
        <f>$BE204-$BE205</f>
        <v/>
      </c>
      <c r="DS204" s="56">
        <f>$BF204-$BF205</f>
        <v/>
      </c>
      <c r="DT204" s="56">
        <f>$BG204-$BG205</f>
        <v/>
      </c>
      <c r="DU204" s="56">
        <f>$BH204-$BH205</f>
        <v/>
      </c>
      <c r="DV204" s="56">
        <f>$BI204-$BI205</f>
        <v/>
      </c>
      <c r="DW204" s="56">
        <f>$BJ204-$BJ205</f>
        <v/>
      </c>
      <c r="DX204" s="56">
        <f>$BK204-$BK205</f>
        <v/>
      </c>
      <c r="DY204" s="56">
        <f>$BL204-$BL205</f>
        <v/>
      </c>
      <c r="DZ204" s="56">
        <f>$BM204-$BM205</f>
        <v/>
      </c>
      <c r="EA204" s="56">
        <f>$BN204-$BN205</f>
        <v/>
      </c>
      <c r="EB204" s="56">
        <f>$BO204-$BO205</f>
        <v/>
      </c>
      <c r="EC204" s="56">
        <f>$BP204-$BP205</f>
        <v/>
      </c>
      <c r="ED204" s="56">
        <f>$BQ204-$BQ205</f>
        <v/>
      </c>
      <c r="EE204" s="56">
        <f>$BR204-$BR205</f>
        <v/>
      </c>
      <c r="EF204" s="56">
        <f>$BS204-$BS205</f>
        <v/>
      </c>
      <c r="EG204" s="56">
        <f>$BT204-$BT205</f>
        <v/>
      </c>
      <c r="EH204" s="56">
        <f>$BU204-$BU205</f>
        <v/>
      </c>
    </row>
    <row r="205">
      <c r="BV205" s="56">
        <f>($D205-$D206)*100</f>
        <v/>
      </c>
      <c r="BW205" s="56">
        <f>($C205-$C206)*100</f>
        <v/>
      </c>
      <c r="BX205" s="57">
        <f>IFERROR($I205/$I206-1,"")</f>
        <v/>
      </c>
      <c r="BY205" s="56">
        <f>($AF205-$AF206)*100</f>
        <v/>
      </c>
      <c r="BZ205" s="56">
        <f>($AG205-$AG206)*100</f>
        <v/>
      </c>
      <c r="CA205" s="56">
        <f>($AH205-$AH206)*100</f>
        <v/>
      </c>
      <c r="CB205" s="56">
        <f>($AI205-$AI206)*100</f>
        <v/>
      </c>
      <c r="CC205" s="56">
        <f>($AJ205-$AJ206)*100</f>
        <v/>
      </c>
      <c r="CD205" s="56">
        <f>($AK205-$AK206)*100</f>
        <v/>
      </c>
      <c r="CE205" s="56">
        <f>($AL205-$AL206)*100</f>
        <v/>
      </c>
      <c r="CF205" s="56">
        <f>($AM205-$AM206)*100</f>
        <v/>
      </c>
      <c r="CG205" s="56">
        <f>($AN205-$AN206)*100</f>
        <v/>
      </c>
      <c r="CH205" s="56">
        <f>($AO205-$AO206)*100</f>
        <v/>
      </c>
      <c r="CI205" s="56">
        <f>($AP205-$AP206)*100</f>
        <v/>
      </c>
      <c r="CJ205" s="56">
        <f>($AQ205-$AQ206)*100</f>
        <v/>
      </c>
      <c r="CK205" s="56">
        <f>($AR205-$AR206)*100</f>
        <v/>
      </c>
      <c r="CL205" s="56">
        <f>($AS205-$AS206)*100</f>
        <v/>
      </c>
      <c r="CM205" s="56">
        <f>($AT205-$AT206)*100</f>
        <v/>
      </c>
      <c r="CN205" s="56">
        <f>($AU205-$AU206)*100</f>
        <v/>
      </c>
      <c r="CO205" s="56">
        <f>($AV205-$AV206)*100</f>
        <v/>
      </c>
      <c r="CP205" s="56">
        <f>($AW205-$AW206)*100</f>
        <v/>
      </c>
      <c r="CQ205" s="56">
        <f>($AX205-$AX206)*100</f>
        <v/>
      </c>
      <c r="CR205" s="56">
        <f>($AY205-$AY206)*100</f>
        <v/>
      </c>
      <c r="CS205" s="57">
        <f>IFERROR($L206/$L205-1,"")</f>
        <v/>
      </c>
      <c r="CT205" s="57">
        <f>IFERROR($M206/$M205-1,"")</f>
        <v/>
      </c>
      <c r="CU205" s="57">
        <f>IFERROR($N206/$N205-1,"")</f>
        <v/>
      </c>
      <c r="CV205" s="57">
        <f>IFERROR($O206/$O205-1,"")</f>
        <v/>
      </c>
      <c r="CW205" s="57">
        <f>IFERROR($P206/$P205-1,"")</f>
        <v/>
      </c>
      <c r="CX205" s="57">
        <f>IFERROR($Q206/$Q205-1,"")</f>
        <v/>
      </c>
      <c r="CY205" s="57">
        <f>IFERROR($R206/$R205-1,"")</f>
        <v/>
      </c>
      <c r="CZ205" s="57">
        <f>IFERROR($S206/$S205-1,"")</f>
        <v/>
      </c>
      <c r="DA205" s="57">
        <f>IFERROR($T206/$T205-1,"")</f>
        <v/>
      </c>
      <c r="DB205" s="57">
        <f>IFERROR($U206/$U205-1,"")</f>
        <v/>
      </c>
      <c r="DC205" s="57">
        <f>IFERROR($V206/$V205-1,"")</f>
        <v/>
      </c>
      <c r="DD205" s="57">
        <f>IFERROR($W206/$W205-1,"")</f>
        <v/>
      </c>
      <c r="DE205" s="57">
        <f>IFERROR($X206/$X205-1,"")</f>
        <v/>
      </c>
      <c r="DF205" s="57">
        <f>IFERROR($Y206/$Y205-1,"")</f>
        <v/>
      </c>
      <c r="DG205" s="57">
        <f>IFERROR($Z206/$Z205-1,"")</f>
        <v/>
      </c>
      <c r="DH205" s="57">
        <f>IFERROR($AA206/$AA205-1,"")</f>
        <v/>
      </c>
      <c r="DI205" s="57">
        <f>IFERROR($AB206/$AB205-1,"")</f>
        <v/>
      </c>
      <c r="DJ205" s="57">
        <f>IFERROR($AC206/$AC205-1,"")</f>
        <v/>
      </c>
      <c r="DK205" s="57">
        <f>IFERROR($AD206/$AD205-1,"")</f>
        <v/>
      </c>
      <c r="DL205" s="57">
        <f>IFERROR($AE206/$AE205-1,"")</f>
        <v/>
      </c>
      <c r="DM205" s="56">
        <f>$AZ205-$AZ206</f>
        <v/>
      </c>
      <c r="DN205" s="56">
        <f>$BA205-$BA206</f>
        <v/>
      </c>
      <c r="DO205" s="56">
        <f>$BB205-$BB206</f>
        <v/>
      </c>
      <c r="DP205" s="56">
        <f>$BC205-$BC206</f>
        <v/>
      </c>
      <c r="DQ205" s="56">
        <f>$BD205-$BD206</f>
        <v/>
      </c>
      <c r="DR205" s="56">
        <f>$BE205-$BE206</f>
        <v/>
      </c>
      <c r="DS205" s="56">
        <f>$BF205-$BF206</f>
        <v/>
      </c>
      <c r="DT205" s="56">
        <f>$BG205-$BG206</f>
        <v/>
      </c>
      <c r="DU205" s="56">
        <f>$BH205-$BH206</f>
        <v/>
      </c>
      <c r="DV205" s="56">
        <f>$BI205-$BI206</f>
        <v/>
      </c>
      <c r="DW205" s="56">
        <f>$BJ205-$BJ206</f>
        <v/>
      </c>
      <c r="DX205" s="56">
        <f>$BK205-$BK206</f>
        <v/>
      </c>
      <c r="DY205" s="56">
        <f>$BL205-$BL206</f>
        <v/>
      </c>
      <c r="DZ205" s="56">
        <f>$BM205-$BM206</f>
        <v/>
      </c>
      <c r="EA205" s="56">
        <f>$BN205-$BN206</f>
        <v/>
      </c>
      <c r="EB205" s="56">
        <f>$BO205-$BO206</f>
        <v/>
      </c>
      <c r="EC205" s="56">
        <f>$BP205-$BP206</f>
        <v/>
      </c>
      <c r="ED205" s="56">
        <f>$BQ205-$BQ206</f>
        <v/>
      </c>
      <c r="EE205" s="56">
        <f>$BR205-$BR206</f>
        <v/>
      </c>
      <c r="EF205" s="56">
        <f>$BS205-$BS206</f>
        <v/>
      </c>
      <c r="EG205" s="56">
        <f>$BT205-$BT206</f>
        <v/>
      </c>
      <c r="EH205" s="56">
        <f>$BU205-$BU206</f>
        <v/>
      </c>
    </row>
    <row r="206">
      <c r="BV206" s="56">
        <f>($D206-$D207)*100</f>
        <v/>
      </c>
      <c r="BW206" s="56">
        <f>($C206-$C207)*100</f>
        <v/>
      </c>
      <c r="BX206" s="57">
        <f>IFERROR($I206/$I207-1,"")</f>
        <v/>
      </c>
      <c r="BY206" s="56">
        <f>($AF206-$AF207)*100</f>
        <v/>
      </c>
      <c r="BZ206" s="56">
        <f>($AG206-$AG207)*100</f>
        <v/>
      </c>
      <c r="CA206" s="56">
        <f>($AH206-$AH207)*100</f>
        <v/>
      </c>
      <c r="CB206" s="56">
        <f>($AI206-$AI207)*100</f>
        <v/>
      </c>
      <c r="CC206" s="56">
        <f>($AJ206-$AJ207)*100</f>
        <v/>
      </c>
      <c r="CD206" s="56">
        <f>($AK206-$AK207)*100</f>
        <v/>
      </c>
      <c r="CE206" s="56">
        <f>($AL206-$AL207)*100</f>
        <v/>
      </c>
      <c r="CF206" s="56">
        <f>($AM206-$AM207)*100</f>
        <v/>
      </c>
      <c r="CG206" s="56">
        <f>($AN206-$AN207)*100</f>
        <v/>
      </c>
      <c r="CH206" s="56">
        <f>($AO206-$AO207)*100</f>
        <v/>
      </c>
      <c r="CI206" s="56">
        <f>($AP206-$AP207)*100</f>
        <v/>
      </c>
      <c r="CJ206" s="56">
        <f>($AQ206-$AQ207)*100</f>
        <v/>
      </c>
      <c r="CK206" s="56">
        <f>($AR206-$AR207)*100</f>
        <v/>
      </c>
      <c r="CL206" s="56">
        <f>($AS206-$AS207)*100</f>
        <v/>
      </c>
      <c r="CM206" s="56">
        <f>($AT206-$AT207)*100</f>
        <v/>
      </c>
      <c r="CN206" s="56">
        <f>($AU206-$AU207)*100</f>
        <v/>
      </c>
      <c r="CO206" s="56">
        <f>($AV206-$AV207)*100</f>
        <v/>
      </c>
      <c r="CP206" s="56">
        <f>($AW206-$AW207)*100</f>
        <v/>
      </c>
      <c r="CQ206" s="56">
        <f>($AX206-$AX207)*100</f>
        <v/>
      </c>
      <c r="CR206" s="56">
        <f>($AY206-$AY207)*100</f>
        <v/>
      </c>
      <c r="CS206" s="57">
        <f>IFERROR($L207/$L206-1,"")</f>
        <v/>
      </c>
      <c r="CT206" s="57">
        <f>IFERROR($M207/$M206-1,"")</f>
        <v/>
      </c>
      <c r="CU206" s="57">
        <f>IFERROR($N207/$N206-1,"")</f>
        <v/>
      </c>
      <c r="CV206" s="57">
        <f>IFERROR($O207/$O206-1,"")</f>
        <v/>
      </c>
      <c r="CW206" s="57">
        <f>IFERROR($P207/$P206-1,"")</f>
        <v/>
      </c>
      <c r="CX206" s="57">
        <f>IFERROR($Q207/$Q206-1,"")</f>
        <v/>
      </c>
      <c r="CY206" s="57">
        <f>IFERROR($R207/$R206-1,"")</f>
        <v/>
      </c>
      <c r="CZ206" s="57">
        <f>IFERROR($S207/$S206-1,"")</f>
        <v/>
      </c>
      <c r="DA206" s="57">
        <f>IFERROR($T207/$T206-1,"")</f>
        <v/>
      </c>
      <c r="DB206" s="57">
        <f>IFERROR($U207/$U206-1,"")</f>
        <v/>
      </c>
      <c r="DC206" s="57">
        <f>IFERROR($V207/$V206-1,"")</f>
        <v/>
      </c>
      <c r="DD206" s="57">
        <f>IFERROR($W207/$W206-1,"")</f>
        <v/>
      </c>
      <c r="DE206" s="57">
        <f>IFERROR($X207/$X206-1,"")</f>
        <v/>
      </c>
      <c r="DF206" s="57">
        <f>IFERROR($Y207/$Y206-1,"")</f>
        <v/>
      </c>
      <c r="DG206" s="57">
        <f>IFERROR($Z207/$Z206-1,"")</f>
        <v/>
      </c>
      <c r="DH206" s="57">
        <f>IFERROR($AA207/$AA206-1,"")</f>
        <v/>
      </c>
      <c r="DI206" s="57">
        <f>IFERROR($AB207/$AB206-1,"")</f>
        <v/>
      </c>
      <c r="DJ206" s="57">
        <f>IFERROR($AC207/$AC206-1,"")</f>
        <v/>
      </c>
      <c r="DK206" s="57">
        <f>IFERROR($AD207/$AD206-1,"")</f>
        <v/>
      </c>
      <c r="DL206" s="57">
        <f>IFERROR($AE207/$AE206-1,"")</f>
        <v/>
      </c>
      <c r="DM206" s="56">
        <f>$AZ206-$AZ207</f>
        <v/>
      </c>
      <c r="DN206" s="56">
        <f>$BA206-$BA207</f>
        <v/>
      </c>
      <c r="DO206" s="56">
        <f>$BB206-$BB207</f>
        <v/>
      </c>
      <c r="DP206" s="56">
        <f>$BC206-$BC207</f>
        <v/>
      </c>
      <c r="DQ206" s="56">
        <f>$BD206-$BD207</f>
        <v/>
      </c>
      <c r="DR206" s="56">
        <f>$BE206-$BE207</f>
        <v/>
      </c>
      <c r="DS206" s="56">
        <f>$BF206-$BF207</f>
        <v/>
      </c>
      <c r="DT206" s="56">
        <f>$BG206-$BG207</f>
        <v/>
      </c>
      <c r="DU206" s="56">
        <f>$BH206-$BH207</f>
        <v/>
      </c>
      <c r="DV206" s="56">
        <f>$BI206-$BI207</f>
        <v/>
      </c>
      <c r="DW206" s="56">
        <f>$BJ206-$BJ207</f>
        <v/>
      </c>
      <c r="DX206" s="56">
        <f>$BK206-$BK207</f>
        <v/>
      </c>
      <c r="DY206" s="56">
        <f>$BL206-$BL207</f>
        <v/>
      </c>
      <c r="DZ206" s="56">
        <f>$BM206-$BM207</f>
        <v/>
      </c>
      <c r="EA206" s="56">
        <f>$BN206-$BN207</f>
        <v/>
      </c>
      <c r="EB206" s="56">
        <f>$BO206-$BO207</f>
        <v/>
      </c>
      <c r="EC206" s="56">
        <f>$BP206-$BP207</f>
        <v/>
      </c>
      <c r="ED206" s="56">
        <f>$BQ206-$BQ207</f>
        <v/>
      </c>
      <c r="EE206" s="56">
        <f>$BR206-$BR207</f>
        <v/>
      </c>
      <c r="EF206" s="56">
        <f>$BS206-$BS207</f>
        <v/>
      </c>
      <c r="EG206" s="56">
        <f>$BT206-$BT207</f>
        <v/>
      </c>
      <c r="EH206" s="56">
        <f>$BU206-$BU207</f>
        <v/>
      </c>
    </row>
    <row r="207">
      <c r="BV207" s="56">
        <f>($D207-$D208)*100</f>
        <v/>
      </c>
      <c r="BW207" s="56">
        <f>($C207-$C208)*100</f>
        <v/>
      </c>
      <c r="BX207" s="57">
        <f>IFERROR($I207/$I208-1,"")</f>
        <v/>
      </c>
      <c r="BY207" s="56">
        <f>($AF207-$AF208)*100</f>
        <v/>
      </c>
      <c r="BZ207" s="56">
        <f>($AG207-$AG208)*100</f>
        <v/>
      </c>
      <c r="CA207" s="56">
        <f>($AH207-$AH208)*100</f>
        <v/>
      </c>
      <c r="CB207" s="56">
        <f>($AI207-$AI208)*100</f>
        <v/>
      </c>
      <c r="CC207" s="56">
        <f>($AJ207-$AJ208)*100</f>
        <v/>
      </c>
      <c r="CD207" s="56">
        <f>($AK207-$AK208)*100</f>
        <v/>
      </c>
      <c r="CE207" s="56">
        <f>($AL207-$AL208)*100</f>
        <v/>
      </c>
      <c r="CF207" s="56">
        <f>($AM207-$AM208)*100</f>
        <v/>
      </c>
      <c r="CG207" s="56">
        <f>($AN207-$AN208)*100</f>
        <v/>
      </c>
      <c r="CH207" s="56">
        <f>($AO207-$AO208)*100</f>
        <v/>
      </c>
      <c r="CI207" s="56">
        <f>($AP207-$AP208)*100</f>
        <v/>
      </c>
      <c r="CJ207" s="56">
        <f>($AQ207-$AQ208)*100</f>
        <v/>
      </c>
      <c r="CK207" s="56">
        <f>($AR207-$AR208)*100</f>
        <v/>
      </c>
      <c r="CL207" s="56">
        <f>($AS207-$AS208)*100</f>
        <v/>
      </c>
      <c r="CM207" s="56">
        <f>($AT207-$AT208)*100</f>
        <v/>
      </c>
      <c r="CN207" s="56">
        <f>($AU207-$AU208)*100</f>
        <v/>
      </c>
      <c r="CO207" s="56">
        <f>($AV207-$AV208)*100</f>
        <v/>
      </c>
      <c r="CP207" s="56">
        <f>($AW207-$AW208)*100</f>
        <v/>
      </c>
      <c r="CQ207" s="56">
        <f>($AX207-$AX208)*100</f>
        <v/>
      </c>
      <c r="CR207" s="56">
        <f>($AY207-$AY208)*100</f>
        <v/>
      </c>
      <c r="CS207" s="57">
        <f>IFERROR($L208/$L207-1,"")</f>
        <v/>
      </c>
      <c r="CT207" s="57">
        <f>IFERROR($M208/$M207-1,"")</f>
        <v/>
      </c>
      <c r="CU207" s="57">
        <f>IFERROR($N208/$N207-1,"")</f>
        <v/>
      </c>
      <c r="CV207" s="57">
        <f>IFERROR($O208/$O207-1,"")</f>
        <v/>
      </c>
      <c r="CW207" s="57">
        <f>IFERROR($P208/$P207-1,"")</f>
        <v/>
      </c>
      <c r="CX207" s="57">
        <f>IFERROR($Q208/$Q207-1,"")</f>
        <v/>
      </c>
      <c r="CY207" s="57">
        <f>IFERROR($R208/$R207-1,"")</f>
        <v/>
      </c>
      <c r="CZ207" s="57">
        <f>IFERROR($S208/$S207-1,"")</f>
        <v/>
      </c>
      <c r="DA207" s="57">
        <f>IFERROR($T208/$T207-1,"")</f>
        <v/>
      </c>
      <c r="DB207" s="57">
        <f>IFERROR($U208/$U207-1,"")</f>
        <v/>
      </c>
      <c r="DC207" s="57">
        <f>IFERROR($V208/$V207-1,"")</f>
        <v/>
      </c>
      <c r="DD207" s="57">
        <f>IFERROR($W208/$W207-1,"")</f>
        <v/>
      </c>
      <c r="DE207" s="57">
        <f>IFERROR($X208/$X207-1,"")</f>
        <v/>
      </c>
      <c r="DF207" s="57">
        <f>IFERROR($Y208/$Y207-1,"")</f>
        <v/>
      </c>
      <c r="DG207" s="57">
        <f>IFERROR($Z208/$Z207-1,"")</f>
        <v/>
      </c>
      <c r="DH207" s="57">
        <f>IFERROR($AA208/$AA207-1,"")</f>
        <v/>
      </c>
      <c r="DI207" s="57">
        <f>IFERROR($AB208/$AB207-1,"")</f>
        <v/>
      </c>
      <c r="DJ207" s="57">
        <f>IFERROR($AC208/$AC207-1,"")</f>
        <v/>
      </c>
      <c r="DK207" s="57">
        <f>IFERROR($AD208/$AD207-1,"")</f>
        <v/>
      </c>
      <c r="DL207" s="57">
        <f>IFERROR($AE208/$AE207-1,"")</f>
        <v/>
      </c>
      <c r="DM207" s="56">
        <f>$AZ207-$AZ208</f>
        <v/>
      </c>
      <c r="DN207" s="56">
        <f>$BA207-$BA208</f>
        <v/>
      </c>
      <c r="DO207" s="56">
        <f>$BB207-$BB208</f>
        <v/>
      </c>
      <c r="DP207" s="56">
        <f>$BC207-$BC208</f>
        <v/>
      </c>
      <c r="DQ207" s="56">
        <f>$BD207-$BD208</f>
        <v/>
      </c>
      <c r="DR207" s="56">
        <f>$BE207-$BE208</f>
        <v/>
      </c>
      <c r="DS207" s="56">
        <f>$BF207-$BF208</f>
        <v/>
      </c>
      <c r="DT207" s="56">
        <f>$BG207-$BG208</f>
        <v/>
      </c>
      <c r="DU207" s="56">
        <f>$BH207-$BH208</f>
        <v/>
      </c>
      <c r="DV207" s="56">
        <f>$BI207-$BI208</f>
        <v/>
      </c>
      <c r="DW207" s="56">
        <f>$BJ207-$BJ208</f>
        <v/>
      </c>
      <c r="DX207" s="56">
        <f>$BK207-$BK208</f>
        <v/>
      </c>
      <c r="DY207" s="56">
        <f>$BL207-$BL208</f>
        <v/>
      </c>
      <c r="DZ207" s="56">
        <f>$BM207-$BM208</f>
        <v/>
      </c>
      <c r="EA207" s="56">
        <f>$BN207-$BN208</f>
        <v/>
      </c>
      <c r="EB207" s="56">
        <f>$BO207-$BO208</f>
        <v/>
      </c>
      <c r="EC207" s="56">
        <f>$BP207-$BP208</f>
        <v/>
      </c>
      <c r="ED207" s="56">
        <f>$BQ207-$BQ208</f>
        <v/>
      </c>
      <c r="EE207" s="56">
        <f>$BR207-$BR208</f>
        <v/>
      </c>
      <c r="EF207" s="56">
        <f>$BS207-$BS208</f>
        <v/>
      </c>
      <c r="EG207" s="56">
        <f>$BT207-$BT208</f>
        <v/>
      </c>
      <c r="EH207" s="56">
        <f>$BU207-$BU208</f>
        <v/>
      </c>
    </row>
    <row r="208">
      <c r="BV208" s="56">
        <f>($D208-$D209)*100</f>
        <v/>
      </c>
      <c r="BW208" s="56">
        <f>($C208-$C209)*100</f>
        <v/>
      </c>
      <c r="BX208" s="57">
        <f>IFERROR($I208/$I209-1,"")</f>
        <v/>
      </c>
      <c r="BY208" s="56">
        <f>($AF208-$AF209)*100</f>
        <v/>
      </c>
      <c r="BZ208" s="56">
        <f>($AG208-$AG209)*100</f>
        <v/>
      </c>
      <c r="CA208" s="56">
        <f>($AH208-$AH209)*100</f>
        <v/>
      </c>
      <c r="CB208" s="56">
        <f>($AI208-$AI209)*100</f>
        <v/>
      </c>
      <c r="CC208" s="56">
        <f>($AJ208-$AJ209)*100</f>
        <v/>
      </c>
      <c r="CD208" s="56">
        <f>($AK208-$AK209)*100</f>
        <v/>
      </c>
      <c r="CE208" s="56">
        <f>($AL208-$AL209)*100</f>
        <v/>
      </c>
      <c r="CF208" s="56">
        <f>($AM208-$AM209)*100</f>
        <v/>
      </c>
      <c r="CG208" s="56">
        <f>($AN208-$AN209)*100</f>
        <v/>
      </c>
      <c r="CH208" s="56">
        <f>($AO208-$AO209)*100</f>
        <v/>
      </c>
      <c r="CI208" s="56">
        <f>($AP208-$AP209)*100</f>
        <v/>
      </c>
      <c r="CJ208" s="56">
        <f>($AQ208-$AQ209)*100</f>
        <v/>
      </c>
      <c r="CK208" s="56">
        <f>($AR208-$AR209)*100</f>
        <v/>
      </c>
      <c r="CL208" s="56">
        <f>($AS208-$AS209)*100</f>
        <v/>
      </c>
      <c r="CM208" s="56">
        <f>($AT208-$AT209)*100</f>
        <v/>
      </c>
      <c r="CN208" s="56">
        <f>($AU208-$AU209)*100</f>
        <v/>
      </c>
      <c r="CO208" s="56">
        <f>($AV208-$AV209)*100</f>
        <v/>
      </c>
      <c r="CP208" s="56">
        <f>($AW208-$AW209)*100</f>
        <v/>
      </c>
      <c r="CQ208" s="56">
        <f>($AX208-$AX209)*100</f>
        <v/>
      </c>
      <c r="CR208" s="56">
        <f>($AY208-$AY209)*100</f>
        <v/>
      </c>
      <c r="CS208" s="57">
        <f>IFERROR($L209/$L208-1,"")</f>
        <v/>
      </c>
      <c r="CT208" s="57">
        <f>IFERROR($M209/$M208-1,"")</f>
        <v/>
      </c>
      <c r="CU208" s="57">
        <f>IFERROR($N209/$N208-1,"")</f>
        <v/>
      </c>
      <c r="CV208" s="57">
        <f>IFERROR($O209/$O208-1,"")</f>
        <v/>
      </c>
      <c r="CW208" s="57">
        <f>IFERROR($P209/$P208-1,"")</f>
        <v/>
      </c>
      <c r="CX208" s="57">
        <f>IFERROR($Q209/$Q208-1,"")</f>
        <v/>
      </c>
      <c r="CY208" s="57">
        <f>IFERROR($R209/$R208-1,"")</f>
        <v/>
      </c>
      <c r="CZ208" s="57">
        <f>IFERROR($S209/$S208-1,"")</f>
        <v/>
      </c>
      <c r="DA208" s="57">
        <f>IFERROR($T209/$T208-1,"")</f>
        <v/>
      </c>
      <c r="DB208" s="57">
        <f>IFERROR($U209/$U208-1,"")</f>
        <v/>
      </c>
      <c r="DC208" s="57">
        <f>IFERROR($V209/$V208-1,"")</f>
        <v/>
      </c>
      <c r="DD208" s="57">
        <f>IFERROR($W209/$W208-1,"")</f>
        <v/>
      </c>
      <c r="DE208" s="57">
        <f>IFERROR($X209/$X208-1,"")</f>
        <v/>
      </c>
      <c r="DF208" s="57">
        <f>IFERROR($Y209/$Y208-1,"")</f>
        <v/>
      </c>
      <c r="DG208" s="57">
        <f>IFERROR($Z209/$Z208-1,"")</f>
        <v/>
      </c>
      <c r="DH208" s="57">
        <f>IFERROR($AA209/$AA208-1,"")</f>
        <v/>
      </c>
      <c r="DI208" s="57">
        <f>IFERROR($AB209/$AB208-1,"")</f>
        <v/>
      </c>
      <c r="DJ208" s="57">
        <f>IFERROR($AC209/$AC208-1,"")</f>
        <v/>
      </c>
      <c r="DK208" s="57">
        <f>IFERROR($AD209/$AD208-1,"")</f>
        <v/>
      </c>
      <c r="DL208" s="57">
        <f>IFERROR($AE209/$AE208-1,"")</f>
        <v/>
      </c>
      <c r="DM208" s="56">
        <f>$AZ208-$AZ209</f>
        <v/>
      </c>
      <c r="DN208" s="56">
        <f>$BA208-$BA209</f>
        <v/>
      </c>
      <c r="DO208" s="56">
        <f>$BB208-$BB209</f>
        <v/>
      </c>
      <c r="DP208" s="56">
        <f>$BC208-$BC209</f>
        <v/>
      </c>
      <c r="DQ208" s="56">
        <f>$BD208-$BD209</f>
        <v/>
      </c>
      <c r="DR208" s="56">
        <f>$BE208-$BE209</f>
        <v/>
      </c>
      <c r="DS208" s="56">
        <f>$BF208-$BF209</f>
        <v/>
      </c>
      <c r="DT208" s="56">
        <f>$BG208-$BG209</f>
        <v/>
      </c>
      <c r="DU208" s="56">
        <f>$BH208-$BH209</f>
        <v/>
      </c>
      <c r="DV208" s="56">
        <f>$BI208-$BI209</f>
        <v/>
      </c>
      <c r="DW208" s="56">
        <f>$BJ208-$BJ209</f>
        <v/>
      </c>
      <c r="DX208" s="56">
        <f>$BK208-$BK209</f>
        <v/>
      </c>
      <c r="DY208" s="56">
        <f>$BL208-$BL209</f>
        <v/>
      </c>
      <c r="DZ208" s="56">
        <f>$BM208-$BM209</f>
        <v/>
      </c>
      <c r="EA208" s="56">
        <f>$BN208-$BN209</f>
        <v/>
      </c>
      <c r="EB208" s="56">
        <f>$BO208-$BO209</f>
        <v/>
      </c>
      <c r="EC208" s="56">
        <f>$BP208-$BP209</f>
        <v/>
      </c>
      <c r="ED208" s="56">
        <f>$BQ208-$BQ209</f>
        <v/>
      </c>
      <c r="EE208" s="56">
        <f>$BR208-$BR209</f>
        <v/>
      </c>
      <c r="EF208" s="56">
        <f>$BS208-$BS209</f>
        <v/>
      </c>
      <c r="EG208" s="56">
        <f>$BT208-$BT209</f>
        <v/>
      </c>
      <c r="EH208" s="56">
        <f>$BU208-$BU209</f>
        <v/>
      </c>
    </row>
    <row r="209">
      <c r="BV209" s="56">
        <f>($D209-$D210)*100</f>
        <v/>
      </c>
      <c r="BW209" s="56">
        <f>($C209-$C210)*100</f>
        <v/>
      </c>
      <c r="BX209" s="57">
        <f>IFERROR($I209/$I210-1,"")</f>
        <v/>
      </c>
      <c r="BY209" s="56">
        <f>($AF209-$AF210)*100</f>
        <v/>
      </c>
      <c r="BZ209" s="56">
        <f>($AG209-$AG210)*100</f>
        <v/>
      </c>
      <c r="CA209" s="56">
        <f>($AH209-$AH210)*100</f>
        <v/>
      </c>
      <c r="CB209" s="56">
        <f>($AI209-$AI210)*100</f>
        <v/>
      </c>
      <c r="CC209" s="56">
        <f>($AJ209-$AJ210)*100</f>
        <v/>
      </c>
      <c r="CD209" s="56">
        <f>($AK209-$AK210)*100</f>
        <v/>
      </c>
      <c r="CE209" s="56">
        <f>($AL209-$AL210)*100</f>
        <v/>
      </c>
      <c r="CF209" s="56">
        <f>($AM209-$AM210)*100</f>
        <v/>
      </c>
      <c r="CG209" s="56">
        <f>($AN209-$AN210)*100</f>
        <v/>
      </c>
      <c r="CH209" s="56">
        <f>($AO209-$AO210)*100</f>
        <v/>
      </c>
      <c r="CI209" s="56">
        <f>($AP209-$AP210)*100</f>
        <v/>
      </c>
      <c r="CJ209" s="56">
        <f>($AQ209-$AQ210)*100</f>
        <v/>
      </c>
      <c r="CK209" s="56">
        <f>($AR209-$AR210)*100</f>
        <v/>
      </c>
      <c r="CL209" s="56">
        <f>($AS209-$AS210)*100</f>
        <v/>
      </c>
      <c r="CM209" s="56">
        <f>($AT209-$AT210)*100</f>
        <v/>
      </c>
      <c r="CN209" s="56">
        <f>($AU209-$AU210)*100</f>
        <v/>
      </c>
      <c r="CO209" s="56">
        <f>($AV209-$AV210)*100</f>
        <v/>
      </c>
      <c r="CP209" s="56">
        <f>($AW209-$AW210)*100</f>
        <v/>
      </c>
      <c r="CQ209" s="56">
        <f>($AX209-$AX210)*100</f>
        <v/>
      </c>
      <c r="CR209" s="56">
        <f>($AY209-$AY210)*100</f>
        <v/>
      </c>
      <c r="CS209" s="57">
        <f>IFERROR($L210/$L209-1,"")</f>
        <v/>
      </c>
      <c r="CT209" s="57">
        <f>IFERROR($M210/$M209-1,"")</f>
        <v/>
      </c>
      <c r="CU209" s="57">
        <f>IFERROR($N210/$N209-1,"")</f>
        <v/>
      </c>
      <c r="CV209" s="57">
        <f>IFERROR($O210/$O209-1,"")</f>
        <v/>
      </c>
      <c r="CW209" s="57">
        <f>IFERROR($P210/$P209-1,"")</f>
        <v/>
      </c>
      <c r="CX209" s="57">
        <f>IFERROR($Q210/$Q209-1,"")</f>
        <v/>
      </c>
      <c r="CY209" s="57">
        <f>IFERROR($R210/$R209-1,"")</f>
        <v/>
      </c>
      <c r="CZ209" s="57">
        <f>IFERROR($S210/$S209-1,"")</f>
        <v/>
      </c>
      <c r="DA209" s="57">
        <f>IFERROR($T210/$T209-1,"")</f>
        <v/>
      </c>
      <c r="DB209" s="57">
        <f>IFERROR($U210/$U209-1,"")</f>
        <v/>
      </c>
      <c r="DC209" s="57">
        <f>IFERROR($V210/$V209-1,"")</f>
        <v/>
      </c>
      <c r="DD209" s="57">
        <f>IFERROR($W210/$W209-1,"")</f>
        <v/>
      </c>
      <c r="DE209" s="57">
        <f>IFERROR($X210/$X209-1,"")</f>
        <v/>
      </c>
      <c r="DF209" s="57">
        <f>IFERROR($Y210/$Y209-1,"")</f>
        <v/>
      </c>
      <c r="DG209" s="57">
        <f>IFERROR($Z210/$Z209-1,"")</f>
        <v/>
      </c>
      <c r="DH209" s="57">
        <f>IFERROR($AA210/$AA209-1,"")</f>
        <v/>
      </c>
      <c r="DI209" s="57">
        <f>IFERROR($AB210/$AB209-1,"")</f>
        <v/>
      </c>
      <c r="DJ209" s="57">
        <f>IFERROR($AC210/$AC209-1,"")</f>
        <v/>
      </c>
      <c r="DK209" s="57">
        <f>IFERROR($AD210/$AD209-1,"")</f>
        <v/>
      </c>
      <c r="DL209" s="57">
        <f>IFERROR($AE210/$AE209-1,"")</f>
        <v/>
      </c>
      <c r="DM209" s="56">
        <f>$AZ209-$AZ210</f>
        <v/>
      </c>
      <c r="DN209" s="56">
        <f>$BA209-$BA210</f>
        <v/>
      </c>
      <c r="DO209" s="56">
        <f>$BB209-$BB210</f>
        <v/>
      </c>
      <c r="DP209" s="56">
        <f>$BC209-$BC210</f>
        <v/>
      </c>
      <c r="DQ209" s="56">
        <f>$BD209-$BD210</f>
        <v/>
      </c>
      <c r="DR209" s="56">
        <f>$BE209-$BE210</f>
        <v/>
      </c>
      <c r="DS209" s="56">
        <f>$BF209-$BF210</f>
        <v/>
      </c>
      <c r="DT209" s="56">
        <f>$BG209-$BG210</f>
        <v/>
      </c>
      <c r="DU209" s="56">
        <f>$BH209-$BH210</f>
        <v/>
      </c>
      <c r="DV209" s="56">
        <f>$BI209-$BI210</f>
        <v/>
      </c>
      <c r="DW209" s="56">
        <f>$BJ209-$BJ210</f>
        <v/>
      </c>
      <c r="DX209" s="56">
        <f>$BK209-$BK210</f>
        <v/>
      </c>
      <c r="DY209" s="56">
        <f>$BL209-$BL210</f>
        <v/>
      </c>
      <c r="DZ209" s="56">
        <f>$BM209-$BM210</f>
        <v/>
      </c>
      <c r="EA209" s="56">
        <f>$BN209-$BN210</f>
        <v/>
      </c>
      <c r="EB209" s="56">
        <f>$BO209-$BO210</f>
        <v/>
      </c>
      <c r="EC209" s="56">
        <f>$BP209-$BP210</f>
        <v/>
      </c>
      <c r="ED209" s="56">
        <f>$BQ209-$BQ210</f>
        <v/>
      </c>
      <c r="EE209" s="56">
        <f>$BR209-$BR210</f>
        <v/>
      </c>
      <c r="EF209" s="56">
        <f>$BS209-$BS210</f>
        <v/>
      </c>
      <c r="EG209" s="56">
        <f>$BT209-$BT210</f>
        <v/>
      </c>
      <c r="EH209" s="56">
        <f>$BU209-$BU210</f>
        <v/>
      </c>
    </row>
    <row r="210">
      <c r="BV210" s="56">
        <f>($D210-$D211)*100</f>
        <v/>
      </c>
      <c r="BW210" s="56">
        <f>($C210-$C211)*100</f>
        <v/>
      </c>
      <c r="BX210" s="57">
        <f>IFERROR($I210/$I211-1,"")</f>
        <v/>
      </c>
      <c r="BY210" s="56">
        <f>($AF210-$AF211)*100</f>
        <v/>
      </c>
      <c r="BZ210" s="56">
        <f>($AG210-$AG211)*100</f>
        <v/>
      </c>
      <c r="CA210" s="56">
        <f>($AH210-$AH211)*100</f>
        <v/>
      </c>
      <c r="CB210" s="56">
        <f>($AI210-$AI211)*100</f>
        <v/>
      </c>
      <c r="CC210" s="56">
        <f>($AJ210-$AJ211)*100</f>
        <v/>
      </c>
      <c r="CD210" s="56">
        <f>($AK210-$AK211)*100</f>
        <v/>
      </c>
      <c r="CE210" s="56">
        <f>($AL210-$AL211)*100</f>
        <v/>
      </c>
      <c r="CF210" s="56">
        <f>($AM210-$AM211)*100</f>
        <v/>
      </c>
      <c r="CG210" s="56">
        <f>($AN210-$AN211)*100</f>
        <v/>
      </c>
      <c r="CH210" s="56">
        <f>($AO210-$AO211)*100</f>
        <v/>
      </c>
      <c r="CI210" s="56">
        <f>($AP210-$AP211)*100</f>
        <v/>
      </c>
      <c r="CJ210" s="56">
        <f>($AQ210-$AQ211)*100</f>
        <v/>
      </c>
      <c r="CK210" s="56">
        <f>($AR210-$AR211)*100</f>
        <v/>
      </c>
      <c r="CL210" s="56">
        <f>($AS210-$AS211)*100</f>
        <v/>
      </c>
      <c r="CM210" s="56">
        <f>($AT210-$AT211)*100</f>
        <v/>
      </c>
      <c r="CN210" s="56">
        <f>($AU210-$AU211)*100</f>
        <v/>
      </c>
      <c r="CO210" s="56">
        <f>($AV210-$AV211)*100</f>
        <v/>
      </c>
      <c r="CP210" s="56">
        <f>($AW210-$AW211)*100</f>
        <v/>
      </c>
      <c r="CQ210" s="56">
        <f>($AX210-$AX211)*100</f>
        <v/>
      </c>
      <c r="CR210" s="56">
        <f>($AY210-$AY211)*100</f>
        <v/>
      </c>
      <c r="CS210" s="57">
        <f>IFERROR($L211/$L210-1,"")</f>
        <v/>
      </c>
      <c r="CT210" s="57">
        <f>IFERROR($M211/$M210-1,"")</f>
        <v/>
      </c>
      <c r="CU210" s="57">
        <f>IFERROR($N211/$N210-1,"")</f>
        <v/>
      </c>
      <c r="CV210" s="57">
        <f>IFERROR($O211/$O210-1,"")</f>
        <v/>
      </c>
      <c r="CW210" s="57">
        <f>IFERROR($P211/$P210-1,"")</f>
        <v/>
      </c>
      <c r="CX210" s="57">
        <f>IFERROR($Q211/$Q210-1,"")</f>
        <v/>
      </c>
      <c r="CY210" s="57">
        <f>IFERROR($R211/$R210-1,"")</f>
        <v/>
      </c>
      <c r="CZ210" s="57">
        <f>IFERROR($S211/$S210-1,"")</f>
        <v/>
      </c>
      <c r="DA210" s="57">
        <f>IFERROR($T211/$T210-1,"")</f>
        <v/>
      </c>
      <c r="DB210" s="57">
        <f>IFERROR($U211/$U210-1,"")</f>
        <v/>
      </c>
      <c r="DC210" s="57">
        <f>IFERROR($V211/$V210-1,"")</f>
        <v/>
      </c>
      <c r="DD210" s="57">
        <f>IFERROR($W211/$W210-1,"")</f>
        <v/>
      </c>
      <c r="DE210" s="57">
        <f>IFERROR($X211/$X210-1,"")</f>
        <v/>
      </c>
      <c r="DF210" s="57">
        <f>IFERROR($Y211/$Y210-1,"")</f>
        <v/>
      </c>
      <c r="DG210" s="57">
        <f>IFERROR($Z211/$Z210-1,"")</f>
        <v/>
      </c>
      <c r="DH210" s="57">
        <f>IFERROR($AA211/$AA210-1,"")</f>
        <v/>
      </c>
      <c r="DI210" s="57">
        <f>IFERROR($AB211/$AB210-1,"")</f>
        <v/>
      </c>
      <c r="DJ210" s="57">
        <f>IFERROR($AC211/$AC210-1,"")</f>
        <v/>
      </c>
      <c r="DK210" s="57">
        <f>IFERROR($AD211/$AD210-1,"")</f>
        <v/>
      </c>
      <c r="DL210" s="57">
        <f>IFERROR($AE211/$AE210-1,"")</f>
        <v/>
      </c>
      <c r="DM210" s="56">
        <f>$AZ210-$AZ211</f>
        <v/>
      </c>
      <c r="DN210" s="56">
        <f>$BA210-$BA211</f>
        <v/>
      </c>
      <c r="DO210" s="56">
        <f>$BB210-$BB211</f>
        <v/>
      </c>
      <c r="DP210" s="56">
        <f>$BC210-$BC211</f>
        <v/>
      </c>
      <c r="DQ210" s="56">
        <f>$BD210-$BD211</f>
        <v/>
      </c>
      <c r="DR210" s="56">
        <f>$BE210-$BE211</f>
        <v/>
      </c>
      <c r="DS210" s="56">
        <f>$BF210-$BF211</f>
        <v/>
      </c>
      <c r="DT210" s="56">
        <f>$BG210-$BG211</f>
        <v/>
      </c>
      <c r="DU210" s="56">
        <f>$BH210-$BH211</f>
        <v/>
      </c>
      <c r="DV210" s="56">
        <f>$BI210-$BI211</f>
        <v/>
      </c>
      <c r="DW210" s="56">
        <f>$BJ210-$BJ211</f>
        <v/>
      </c>
      <c r="DX210" s="56">
        <f>$BK210-$BK211</f>
        <v/>
      </c>
      <c r="DY210" s="56">
        <f>$BL210-$BL211</f>
        <v/>
      </c>
      <c r="DZ210" s="56">
        <f>$BM210-$BM211</f>
        <v/>
      </c>
      <c r="EA210" s="56">
        <f>$BN210-$BN211</f>
        <v/>
      </c>
      <c r="EB210" s="56">
        <f>$BO210-$BO211</f>
        <v/>
      </c>
      <c r="EC210" s="56">
        <f>$BP210-$BP211</f>
        <v/>
      </c>
      <c r="ED210" s="56">
        <f>$BQ210-$BQ211</f>
        <v/>
      </c>
      <c r="EE210" s="56">
        <f>$BR210-$BR211</f>
        <v/>
      </c>
      <c r="EF210" s="56">
        <f>$BS210-$BS211</f>
        <v/>
      </c>
      <c r="EG210" s="56">
        <f>$BT210-$BT211</f>
        <v/>
      </c>
      <c r="EH210" s="56">
        <f>$BU210-$BU211</f>
        <v/>
      </c>
    </row>
    <row r="211">
      <c r="BV211" s="56">
        <f>($D211-$D212)*100</f>
        <v/>
      </c>
      <c r="BW211" s="56">
        <f>($C211-$C212)*100</f>
        <v/>
      </c>
      <c r="BX211" s="57">
        <f>IFERROR($I211/$I212-1,"")</f>
        <v/>
      </c>
      <c r="BY211" s="56">
        <f>($AF211-$AF212)*100</f>
        <v/>
      </c>
      <c r="BZ211" s="56">
        <f>($AG211-$AG212)*100</f>
        <v/>
      </c>
      <c r="CA211" s="56">
        <f>($AH211-$AH212)*100</f>
        <v/>
      </c>
      <c r="CB211" s="56">
        <f>($AI211-$AI212)*100</f>
        <v/>
      </c>
      <c r="CC211" s="56">
        <f>($AJ211-$AJ212)*100</f>
        <v/>
      </c>
      <c r="CD211" s="56">
        <f>($AK211-$AK212)*100</f>
        <v/>
      </c>
      <c r="CE211" s="56">
        <f>($AL211-$AL212)*100</f>
        <v/>
      </c>
      <c r="CF211" s="56">
        <f>($AM211-$AM212)*100</f>
        <v/>
      </c>
      <c r="CG211" s="56">
        <f>($AN211-$AN212)*100</f>
        <v/>
      </c>
      <c r="CH211" s="56">
        <f>($AO211-$AO212)*100</f>
        <v/>
      </c>
      <c r="CI211" s="56">
        <f>($AP211-$AP212)*100</f>
        <v/>
      </c>
      <c r="CJ211" s="56">
        <f>($AQ211-$AQ212)*100</f>
        <v/>
      </c>
      <c r="CK211" s="56">
        <f>($AR211-$AR212)*100</f>
        <v/>
      </c>
      <c r="CL211" s="56">
        <f>($AS211-$AS212)*100</f>
        <v/>
      </c>
      <c r="CM211" s="56">
        <f>($AT211-$AT212)*100</f>
        <v/>
      </c>
      <c r="CN211" s="56">
        <f>($AU211-$AU212)*100</f>
        <v/>
      </c>
      <c r="CO211" s="56">
        <f>($AV211-$AV212)*100</f>
        <v/>
      </c>
      <c r="CP211" s="56">
        <f>($AW211-$AW212)*100</f>
        <v/>
      </c>
      <c r="CQ211" s="56">
        <f>($AX211-$AX212)*100</f>
        <v/>
      </c>
      <c r="CR211" s="56">
        <f>($AY211-$AY212)*100</f>
        <v/>
      </c>
      <c r="CS211" s="57">
        <f>IFERROR($L212/$L211-1,"")</f>
        <v/>
      </c>
      <c r="CT211" s="57">
        <f>IFERROR($M212/$M211-1,"")</f>
        <v/>
      </c>
      <c r="CU211" s="57">
        <f>IFERROR($N212/$N211-1,"")</f>
        <v/>
      </c>
      <c r="CV211" s="57">
        <f>IFERROR($O212/$O211-1,"")</f>
        <v/>
      </c>
      <c r="CW211" s="57">
        <f>IFERROR($P212/$P211-1,"")</f>
        <v/>
      </c>
      <c r="CX211" s="57">
        <f>IFERROR($Q212/$Q211-1,"")</f>
        <v/>
      </c>
      <c r="CY211" s="57">
        <f>IFERROR($R212/$R211-1,"")</f>
        <v/>
      </c>
      <c r="CZ211" s="57">
        <f>IFERROR($S212/$S211-1,"")</f>
        <v/>
      </c>
      <c r="DA211" s="57">
        <f>IFERROR($T212/$T211-1,"")</f>
        <v/>
      </c>
      <c r="DB211" s="57">
        <f>IFERROR($U212/$U211-1,"")</f>
        <v/>
      </c>
      <c r="DC211" s="57">
        <f>IFERROR($V212/$V211-1,"")</f>
        <v/>
      </c>
      <c r="DD211" s="57">
        <f>IFERROR($W212/$W211-1,"")</f>
        <v/>
      </c>
      <c r="DE211" s="57">
        <f>IFERROR($X212/$X211-1,"")</f>
        <v/>
      </c>
      <c r="DF211" s="57">
        <f>IFERROR($Y212/$Y211-1,"")</f>
        <v/>
      </c>
      <c r="DG211" s="57">
        <f>IFERROR($Z212/$Z211-1,"")</f>
        <v/>
      </c>
      <c r="DH211" s="57">
        <f>IFERROR($AA212/$AA211-1,"")</f>
        <v/>
      </c>
      <c r="DI211" s="57">
        <f>IFERROR($AB212/$AB211-1,"")</f>
        <v/>
      </c>
      <c r="DJ211" s="57">
        <f>IFERROR($AC212/$AC211-1,"")</f>
        <v/>
      </c>
      <c r="DK211" s="57">
        <f>IFERROR($AD212/$AD211-1,"")</f>
        <v/>
      </c>
      <c r="DL211" s="57">
        <f>IFERROR($AE212/$AE211-1,"")</f>
        <v/>
      </c>
      <c r="DM211" s="56">
        <f>$AZ211-$AZ212</f>
        <v/>
      </c>
      <c r="DN211" s="56">
        <f>$BA211-$BA212</f>
        <v/>
      </c>
      <c r="DO211" s="56">
        <f>$BB211-$BB212</f>
        <v/>
      </c>
      <c r="DP211" s="56">
        <f>$BC211-$BC212</f>
        <v/>
      </c>
      <c r="DQ211" s="56">
        <f>$BD211-$BD212</f>
        <v/>
      </c>
      <c r="DR211" s="56">
        <f>$BE211-$BE212</f>
        <v/>
      </c>
      <c r="DS211" s="56">
        <f>$BF211-$BF212</f>
        <v/>
      </c>
      <c r="DT211" s="56">
        <f>$BG211-$BG212</f>
        <v/>
      </c>
      <c r="DU211" s="56">
        <f>$BH211-$BH212</f>
        <v/>
      </c>
      <c r="DV211" s="56">
        <f>$BI211-$BI212</f>
        <v/>
      </c>
      <c r="DW211" s="56">
        <f>$BJ211-$BJ212</f>
        <v/>
      </c>
      <c r="DX211" s="56">
        <f>$BK211-$BK212</f>
        <v/>
      </c>
      <c r="DY211" s="56">
        <f>$BL211-$BL212</f>
        <v/>
      </c>
      <c r="DZ211" s="56">
        <f>$BM211-$BM212</f>
        <v/>
      </c>
      <c r="EA211" s="56">
        <f>$BN211-$BN212</f>
        <v/>
      </c>
      <c r="EB211" s="56">
        <f>$BO211-$BO212</f>
        <v/>
      </c>
      <c r="EC211" s="56">
        <f>$BP211-$BP212</f>
        <v/>
      </c>
      <c r="ED211" s="56">
        <f>$BQ211-$BQ212</f>
        <v/>
      </c>
      <c r="EE211" s="56">
        <f>$BR211-$BR212</f>
        <v/>
      </c>
      <c r="EF211" s="56">
        <f>$BS211-$BS212</f>
        <v/>
      </c>
      <c r="EG211" s="56">
        <f>$BT211-$BT212</f>
        <v/>
      </c>
      <c r="EH211" s="56">
        <f>$BU211-$BU212</f>
        <v/>
      </c>
    </row>
    <row r="212">
      <c r="BV212" s="56">
        <f>($D212-$D213)*100</f>
        <v/>
      </c>
      <c r="BW212" s="56">
        <f>($C212-$C213)*100</f>
        <v/>
      </c>
      <c r="BX212" s="57">
        <f>IFERROR($I212/$I213-1,"")</f>
        <v/>
      </c>
      <c r="BY212" s="56">
        <f>($AF212-$AF213)*100</f>
        <v/>
      </c>
      <c r="BZ212" s="56">
        <f>($AG212-$AG213)*100</f>
        <v/>
      </c>
      <c r="CA212" s="56">
        <f>($AH212-$AH213)*100</f>
        <v/>
      </c>
      <c r="CB212" s="56">
        <f>($AI212-$AI213)*100</f>
        <v/>
      </c>
      <c r="CC212" s="56">
        <f>($AJ212-$AJ213)*100</f>
        <v/>
      </c>
      <c r="CD212" s="56">
        <f>($AK212-$AK213)*100</f>
        <v/>
      </c>
      <c r="CE212" s="56">
        <f>($AL212-$AL213)*100</f>
        <v/>
      </c>
      <c r="CF212" s="56">
        <f>($AM212-$AM213)*100</f>
        <v/>
      </c>
      <c r="CG212" s="56">
        <f>($AN212-$AN213)*100</f>
        <v/>
      </c>
      <c r="CH212" s="56">
        <f>($AO212-$AO213)*100</f>
        <v/>
      </c>
      <c r="CI212" s="56">
        <f>($AP212-$AP213)*100</f>
        <v/>
      </c>
      <c r="CJ212" s="56">
        <f>($AQ212-$AQ213)*100</f>
        <v/>
      </c>
      <c r="CK212" s="56">
        <f>($AR212-$AR213)*100</f>
        <v/>
      </c>
      <c r="CL212" s="56">
        <f>($AS212-$AS213)*100</f>
        <v/>
      </c>
      <c r="CM212" s="56">
        <f>($AT212-$AT213)*100</f>
        <v/>
      </c>
      <c r="CN212" s="56">
        <f>($AU212-$AU213)*100</f>
        <v/>
      </c>
      <c r="CO212" s="56">
        <f>($AV212-$AV213)*100</f>
        <v/>
      </c>
      <c r="CP212" s="56">
        <f>($AW212-$AW213)*100</f>
        <v/>
      </c>
      <c r="CQ212" s="56">
        <f>($AX212-$AX213)*100</f>
        <v/>
      </c>
      <c r="CR212" s="56">
        <f>($AY212-$AY213)*100</f>
        <v/>
      </c>
      <c r="CS212" s="57">
        <f>IFERROR($L213/$L212-1,"")</f>
        <v/>
      </c>
      <c r="CT212" s="57">
        <f>IFERROR($M213/$M212-1,"")</f>
        <v/>
      </c>
      <c r="CU212" s="57">
        <f>IFERROR($N213/$N212-1,"")</f>
        <v/>
      </c>
      <c r="CV212" s="57">
        <f>IFERROR($O213/$O212-1,"")</f>
        <v/>
      </c>
      <c r="CW212" s="57">
        <f>IFERROR($P213/$P212-1,"")</f>
        <v/>
      </c>
      <c r="CX212" s="57">
        <f>IFERROR($Q213/$Q212-1,"")</f>
        <v/>
      </c>
      <c r="CY212" s="57">
        <f>IFERROR($R213/$R212-1,"")</f>
        <v/>
      </c>
      <c r="CZ212" s="57">
        <f>IFERROR($S213/$S212-1,"")</f>
        <v/>
      </c>
      <c r="DA212" s="57">
        <f>IFERROR($T213/$T212-1,"")</f>
        <v/>
      </c>
      <c r="DB212" s="57">
        <f>IFERROR($U213/$U212-1,"")</f>
        <v/>
      </c>
      <c r="DC212" s="57">
        <f>IFERROR($V213/$V212-1,"")</f>
        <v/>
      </c>
      <c r="DD212" s="57">
        <f>IFERROR($W213/$W212-1,"")</f>
        <v/>
      </c>
      <c r="DE212" s="57">
        <f>IFERROR($X213/$X212-1,"")</f>
        <v/>
      </c>
      <c r="DF212" s="57">
        <f>IFERROR($Y213/$Y212-1,"")</f>
        <v/>
      </c>
      <c r="DG212" s="57">
        <f>IFERROR($Z213/$Z212-1,"")</f>
        <v/>
      </c>
      <c r="DH212" s="57">
        <f>IFERROR($AA213/$AA212-1,"")</f>
        <v/>
      </c>
      <c r="DI212" s="57">
        <f>IFERROR($AB213/$AB212-1,"")</f>
        <v/>
      </c>
      <c r="DJ212" s="57">
        <f>IFERROR($AC213/$AC212-1,"")</f>
        <v/>
      </c>
      <c r="DK212" s="57">
        <f>IFERROR($AD213/$AD212-1,"")</f>
        <v/>
      </c>
      <c r="DL212" s="57">
        <f>IFERROR($AE213/$AE212-1,"")</f>
        <v/>
      </c>
      <c r="DM212" s="56">
        <f>$AZ212-$AZ213</f>
        <v/>
      </c>
      <c r="DN212" s="56">
        <f>$BA212-$BA213</f>
        <v/>
      </c>
      <c r="DO212" s="56">
        <f>$BB212-$BB213</f>
        <v/>
      </c>
      <c r="DP212" s="56">
        <f>$BC212-$BC213</f>
        <v/>
      </c>
      <c r="DQ212" s="56">
        <f>$BD212-$BD213</f>
        <v/>
      </c>
      <c r="DR212" s="56">
        <f>$BE212-$BE213</f>
        <v/>
      </c>
      <c r="DS212" s="56">
        <f>$BF212-$BF213</f>
        <v/>
      </c>
      <c r="DT212" s="56">
        <f>$BG212-$BG213</f>
        <v/>
      </c>
      <c r="DU212" s="56">
        <f>$BH212-$BH213</f>
        <v/>
      </c>
      <c r="DV212" s="56">
        <f>$BI212-$BI213</f>
        <v/>
      </c>
      <c r="DW212" s="56">
        <f>$BJ212-$BJ213</f>
        <v/>
      </c>
      <c r="DX212" s="56">
        <f>$BK212-$BK213</f>
        <v/>
      </c>
      <c r="DY212" s="56">
        <f>$BL212-$BL213</f>
        <v/>
      </c>
      <c r="DZ212" s="56">
        <f>$BM212-$BM213</f>
        <v/>
      </c>
      <c r="EA212" s="56">
        <f>$BN212-$BN213</f>
        <v/>
      </c>
      <c r="EB212" s="56">
        <f>$BO212-$BO213</f>
        <v/>
      </c>
      <c r="EC212" s="56">
        <f>$BP212-$BP213</f>
        <v/>
      </c>
      <c r="ED212" s="56">
        <f>$BQ212-$BQ213</f>
        <v/>
      </c>
      <c r="EE212" s="56">
        <f>$BR212-$BR213</f>
        <v/>
      </c>
      <c r="EF212" s="56">
        <f>$BS212-$BS213</f>
        <v/>
      </c>
      <c r="EG212" s="56">
        <f>$BT212-$BT213</f>
        <v/>
      </c>
      <c r="EH212" s="56">
        <f>$BU212-$BU213</f>
        <v/>
      </c>
    </row>
    <row r="213">
      <c r="BV213" s="56">
        <f>($D213-$D214)*100</f>
        <v/>
      </c>
      <c r="BW213" s="56">
        <f>($C213-$C214)*100</f>
        <v/>
      </c>
      <c r="BX213" s="57">
        <f>IFERROR($I213/$I214-1,"")</f>
        <v/>
      </c>
      <c r="BY213" s="56">
        <f>($AF213-$AF214)*100</f>
        <v/>
      </c>
      <c r="BZ213" s="56">
        <f>($AG213-$AG214)*100</f>
        <v/>
      </c>
      <c r="CA213" s="56">
        <f>($AH213-$AH214)*100</f>
        <v/>
      </c>
      <c r="CB213" s="56">
        <f>($AI213-$AI214)*100</f>
        <v/>
      </c>
      <c r="CC213" s="56">
        <f>($AJ213-$AJ214)*100</f>
        <v/>
      </c>
      <c r="CD213" s="56">
        <f>($AK213-$AK214)*100</f>
        <v/>
      </c>
      <c r="CE213" s="56">
        <f>($AL213-$AL214)*100</f>
        <v/>
      </c>
      <c r="CF213" s="56">
        <f>($AM213-$AM214)*100</f>
        <v/>
      </c>
      <c r="CG213" s="56">
        <f>($AN213-$AN214)*100</f>
        <v/>
      </c>
      <c r="CH213" s="56">
        <f>($AO213-$AO214)*100</f>
        <v/>
      </c>
      <c r="CI213" s="56">
        <f>($AP213-$AP214)*100</f>
        <v/>
      </c>
      <c r="CJ213" s="56">
        <f>($AQ213-$AQ214)*100</f>
        <v/>
      </c>
      <c r="CK213" s="56">
        <f>($AR213-$AR214)*100</f>
        <v/>
      </c>
      <c r="CL213" s="56">
        <f>($AS213-$AS214)*100</f>
        <v/>
      </c>
      <c r="CM213" s="56">
        <f>($AT213-$AT214)*100</f>
        <v/>
      </c>
      <c r="CN213" s="56">
        <f>($AU213-$AU214)*100</f>
        <v/>
      </c>
      <c r="CO213" s="56">
        <f>($AV213-$AV214)*100</f>
        <v/>
      </c>
      <c r="CP213" s="56">
        <f>($AW213-$AW214)*100</f>
        <v/>
      </c>
      <c r="CQ213" s="56">
        <f>($AX213-$AX214)*100</f>
        <v/>
      </c>
      <c r="CR213" s="56">
        <f>($AY213-$AY214)*100</f>
        <v/>
      </c>
      <c r="CS213" s="57">
        <f>IFERROR($L214/$L213-1,"")</f>
        <v/>
      </c>
      <c r="CT213" s="57">
        <f>IFERROR($M214/$M213-1,"")</f>
        <v/>
      </c>
      <c r="CU213" s="57">
        <f>IFERROR($N214/$N213-1,"")</f>
        <v/>
      </c>
      <c r="CV213" s="57">
        <f>IFERROR($O214/$O213-1,"")</f>
        <v/>
      </c>
      <c r="CW213" s="57">
        <f>IFERROR($P214/$P213-1,"")</f>
        <v/>
      </c>
      <c r="CX213" s="57">
        <f>IFERROR($Q214/$Q213-1,"")</f>
        <v/>
      </c>
      <c r="CY213" s="57">
        <f>IFERROR($R214/$R213-1,"")</f>
        <v/>
      </c>
      <c r="CZ213" s="57">
        <f>IFERROR($S214/$S213-1,"")</f>
        <v/>
      </c>
      <c r="DA213" s="57">
        <f>IFERROR($T214/$T213-1,"")</f>
        <v/>
      </c>
      <c r="DB213" s="57">
        <f>IFERROR($U214/$U213-1,"")</f>
        <v/>
      </c>
      <c r="DC213" s="57">
        <f>IFERROR($V214/$V213-1,"")</f>
        <v/>
      </c>
      <c r="DD213" s="57">
        <f>IFERROR($W214/$W213-1,"")</f>
        <v/>
      </c>
      <c r="DE213" s="57">
        <f>IFERROR($X214/$X213-1,"")</f>
        <v/>
      </c>
      <c r="DF213" s="57">
        <f>IFERROR($Y214/$Y213-1,"")</f>
        <v/>
      </c>
      <c r="DG213" s="57">
        <f>IFERROR($Z214/$Z213-1,"")</f>
        <v/>
      </c>
      <c r="DH213" s="57">
        <f>IFERROR($AA214/$AA213-1,"")</f>
        <v/>
      </c>
      <c r="DI213" s="57">
        <f>IFERROR($AB214/$AB213-1,"")</f>
        <v/>
      </c>
      <c r="DJ213" s="57">
        <f>IFERROR($AC214/$AC213-1,"")</f>
        <v/>
      </c>
      <c r="DK213" s="57">
        <f>IFERROR($AD214/$AD213-1,"")</f>
        <v/>
      </c>
      <c r="DL213" s="57">
        <f>IFERROR($AE214/$AE213-1,"")</f>
        <v/>
      </c>
      <c r="DM213" s="56">
        <f>$AZ213-$AZ214</f>
        <v/>
      </c>
      <c r="DN213" s="56">
        <f>$BA213-$BA214</f>
        <v/>
      </c>
      <c r="DO213" s="56">
        <f>$BB213-$BB214</f>
        <v/>
      </c>
      <c r="DP213" s="56">
        <f>$BC213-$BC214</f>
        <v/>
      </c>
      <c r="DQ213" s="56">
        <f>$BD213-$BD214</f>
        <v/>
      </c>
      <c r="DR213" s="56">
        <f>$BE213-$BE214</f>
        <v/>
      </c>
      <c r="DS213" s="56">
        <f>$BF213-$BF214</f>
        <v/>
      </c>
      <c r="DT213" s="56">
        <f>$BG213-$BG214</f>
        <v/>
      </c>
      <c r="DU213" s="56">
        <f>$BH213-$BH214</f>
        <v/>
      </c>
      <c r="DV213" s="56">
        <f>$BI213-$BI214</f>
        <v/>
      </c>
      <c r="DW213" s="56">
        <f>$BJ213-$BJ214</f>
        <v/>
      </c>
      <c r="DX213" s="56">
        <f>$BK213-$BK214</f>
        <v/>
      </c>
      <c r="DY213" s="56">
        <f>$BL213-$BL214</f>
        <v/>
      </c>
      <c r="DZ213" s="56">
        <f>$BM213-$BM214</f>
        <v/>
      </c>
      <c r="EA213" s="56">
        <f>$BN213-$BN214</f>
        <v/>
      </c>
      <c r="EB213" s="56">
        <f>$BO213-$BO214</f>
        <v/>
      </c>
      <c r="EC213" s="56">
        <f>$BP213-$BP214</f>
        <v/>
      </c>
      <c r="ED213" s="56">
        <f>$BQ213-$BQ214</f>
        <v/>
      </c>
      <c r="EE213" s="56">
        <f>$BR213-$BR214</f>
        <v/>
      </c>
      <c r="EF213" s="56">
        <f>$BS213-$BS214</f>
        <v/>
      </c>
      <c r="EG213" s="56">
        <f>$BT213-$BT214</f>
        <v/>
      </c>
      <c r="EH213" s="56">
        <f>$BU213-$BU214</f>
        <v/>
      </c>
    </row>
    <row r="214">
      <c r="BV214" s="56">
        <f>($D214-$D215)*100</f>
        <v/>
      </c>
      <c r="BW214" s="56">
        <f>($C214-$C215)*100</f>
        <v/>
      </c>
      <c r="BX214" s="57">
        <f>IFERROR($I214/$I215-1,"")</f>
        <v/>
      </c>
      <c r="BY214" s="56">
        <f>($AF214-$AF215)*100</f>
        <v/>
      </c>
      <c r="BZ214" s="56">
        <f>($AG214-$AG215)*100</f>
        <v/>
      </c>
      <c r="CA214" s="56">
        <f>($AH214-$AH215)*100</f>
        <v/>
      </c>
      <c r="CB214" s="56">
        <f>($AI214-$AI215)*100</f>
        <v/>
      </c>
      <c r="CC214" s="56">
        <f>($AJ214-$AJ215)*100</f>
        <v/>
      </c>
      <c r="CD214" s="56">
        <f>($AK214-$AK215)*100</f>
        <v/>
      </c>
      <c r="CE214" s="56">
        <f>($AL214-$AL215)*100</f>
        <v/>
      </c>
      <c r="CF214" s="56">
        <f>($AM214-$AM215)*100</f>
        <v/>
      </c>
      <c r="CG214" s="56">
        <f>($AN214-$AN215)*100</f>
        <v/>
      </c>
      <c r="CH214" s="56">
        <f>($AO214-$AO215)*100</f>
        <v/>
      </c>
      <c r="CI214" s="56">
        <f>($AP214-$AP215)*100</f>
        <v/>
      </c>
      <c r="CJ214" s="56">
        <f>($AQ214-$AQ215)*100</f>
        <v/>
      </c>
      <c r="CK214" s="56">
        <f>($AR214-$AR215)*100</f>
        <v/>
      </c>
      <c r="CL214" s="56">
        <f>($AS214-$AS215)*100</f>
        <v/>
      </c>
      <c r="CM214" s="56">
        <f>($AT214-$AT215)*100</f>
        <v/>
      </c>
      <c r="CN214" s="56">
        <f>($AU214-$AU215)*100</f>
        <v/>
      </c>
      <c r="CO214" s="56">
        <f>($AV214-$AV215)*100</f>
        <v/>
      </c>
      <c r="CP214" s="56">
        <f>($AW214-$AW215)*100</f>
        <v/>
      </c>
      <c r="CQ214" s="56">
        <f>($AX214-$AX215)*100</f>
        <v/>
      </c>
      <c r="CR214" s="56">
        <f>($AY214-$AY215)*100</f>
        <v/>
      </c>
      <c r="CS214" s="57">
        <f>IFERROR($L215/$L214-1,"")</f>
        <v/>
      </c>
      <c r="CT214" s="57">
        <f>IFERROR($M215/$M214-1,"")</f>
        <v/>
      </c>
      <c r="CU214" s="57">
        <f>IFERROR($N215/$N214-1,"")</f>
        <v/>
      </c>
      <c r="CV214" s="57">
        <f>IFERROR($O215/$O214-1,"")</f>
        <v/>
      </c>
      <c r="CW214" s="57">
        <f>IFERROR($P215/$P214-1,"")</f>
        <v/>
      </c>
      <c r="CX214" s="57">
        <f>IFERROR($Q215/$Q214-1,"")</f>
        <v/>
      </c>
      <c r="CY214" s="57">
        <f>IFERROR($R215/$R214-1,"")</f>
        <v/>
      </c>
      <c r="CZ214" s="57">
        <f>IFERROR($S215/$S214-1,"")</f>
        <v/>
      </c>
      <c r="DA214" s="57">
        <f>IFERROR($T215/$T214-1,"")</f>
        <v/>
      </c>
      <c r="DB214" s="57">
        <f>IFERROR($U215/$U214-1,"")</f>
        <v/>
      </c>
      <c r="DC214" s="57">
        <f>IFERROR($V215/$V214-1,"")</f>
        <v/>
      </c>
      <c r="DD214" s="57">
        <f>IFERROR($W215/$W214-1,"")</f>
        <v/>
      </c>
      <c r="DE214" s="57">
        <f>IFERROR($X215/$X214-1,"")</f>
        <v/>
      </c>
      <c r="DF214" s="57">
        <f>IFERROR($Y215/$Y214-1,"")</f>
        <v/>
      </c>
      <c r="DG214" s="57">
        <f>IFERROR($Z215/$Z214-1,"")</f>
        <v/>
      </c>
      <c r="DH214" s="57">
        <f>IFERROR($AA215/$AA214-1,"")</f>
        <v/>
      </c>
      <c r="DI214" s="57">
        <f>IFERROR($AB215/$AB214-1,"")</f>
        <v/>
      </c>
      <c r="DJ214" s="57">
        <f>IFERROR($AC215/$AC214-1,"")</f>
        <v/>
      </c>
      <c r="DK214" s="57">
        <f>IFERROR($AD215/$AD214-1,"")</f>
        <v/>
      </c>
      <c r="DL214" s="57">
        <f>IFERROR($AE215/$AE214-1,"")</f>
        <v/>
      </c>
      <c r="DM214" s="56">
        <f>$AZ214-$AZ215</f>
        <v/>
      </c>
      <c r="DN214" s="56">
        <f>$BA214-$BA215</f>
        <v/>
      </c>
      <c r="DO214" s="56">
        <f>$BB214-$BB215</f>
        <v/>
      </c>
      <c r="DP214" s="56">
        <f>$BC214-$BC215</f>
        <v/>
      </c>
      <c r="DQ214" s="56">
        <f>$BD214-$BD215</f>
        <v/>
      </c>
      <c r="DR214" s="56">
        <f>$BE214-$BE215</f>
        <v/>
      </c>
      <c r="DS214" s="56">
        <f>$BF214-$BF215</f>
        <v/>
      </c>
      <c r="DT214" s="56">
        <f>$BG214-$BG215</f>
        <v/>
      </c>
      <c r="DU214" s="56">
        <f>$BH214-$BH215</f>
        <v/>
      </c>
      <c r="DV214" s="56">
        <f>$BI214-$BI215</f>
        <v/>
      </c>
      <c r="DW214" s="56">
        <f>$BJ214-$BJ215</f>
        <v/>
      </c>
      <c r="DX214" s="56">
        <f>$BK214-$BK215</f>
        <v/>
      </c>
      <c r="DY214" s="56">
        <f>$BL214-$BL215</f>
        <v/>
      </c>
      <c r="DZ214" s="56">
        <f>$BM214-$BM215</f>
        <v/>
      </c>
      <c r="EA214" s="56">
        <f>$BN214-$BN215</f>
        <v/>
      </c>
      <c r="EB214" s="56">
        <f>$BO214-$BO215</f>
        <v/>
      </c>
      <c r="EC214" s="56">
        <f>$BP214-$BP215</f>
        <v/>
      </c>
      <c r="ED214" s="56">
        <f>$BQ214-$BQ215</f>
        <v/>
      </c>
      <c r="EE214" s="56">
        <f>$BR214-$BR215</f>
        <v/>
      </c>
      <c r="EF214" s="56">
        <f>$BS214-$BS215</f>
        <v/>
      </c>
      <c r="EG214" s="56">
        <f>$BT214-$BT215</f>
        <v/>
      </c>
      <c r="EH214" s="56">
        <f>$BU214-$BU215</f>
        <v/>
      </c>
    </row>
    <row r="215">
      <c r="BV215" s="56">
        <f>($D215-$D216)*100</f>
        <v/>
      </c>
      <c r="BW215" s="56">
        <f>($C215-$C216)*100</f>
        <v/>
      </c>
      <c r="BX215" s="57">
        <f>IFERROR($I215/$I216-1,"")</f>
        <v/>
      </c>
      <c r="BY215" s="56">
        <f>($AF215-$AF216)*100</f>
        <v/>
      </c>
      <c r="BZ215" s="56">
        <f>($AG215-$AG216)*100</f>
        <v/>
      </c>
      <c r="CA215" s="56">
        <f>($AH215-$AH216)*100</f>
        <v/>
      </c>
      <c r="CB215" s="56">
        <f>($AI215-$AI216)*100</f>
        <v/>
      </c>
      <c r="CC215" s="56">
        <f>($AJ215-$AJ216)*100</f>
        <v/>
      </c>
      <c r="CD215" s="56">
        <f>($AK215-$AK216)*100</f>
        <v/>
      </c>
      <c r="CE215" s="56">
        <f>($AL215-$AL216)*100</f>
        <v/>
      </c>
      <c r="CF215" s="56">
        <f>($AM215-$AM216)*100</f>
        <v/>
      </c>
      <c r="CG215" s="56">
        <f>($AN215-$AN216)*100</f>
        <v/>
      </c>
      <c r="CH215" s="56">
        <f>($AO215-$AO216)*100</f>
        <v/>
      </c>
      <c r="CI215" s="56">
        <f>($AP215-$AP216)*100</f>
        <v/>
      </c>
      <c r="CJ215" s="56">
        <f>($AQ215-$AQ216)*100</f>
        <v/>
      </c>
      <c r="CK215" s="56">
        <f>($AR215-$AR216)*100</f>
        <v/>
      </c>
      <c r="CL215" s="56">
        <f>($AS215-$AS216)*100</f>
        <v/>
      </c>
      <c r="CM215" s="56">
        <f>($AT215-$AT216)*100</f>
        <v/>
      </c>
      <c r="CN215" s="56">
        <f>($AU215-$AU216)*100</f>
        <v/>
      </c>
      <c r="CO215" s="56">
        <f>($AV215-$AV216)*100</f>
        <v/>
      </c>
      <c r="CP215" s="56">
        <f>($AW215-$AW216)*100</f>
        <v/>
      </c>
      <c r="CQ215" s="56">
        <f>($AX215-$AX216)*100</f>
        <v/>
      </c>
      <c r="CR215" s="56">
        <f>($AY215-$AY216)*100</f>
        <v/>
      </c>
      <c r="CS215" s="57">
        <f>IFERROR($L216/$L215-1,"")</f>
        <v/>
      </c>
      <c r="CT215" s="57">
        <f>IFERROR($M216/$M215-1,"")</f>
        <v/>
      </c>
      <c r="CU215" s="57">
        <f>IFERROR($N216/$N215-1,"")</f>
        <v/>
      </c>
      <c r="CV215" s="57">
        <f>IFERROR($O216/$O215-1,"")</f>
        <v/>
      </c>
      <c r="CW215" s="57">
        <f>IFERROR($P216/$P215-1,"")</f>
        <v/>
      </c>
      <c r="CX215" s="57">
        <f>IFERROR($Q216/$Q215-1,"")</f>
        <v/>
      </c>
      <c r="CY215" s="57">
        <f>IFERROR($R216/$R215-1,"")</f>
        <v/>
      </c>
      <c r="CZ215" s="57">
        <f>IFERROR($S216/$S215-1,"")</f>
        <v/>
      </c>
      <c r="DA215" s="57">
        <f>IFERROR($T216/$T215-1,"")</f>
        <v/>
      </c>
      <c r="DB215" s="57">
        <f>IFERROR($U216/$U215-1,"")</f>
        <v/>
      </c>
      <c r="DC215" s="57">
        <f>IFERROR($V216/$V215-1,"")</f>
        <v/>
      </c>
      <c r="DD215" s="57">
        <f>IFERROR($W216/$W215-1,"")</f>
        <v/>
      </c>
      <c r="DE215" s="57">
        <f>IFERROR($X216/$X215-1,"")</f>
        <v/>
      </c>
      <c r="DF215" s="57">
        <f>IFERROR($Y216/$Y215-1,"")</f>
        <v/>
      </c>
      <c r="DG215" s="57">
        <f>IFERROR($Z216/$Z215-1,"")</f>
        <v/>
      </c>
      <c r="DH215" s="57">
        <f>IFERROR($AA216/$AA215-1,"")</f>
        <v/>
      </c>
      <c r="DI215" s="57">
        <f>IFERROR($AB216/$AB215-1,"")</f>
        <v/>
      </c>
      <c r="DJ215" s="57">
        <f>IFERROR($AC216/$AC215-1,"")</f>
        <v/>
      </c>
      <c r="DK215" s="57">
        <f>IFERROR($AD216/$AD215-1,"")</f>
        <v/>
      </c>
      <c r="DL215" s="57">
        <f>IFERROR($AE216/$AE215-1,"")</f>
        <v/>
      </c>
      <c r="DM215" s="56">
        <f>$AZ215-$AZ216</f>
        <v/>
      </c>
      <c r="DN215" s="56">
        <f>$BA215-$BA216</f>
        <v/>
      </c>
      <c r="DO215" s="56">
        <f>$BB215-$BB216</f>
        <v/>
      </c>
      <c r="DP215" s="56">
        <f>$BC215-$BC216</f>
        <v/>
      </c>
      <c r="DQ215" s="56">
        <f>$BD215-$BD216</f>
        <v/>
      </c>
      <c r="DR215" s="56">
        <f>$BE215-$BE216</f>
        <v/>
      </c>
      <c r="DS215" s="56">
        <f>$BF215-$BF216</f>
        <v/>
      </c>
      <c r="DT215" s="56">
        <f>$BG215-$BG216</f>
        <v/>
      </c>
      <c r="DU215" s="56">
        <f>$BH215-$BH216</f>
        <v/>
      </c>
      <c r="DV215" s="56">
        <f>$BI215-$BI216</f>
        <v/>
      </c>
      <c r="DW215" s="56">
        <f>$BJ215-$BJ216</f>
        <v/>
      </c>
      <c r="DX215" s="56">
        <f>$BK215-$BK216</f>
        <v/>
      </c>
      <c r="DY215" s="56">
        <f>$BL215-$BL216</f>
        <v/>
      </c>
      <c r="DZ215" s="56">
        <f>$BM215-$BM216</f>
        <v/>
      </c>
      <c r="EA215" s="56">
        <f>$BN215-$BN216</f>
        <v/>
      </c>
      <c r="EB215" s="56">
        <f>$BO215-$BO216</f>
        <v/>
      </c>
      <c r="EC215" s="56">
        <f>$BP215-$BP216</f>
        <v/>
      </c>
      <c r="ED215" s="56">
        <f>$BQ215-$BQ216</f>
        <v/>
      </c>
      <c r="EE215" s="56">
        <f>$BR215-$BR216</f>
        <v/>
      </c>
      <c r="EF215" s="56">
        <f>$BS215-$BS216</f>
        <v/>
      </c>
      <c r="EG215" s="56">
        <f>$BT215-$BT216</f>
        <v/>
      </c>
      <c r="EH215" s="56">
        <f>$BU215-$BU216</f>
        <v/>
      </c>
    </row>
    <row r="216">
      <c r="BV216" s="56">
        <f>($D216-$D217)*100</f>
        <v/>
      </c>
      <c r="BW216" s="56">
        <f>($C216-$C217)*100</f>
        <v/>
      </c>
      <c r="BX216" s="57">
        <f>IFERROR($I216/$I217-1,"")</f>
        <v/>
      </c>
      <c r="BY216" s="56">
        <f>($AF216-$AF217)*100</f>
        <v/>
      </c>
      <c r="BZ216" s="56">
        <f>($AG216-$AG217)*100</f>
        <v/>
      </c>
      <c r="CA216" s="56">
        <f>($AH216-$AH217)*100</f>
        <v/>
      </c>
      <c r="CB216" s="56">
        <f>($AI216-$AI217)*100</f>
        <v/>
      </c>
      <c r="CC216" s="56">
        <f>($AJ216-$AJ217)*100</f>
        <v/>
      </c>
      <c r="CD216" s="56">
        <f>($AK216-$AK217)*100</f>
        <v/>
      </c>
      <c r="CE216" s="56">
        <f>($AL216-$AL217)*100</f>
        <v/>
      </c>
      <c r="CF216" s="56">
        <f>($AM216-$AM217)*100</f>
        <v/>
      </c>
      <c r="CG216" s="56">
        <f>($AN216-$AN217)*100</f>
        <v/>
      </c>
      <c r="CH216" s="56">
        <f>($AO216-$AO217)*100</f>
        <v/>
      </c>
      <c r="CI216" s="56">
        <f>($AP216-$AP217)*100</f>
        <v/>
      </c>
      <c r="CJ216" s="56">
        <f>($AQ216-$AQ217)*100</f>
        <v/>
      </c>
      <c r="CK216" s="56">
        <f>($AR216-$AR217)*100</f>
        <v/>
      </c>
      <c r="CL216" s="56">
        <f>($AS216-$AS217)*100</f>
        <v/>
      </c>
      <c r="CM216" s="56">
        <f>($AT216-$AT217)*100</f>
        <v/>
      </c>
      <c r="CN216" s="56">
        <f>($AU216-$AU217)*100</f>
        <v/>
      </c>
      <c r="CO216" s="56">
        <f>($AV216-$AV217)*100</f>
        <v/>
      </c>
      <c r="CP216" s="56">
        <f>($AW216-$AW217)*100</f>
        <v/>
      </c>
      <c r="CQ216" s="56">
        <f>($AX216-$AX217)*100</f>
        <v/>
      </c>
      <c r="CR216" s="56">
        <f>($AY216-$AY217)*100</f>
        <v/>
      </c>
      <c r="CS216" s="57">
        <f>IFERROR($L217/$L216-1,"")</f>
        <v/>
      </c>
      <c r="CT216" s="57">
        <f>IFERROR($M217/$M216-1,"")</f>
        <v/>
      </c>
      <c r="CU216" s="57">
        <f>IFERROR($N217/$N216-1,"")</f>
        <v/>
      </c>
      <c r="CV216" s="57">
        <f>IFERROR($O217/$O216-1,"")</f>
        <v/>
      </c>
      <c r="CW216" s="57">
        <f>IFERROR($P217/$P216-1,"")</f>
        <v/>
      </c>
      <c r="CX216" s="57">
        <f>IFERROR($Q217/$Q216-1,"")</f>
        <v/>
      </c>
      <c r="CY216" s="57">
        <f>IFERROR($R217/$R216-1,"")</f>
        <v/>
      </c>
      <c r="CZ216" s="57">
        <f>IFERROR($S217/$S216-1,"")</f>
        <v/>
      </c>
      <c r="DA216" s="57">
        <f>IFERROR($T217/$T216-1,"")</f>
        <v/>
      </c>
      <c r="DB216" s="57">
        <f>IFERROR($U217/$U216-1,"")</f>
        <v/>
      </c>
      <c r="DC216" s="57">
        <f>IFERROR($V217/$V216-1,"")</f>
        <v/>
      </c>
      <c r="DD216" s="57">
        <f>IFERROR($W217/$W216-1,"")</f>
        <v/>
      </c>
      <c r="DE216" s="57">
        <f>IFERROR($X217/$X216-1,"")</f>
        <v/>
      </c>
      <c r="DF216" s="57">
        <f>IFERROR($Y217/$Y216-1,"")</f>
        <v/>
      </c>
      <c r="DG216" s="57">
        <f>IFERROR($Z217/$Z216-1,"")</f>
        <v/>
      </c>
      <c r="DH216" s="57">
        <f>IFERROR($AA217/$AA216-1,"")</f>
        <v/>
      </c>
      <c r="DI216" s="57">
        <f>IFERROR($AB217/$AB216-1,"")</f>
        <v/>
      </c>
      <c r="DJ216" s="57">
        <f>IFERROR($AC217/$AC216-1,"")</f>
        <v/>
      </c>
      <c r="DK216" s="57">
        <f>IFERROR($AD217/$AD216-1,"")</f>
        <v/>
      </c>
      <c r="DL216" s="57">
        <f>IFERROR($AE217/$AE216-1,"")</f>
        <v/>
      </c>
      <c r="DM216" s="56">
        <f>$AZ216-$AZ217</f>
        <v/>
      </c>
      <c r="DN216" s="56">
        <f>$BA216-$BA217</f>
        <v/>
      </c>
      <c r="DO216" s="56">
        <f>$BB216-$BB217</f>
        <v/>
      </c>
      <c r="DP216" s="56">
        <f>$BC216-$BC217</f>
        <v/>
      </c>
      <c r="DQ216" s="56">
        <f>$BD216-$BD217</f>
        <v/>
      </c>
      <c r="DR216" s="56">
        <f>$BE216-$BE217</f>
        <v/>
      </c>
      <c r="DS216" s="56">
        <f>$BF216-$BF217</f>
        <v/>
      </c>
      <c r="DT216" s="56">
        <f>$BG216-$BG217</f>
        <v/>
      </c>
      <c r="DU216" s="56">
        <f>$BH216-$BH217</f>
        <v/>
      </c>
      <c r="DV216" s="56">
        <f>$BI216-$BI217</f>
        <v/>
      </c>
      <c r="DW216" s="56">
        <f>$BJ216-$BJ217</f>
        <v/>
      </c>
      <c r="DX216" s="56">
        <f>$BK216-$BK217</f>
        <v/>
      </c>
      <c r="DY216" s="56">
        <f>$BL216-$BL217</f>
        <v/>
      </c>
      <c r="DZ216" s="56">
        <f>$BM216-$BM217</f>
        <v/>
      </c>
      <c r="EA216" s="56">
        <f>$BN216-$BN217</f>
        <v/>
      </c>
      <c r="EB216" s="56">
        <f>$BO216-$BO217</f>
        <v/>
      </c>
      <c r="EC216" s="56">
        <f>$BP216-$BP217</f>
        <v/>
      </c>
      <c r="ED216" s="56">
        <f>$BQ216-$BQ217</f>
        <v/>
      </c>
      <c r="EE216" s="56">
        <f>$BR216-$BR217</f>
        <v/>
      </c>
      <c r="EF216" s="56">
        <f>$BS216-$BS217</f>
        <v/>
      </c>
      <c r="EG216" s="56">
        <f>$BT216-$BT217</f>
        <v/>
      </c>
      <c r="EH216" s="56">
        <f>$BU216-$BU217</f>
        <v/>
      </c>
    </row>
    <row r="217">
      <c r="BV217" s="56">
        <f>($D217-$D218)*100</f>
        <v/>
      </c>
      <c r="BW217" s="56">
        <f>($C217-$C218)*100</f>
        <v/>
      </c>
      <c r="BX217" s="57">
        <f>IFERROR($I217/$I218-1,"")</f>
        <v/>
      </c>
      <c r="BY217" s="56">
        <f>($AF217-$AF218)*100</f>
        <v/>
      </c>
      <c r="BZ217" s="56">
        <f>($AG217-$AG218)*100</f>
        <v/>
      </c>
      <c r="CA217" s="56">
        <f>($AH217-$AH218)*100</f>
        <v/>
      </c>
      <c r="CB217" s="56">
        <f>($AI217-$AI218)*100</f>
        <v/>
      </c>
      <c r="CC217" s="56">
        <f>($AJ217-$AJ218)*100</f>
        <v/>
      </c>
      <c r="CD217" s="56">
        <f>($AK217-$AK218)*100</f>
        <v/>
      </c>
      <c r="CE217" s="56">
        <f>($AL217-$AL218)*100</f>
        <v/>
      </c>
      <c r="CF217" s="56">
        <f>($AM217-$AM218)*100</f>
        <v/>
      </c>
      <c r="CG217" s="56">
        <f>($AN217-$AN218)*100</f>
        <v/>
      </c>
      <c r="CH217" s="56">
        <f>($AO217-$AO218)*100</f>
        <v/>
      </c>
      <c r="CI217" s="56">
        <f>($AP217-$AP218)*100</f>
        <v/>
      </c>
      <c r="CJ217" s="56">
        <f>($AQ217-$AQ218)*100</f>
        <v/>
      </c>
      <c r="CK217" s="56">
        <f>($AR217-$AR218)*100</f>
        <v/>
      </c>
      <c r="CL217" s="56">
        <f>($AS217-$AS218)*100</f>
        <v/>
      </c>
      <c r="CM217" s="56">
        <f>($AT217-$AT218)*100</f>
        <v/>
      </c>
      <c r="CN217" s="56">
        <f>($AU217-$AU218)*100</f>
        <v/>
      </c>
      <c r="CO217" s="56">
        <f>($AV217-$AV218)*100</f>
        <v/>
      </c>
      <c r="CP217" s="56">
        <f>($AW217-$AW218)*100</f>
        <v/>
      </c>
      <c r="CQ217" s="56">
        <f>($AX217-$AX218)*100</f>
        <v/>
      </c>
      <c r="CR217" s="56">
        <f>($AY217-$AY218)*100</f>
        <v/>
      </c>
      <c r="CS217" s="57">
        <f>IFERROR($L218/$L217-1,"")</f>
        <v/>
      </c>
      <c r="CT217" s="57">
        <f>IFERROR($M218/$M217-1,"")</f>
        <v/>
      </c>
      <c r="CU217" s="57">
        <f>IFERROR($N218/$N217-1,"")</f>
        <v/>
      </c>
      <c r="CV217" s="57">
        <f>IFERROR($O218/$O217-1,"")</f>
        <v/>
      </c>
      <c r="CW217" s="57">
        <f>IFERROR($P218/$P217-1,"")</f>
        <v/>
      </c>
      <c r="CX217" s="57">
        <f>IFERROR($Q218/$Q217-1,"")</f>
        <v/>
      </c>
      <c r="CY217" s="57">
        <f>IFERROR($R218/$R217-1,"")</f>
        <v/>
      </c>
      <c r="CZ217" s="57">
        <f>IFERROR($S218/$S217-1,"")</f>
        <v/>
      </c>
      <c r="DA217" s="57">
        <f>IFERROR($T218/$T217-1,"")</f>
        <v/>
      </c>
      <c r="DB217" s="57">
        <f>IFERROR($U218/$U217-1,"")</f>
        <v/>
      </c>
      <c r="DC217" s="57">
        <f>IFERROR($V218/$V217-1,"")</f>
        <v/>
      </c>
      <c r="DD217" s="57">
        <f>IFERROR($W218/$W217-1,"")</f>
        <v/>
      </c>
      <c r="DE217" s="57">
        <f>IFERROR($X218/$X217-1,"")</f>
        <v/>
      </c>
      <c r="DF217" s="57">
        <f>IFERROR($Y218/$Y217-1,"")</f>
        <v/>
      </c>
      <c r="DG217" s="57">
        <f>IFERROR($Z218/$Z217-1,"")</f>
        <v/>
      </c>
      <c r="DH217" s="57">
        <f>IFERROR($AA218/$AA217-1,"")</f>
        <v/>
      </c>
      <c r="DI217" s="57">
        <f>IFERROR($AB218/$AB217-1,"")</f>
        <v/>
      </c>
      <c r="DJ217" s="57">
        <f>IFERROR($AC218/$AC217-1,"")</f>
        <v/>
      </c>
      <c r="DK217" s="57">
        <f>IFERROR($AD218/$AD217-1,"")</f>
        <v/>
      </c>
      <c r="DL217" s="57">
        <f>IFERROR($AE218/$AE217-1,"")</f>
        <v/>
      </c>
      <c r="DM217" s="56">
        <f>$AZ217-$AZ218</f>
        <v/>
      </c>
      <c r="DN217" s="56">
        <f>$BA217-$BA218</f>
        <v/>
      </c>
      <c r="DO217" s="56">
        <f>$BB217-$BB218</f>
        <v/>
      </c>
      <c r="DP217" s="56">
        <f>$BC217-$BC218</f>
        <v/>
      </c>
      <c r="DQ217" s="56">
        <f>$BD217-$BD218</f>
        <v/>
      </c>
      <c r="DR217" s="56">
        <f>$BE217-$BE218</f>
        <v/>
      </c>
      <c r="DS217" s="56">
        <f>$BF217-$BF218</f>
        <v/>
      </c>
      <c r="DT217" s="56">
        <f>$BG217-$BG218</f>
        <v/>
      </c>
      <c r="DU217" s="56">
        <f>$BH217-$BH218</f>
        <v/>
      </c>
      <c r="DV217" s="56">
        <f>$BI217-$BI218</f>
        <v/>
      </c>
      <c r="DW217" s="56">
        <f>$BJ217-$BJ218</f>
        <v/>
      </c>
      <c r="DX217" s="56">
        <f>$BK217-$BK218</f>
        <v/>
      </c>
      <c r="DY217" s="56">
        <f>$BL217-$BL218</f>
        <v/>
      </c>
      <c r="DZ217" s="56">
        <f>$BM217-$BM218</f>
        <v/>
      </c>
      <c r="EA217" s="56">
        <f>$BN217-$BN218</f>
        <v/>
      </c>
      <c r="EB217" s="56">
        <f>$BO217-$BO218</f>
        <v/>
      </c>
      <c r="EC217" s="56">
        <f>$BP217-$BP218</f>
        <v/>
      </c>
      <c r="ED217" s="56">
        <f>$BQ217-$BQ218</f>
        <v/>
      </c>
      <c r="EE217" s="56">
        <f>$BR217-$BR218</f>
        <v/>
      </c>
      <c r="EF217" s="56">
        <f>$BS217-$BS218</f>
        <v/>
      </c>
      <c r="EG217" s="56">
        <f>$BT217-$BT218</f>
        <v/>
      </c>
      <c r="EH217" s="56">
        <f>$BU217-$BU218</f>
        <v/>
      </c>
    </row>
    <row r="218">
      <c r="BV218" s="56">
        <f>($D218-$D219)*100</f>
        <v/>
      </c>
      <c r="BW218" s="56">
        <f>($C218-$C219)*100</f>
        <v/>
      </c>
      <c r="BX218" s="57">
        <f>IFERROR($I218/$I219-1,"")</f>
        <v/>
      </c>
      <c r="BY218" s="56">
        <f>($AF218-$AF219)*100</f>
        <v/>
      </c>
      <c r="BZ218" s="56">
        <f>($AG218-$AG219)*100</f>
        <v/>
      </c>
      <c r="CA218" s="56">
        <f>($AH218-$AH219)*100</f>
        <v/>
      </c>
      <c r="CB218" s="56">
        <f>($AI218-$AI219)*100</f>
        <v/>
      </c>
      <c r="CC218" s="56">
        <f>($AJ218-$AJ219)*100</f>
        <v/>
      </c>
      <c r="CD218" s="56">
        <f>($AK218-$AK219)*100</f>
        <v/>
      </c>
      <c r="CE218" s="56">
        <f>($AL218-$AL219)*100</f>
        <v/>
      </c>
      <c r="CF218" s="56">
        <f>($AM218-$AM219)*100</f>
        <v/>
      </c>
      <c r="CG218" s="56">
        <f>($AN218-$AN219)*100</f>
        <v/>
      </c>
      <c r="CH218" s="56">
        <f>($AO218-$AO219)*100</f>
        <v/>
      </c>
      <c r="CI218" s="56">
        <f>($AP218-$AP219)*100</f>
        <v/>
      </c>
      <c r="CJ218" s="56">
        <f>($AQ218-$AQ219)*100</f>
        <v/>
      </c>
      <c r="CK218" s="56">
        <f>($AR218-$AR219)*100</f>
        <v/>
      </c>
      <c r="CL218" s="56">
        <f>($AS218-$AS219)*100</f>
        <v/>
      </c>
      <c r="CM218" s="56">
        <f>($AT218-$AT219)*100</f>
        <v/>
      </c>
      <c r="CN218" s="56">
        <f>($AU218-$AU219)*100</f>
        <v/>
      </c>
      <c r="CO218" s="56">
        <f>($AV218-$AV219)*100</f>
        <v/>
      </c>
      <c r="CP218" s="56">
        <f>($AW218-$AW219)*100</f>
        <v/>
      </c>
      <c r="CQ218" s="56">
        <f>($AX218-$AX219)*100</f>
        <v/>
      </c>
      <c r="CR218" s="56">
        <f>($AY218-$AY219)*100</f>
        <v/>
      </c>
      <c r="CS218" s="57">
        <f>IFERROR($L219/$L218-1,"")</f>
        <v/>
      </c>
      <c r="CT218" s="57">
        <f>IFERROR($M219/$M218-1,"")</f>
        <v/>
      </c>
      <c r="CU218" s="57">
        <f>IFERROR($N219/$N218-1,"")</f>
        <v/>
      </c>
      <c r="CV218" s="57">
        <f>IFERROR($O219/$O218-1,"")</f>
        <v/>
      </c>
      <c r="CW218" s="57">
        <f>IFERROR($P219/$P218-1,"")</f>
        <v/>
      </c>
      <c r="CX218" s="57">
        <f>IFERROR($Q219/$Q218-1,"")</f>
        <v/>
      </c>
      <c r="CY218" s="57">
        <f>IFERROR($R219/$R218-1,"")</f>
        <v/>
      </c>
      <c r="CZ218" s="57">
        <f>IFERROR($S219/$S218-1,"")</f>
        <v/>
      </c>
      <c r="DA218" s="57">
        <f>IFERROR($T219/$T218-1,"")</f>
        <v/>
      </c>
      <c r="DB218" s="57">
        <f>IFERROR($U219/$U218-1,"")</f>
        <v/>
      </c>
      <c r="DC218" s="57">
        <f>IFERROR($V219/$V218-1,"")</f>
        <v/>
      </c>
      <c r="DD218" s="57">
        <f>IFERROR($W219/$W218-1,"")</f>
        <v/>
      </c>
      <c r="DE218" s="57">
        <f>IFERROR($X219/$X218-1,"")</f>
        <v/>
      </c>
      <c r="DF218" s="57">
        <f>IFERROR($Y219/$Y218-1,"")</f>
        <v/>
      </c>
      <c r="DG218" s="57">
        <f>IFERROR($Z219/$Z218-1,"")</f>
        <v/>
      </c>
      <c r="DH218" s="57">
        <f>IFERROR($AA219/$AA218-1,"")</f>
        <v/>
      </c>
      <c r="DI218" s="57">
        <f>IFERROR($AB219/$AB218-1,"")</f>
        <v/>
      </c>
      <c r="DJ218" s="57">
        <f>IFERROR($AC219/$AC218-1,"")</f>
        <v/>
      </c>
      <c r="DK218" s="57">
        <f>IFERROR($AD219/$AD218-1,"")</f>
        <v/>
      </c>
      <c r="DL218" s="57">
        <f>IFERROR($AE219/$AE218-1,"")</f>
        <v/>
      </c>
      <c r="DM218" s="56">
        <f>$AZ218-$AZ219</f>
        <v/>
      </c>
      <c r="DN218" s="56">
        <f>$BA218-$BA219</f>
        <v/>
      </c>
      <c r="DO218" s="56">
        <f>$BB218-$BB219</f>
        <v/>
      </c>
      <c r="DP218" s="56">
        <f>$BC218-$BC219</f>
        <v/>
      </c>
      <c r="DQ218" s="56">
        <f>$BD218-$BD219</f>
        <v/>
      </c>
      <c r="DR218" s="56">
        <f>$BE218-$BE219</f>
        <v/>
      </c>
      <c r="DS218" s="56">
        <f>$BF218-$BF219</f>
        <v/>
      </c>
      <c r="DT218" s="56">
        <f>$BG218-$BG219</f>
        <v/>
      </c>
      <c r="DU218" s="56">
        <f>$BH218-$BH219</f>
        <v/>
      </c>
      <c r="DV218" s="56">
        <f>$BI218-$BI219</f>
        <v/>
      </c>
      <c r="DW218" s="56">
        <f>$BJ218-$BJ219</f>
        <v/>
      </c>
      <c r="DX218" s="56">
        <f>$BK218-$BK219</f>
        <v/>
      </c>
      <c r="DY218" s="56">
        <f>$BL218-$BL219</f>
        <v/>
      </c>
      <c r="DZ218" s="56">
        <f>$BM218-$BM219</f>
        <v/>
      </c>
      <c r="EA218" s="56">
        <f>$BN218-$BN219</f>
        <v/>
      </c>
      <c r="EB218" s="56">
        <f>$BO218-$BO219</f>
        <v/>
      </c>
      <c r="EC218" s="56">
        <f>$BP218-$BP219</f>
        <v/>
      </c>
      <c r="ED218" s="56">
        <f>$BQ218-$BQ219</f>
        <v/>
      </c>
      <c r="EE218" s="56">
        <f>$BR218-$BR219</f>
        <v/>
      </c>
      <c r="EF218" s="56">
        <f>$BS218-$BS219</f>
        <v/>
      </c>
      <c r="EG218" s="56">
        <f>$BT218-$BT219</f>
        <v/>
      </c>
      <c r="EH218" s="56">
        <f>$BU218-$BU219</f>
        <v/>
      </c>
    </row>
    <row r="219">
      <c r="BV219" s="56">
        <f>($D219-$D220)*100</f>
        <v/>
      </c>
      <c r="BW219" s="56">
        <f>($C219-$C220)*100</f>
        <v/>
      </c>
      <c r="BX219" s="57">
        <f>IFERROR($I219/$I220-1,"")</f>
        <v/>
      </c>
      <c r="BY219" s="56">
        <f>($AF219-$AF220)*100</f>
        <v/>
      </c>
      <c r="BZ219" s="56">
        <f>($AG219-$AG220)*100</f>
        <v/>
      </c>
      <c r="CA219" s="56">
        <f>($AH219-$AH220)*100</f>
        <v/>
      </c>
      <c r="CB219" s="56">
        <f>($AI219-$AI220)*100</f>
        <v/>
      </c>
      <c r="CC219" s="56">
        <f>($AJ219-$AJ220)*100</f>
        <v/>
      </c>
      <c r="CD219" s="56">
        <f>($AK219-$AK220)*100</f>
        <v/>
      </c>
      <c r="CE219" s="56">
        <f>($AL219-$AL220)*100</f>
        <v/>
      </c>
      <c r="CF219" s="56">
        <f>($AM219-$AM220)*100</f>
        <v/>
      </c>
      <c r="CG219" s="56">
        <f>($AN219-$AN220)*100</f>
        <v/>
      </c>
      <c r="CH219" s="56">
        <f>($AO219-$AO220)*100</f>
        <v/>
      </c>
      <c r="CI219" s="56">
        <f>($AP219-$AP220)*100</f>
        <v/>
      </c>
      <c r="CJ219" s="56">
        <f>($AQ219-$AQ220)*100</f>
        <v/>
      </c>
      <c r="CK219" s="56">
        <f>($AR219-$AR220)*100</f>
        <v/>
      </c>
      <c r="CL219" s="56">
        <f>($AS219-$AS220)*100</f>
        <v/>
      </c>
      <c r="CM219" s="56">
        <f>($AT219-$AT220)*100</f>
        <v/>
      </c>
      <c r="CN219" s="56">
        <f>($AU219-$AU220)*100</f>
        <v/>
      </c>
      <c r="CO219" s="56">
        <f>($AV219-$AV220)*100</f>
        <v/>
      </c>
      <c r="CP219" s="56">
        <f>($AW219-$AW220)*100</f>
        <v/>
      </c>
      <c r="CQ219" s="56">
        <f>($AX219-$AX220)*100</f>
        <v/>
      </c>
      <c r="CR219" s="56">
        <f>($AY219-$AY220)*100</f>
        <v/>
      </c>
      <c r="CS219" s="57">
        <f>IFERROR($L220/$L219-1,"")</f>
        <v/>
      </c>
      <c r="CT219" s="57">
        <f>IFERROR($M220/$M219-1,"")</f>
        <v/>
      </c>
      <c r="CU219" s="57">
        <f>IFERROR($N220/$N219-1,"")</f>
        <v/>
      </c>
      <c r="CV219" s="57">
        <f>IFERROR($O220/$O219-1,"")</f>
        <v/>
      </c>
      <c r="CW219" s="57">
        <f>IFERROR($P220/$P219-1,"")</f>
        <v/>
      </c>
      <c r="CX219" s="57">
        <f>IFERROR($Q220/$Q219-1,"")</f>
        <v/>
      </c>
      <c r="CY219" s="57">
        <f>IFERROR($R220/$R219-1,"")</f>
        <v/>
      </c>
      <c r="CZ219" s="57">
        <f>IFERROR($S220/$S219-1,"")</f>
        <v/>
      </c>
      <c r="DA219" s="57">
        <f>IFERROR($T220/$T219-1,"")</f>
        <v/>
      </c>
      <c r="DB219" s="57">
        <f>IFERROR($U220/$U219-1,"")</f>
        <v/>
      </c>
      <c r="DC219" s="57">
        <f>IFERROR($V220/$V219-1,"")</f>
        <v/>
      </c>
      <c r="DD219" s="57">
        <f>IFERROR($W220/$W219-1,"")</f>
        <v/>
      </c>
      <c r="DE219" s="57">
        <f>IFERROR($X220/$X219-1,"")</f>
        <v/>
      </c>
      <c r="DF219" s="57">
        <f>IFERROR($Y220/$Y219-1,"")</f>
        <v/>
      </c>
      <c r="DG219" s="57">
        <f>IFERROR($Z220/$Z219-1,"")</f>
        <v/>
      </c>
      <c r="DH219" s="57">
        <f>IFERROR($AA220/$AA219-1,"")</f>
        <v/>
      </c>
      <c r="DI219" s="57">
        <f>IFERROR($AB220/$AB219-1,"")</f>
        <v/>
      </c>
      <c r="DJ219" s="57">
        <f>IFERROR($AC220/$AC219-1,"")</f>
        <v/>
      </c>
      <c r="DK219" s="57">
        <f>IFERROR($AD220/$AD219-1,"")</f>
        <v/>
      </c>
      <c r="DL219" s="57">
        <f>IFERROR($AE220/$AE219-1,"")</f>
        <v/>
      </c>
      <c r="DM219" s="56">
        <f>$AZ219-$AZ220</f>
        <v/>
      </c>
      <c r="DN219" s="56">
        <f>$BA219-$BA220</f>
        <v/>
      </c>
      <c r="DO219" s="56">
        <f>$BB219-$BB220</f>
        <v/>
      </c>
      <c r="DP219" s="56">
        <f>$BC219-$BC220</f>
        <v/>
      </c>
      <c r="DQ219" s="56">
        <f>$BD219-$BD220</f>
        <v/>
      </c>
      <c r="DR219" s="56">
        <f>$BE219-$BE220</f>
        <v/>
      </c>
      <c r="DS219" s="56">
        <f>$BF219-$BF220</f>
        <v/>
      </c>
      <c r="DT219" s="56">
        <f>$BG219-$BG220</f>
        <v/>
      </c>
      <c r="DU219" s="56">
        <f>$BH219-$BH220</f>
        <v/>
      </c>
      <c r="DV219" s="56">
        <f>$BI219-$BI220</f>
        <v/>
      </c>
      <c r="DW219" s="56">
        <f>$BJ219-$BJ220</f>
        <v/>
      </c>
      <c r="DX219" s="56">
        <f>$BK219-$BK220</f>
        <v/>
      </c>
      <c r="DY219" s="56">
        <f>$BL219-$BL220</f>
        <v/>
      </c>
      <c r="DZ219" s="56">
        <f>$BM219-$BM220</f>
        <v/>
      </c>
      <c r="EA219" s="56">
        <f>$BN219-$BN220</f>
        <v/>
      </c>
      <c r="EB219" s="56">
        <f>$BO219-$BO220</f>
        <v/>
      </c>
      <c r="EC219" s="56">
        <f>$BP219-$BP220</f>
        <v/>
      </c>
      <c r="ED219" s="56">
        <f>$BQ219-$BQ220</f>
        <v/>
      </c>
      <c r="EE219" s="56">
        <f>$BR219-$BR220</f>
        <v/>
      </c>
      <c r="EF219" s="56">
        <f>$BS219-$BS220</f>
        <v/>
      </c>
      <c r="EG219" s="56">
        <f>$BT219-$BT220</f>
        <v/>
      </c>
      <c r="EH219" s="56">
        <f>$BU219-$BU220</f>
        <v/>
      </c>
    </row>
    <row r="220">
      <c r="BV220" s="56">
        <f>($D220-$D221)*100</f>
        <v/>
      </c>
      <c r="BW220" s="56">
        <f>($C220-$C221)*100</f>
        <v/>
      </c>
      <c r="BX220" s="57">
        <f>IFERROR($I220/$I221-1,"")</f>
        <v/>
      </c>
      <c r="BY220" s="56">
        <f>($AF220-$AF221)*100</f>
        <v/>
      </c>
      <c r="BZ220" s="56">
        <f>($AG220-$AG221)*100</f>
        <v/>
      </c>
      <c r="CA220" s="56">
        <f>($AH220-$AH221)*100</f>
        <v/>
      </c>
      <c r="CB220" s="56">
        <f>($AI220-$AI221)*100</f>
        <v/>
      </c>
      <c r="CC220" s="56">
        <f>($AJ220-$AJ221)*100</f>
        <v/>
      </c>
      <c r="CD220" s="56">
        <f>($AK220-$AK221)*100</f>
        <v/>
      </c>
      <c r="CE220" s="56">
        <f>($AL220-$AL221)*100</f>
        <v/>
      </c>
      <c r="CF220" s="56">
        <f>($AM220-$AM221)*100</f>
        <v/>
      </c>
      <c r="CG220" s="56">
        <f>($AN220-$AN221)*100</f>
        <v/>
      </c>
      <c r="CH220" s="56">
        <f>($AO220-$AO221)*100</f>
        <v/>
      </c>
      <c r="CI220" s="56">
        <f>($AP220-$AP221)*100</f>
        <v/>
      </c>
      <c r="CJ220" s="56">
        <f>($AQ220-$AQ221)*100</f>
        <v/>
      </c>
      <c r="CK220" s="56">
        <f>($AR220-$AR221)*100</f>
        <v/>
      </c>
      <c r="CL220" s="56">
        <f>($AS220-$AS221)*100</f>
        <v/>
      </c>
      <c r="CM220" s="56">
        <f>($AT220-$AT221)*100</f>
        <v/>
      </c>
      <c r="CN220" s="56">
        <f>($AU220-$AU221)*100</f>
        <v/>
      </c>
      <c r="CO220" s="56">
        <f>($AV220-$AV221)*100</f>
        <v/>
      </c>
      <c r="CP220" s="56">
        <f>($AW220-$AW221)*100</f>
        <v/>
      </c>
      <c r="CQ220" s="56">
        <f>($AX220-$AX221)*100</f>
        <v/>
      </c>
      <c r="CR220" s="56">
        <f>($AY220-$AY221)*100</f>
        <v/>
      </c>
      <c r="CS220" s="57">
        <f>IFERROR($L221/$L220-1,"")</f>
        <v/>
      </c>
      <c r="CT220" s="57">
        <f>IFERROR($M221/$M220-1,"")</f>
        <v/>
      </c>
      <c r="CU220" s="57">
        <f>IFERROR($N221/$N220-1,"")</f>
        <v/>
      </c>
      <c r="CV220" s="57">
        <f>IFERROR($O221/$O220-1,"")</f>
        <v/>
      </c>
      <c r="CW220" s="57">
        <f>IFERROR($P221/$P220-1,"")</f>
        <v/>
      </c>
      <c r="CX220" s="57">
        <f>IFERROR($Q221/$Q220-1,"")</f>
        <v/>
      </c>
      <c r="CY220" s="57">
        <f>IFERROR($R221/$R220-1,"")</f>
        <v/>
      </c>
      <c r="CZ220" s="57">
        <f>IFERROR($S221/$S220-1,"")</f>
        <v/>
      </c>
      <c r="DA220" s="57">
        <f>IFERROR($T221/$T220-1,"")</f>
        <v/>
      </c>
      <c r="DB220" s="57">
        <f>IFERROR($U221/$U220-1,"")</f>
        <v/>
      </c>
      <c r="DC220" s="57">
        <f>IFERROR($V221/$V220-1,"")</f>
        <v/>
      </c>
      <c r="DD220" s="57">
        <f>IFERROR($W221/$W220-1,"")</f>
        <v/>
      </c>
      <c r="DE220" s="57">
        <f>IFERROR($X221/$X220-1,"")</f>
        <v/>
      </c>
      <c r="DF220" s="57">
        <f>IFERROR($Y221/$Y220-1,"")</f>
        <v/>
      </c>
      <c r="DG220" s="57">
        <f>IFERROR($Z221/$Z220-1,"")</f>
        <v/>
      </c>
      <c r="DH220" s="57">
        <f>IFERROR($AA221/$AA220-1,"")</f>
        <v/>
      </c>
      <c r="DI220" s="57">
        <f>IFERROR($AB221/$AB220-1,"")</f>
        <v/>
      </c>
      <c r="DJ220" s="57">
        <f>IFERROR($AC221/$AC220-1,"")</f>
        <v/>
      </c>
      <c r="DK220" s="57">
        <f>IFERROR($AD221/$AD220-1,"")</f>
        <v/>
      </c>
      <c r="DL220" s="57">
        <f>IFERROR($AE221/$AE220-1,"")</f>
        <v/>
      </c>
      <c r="DM220" s="56">
        <f>$AZ220-$AZ221</f>
        <v/>
      </c>
      <c r="DN220" s="56">
        <f>$BA220-$BA221</f>
        <v/>
      </c>
      <c r="DO220" s="56">
        <f>$BB220-$BB221</f>
        <v/>
      </c>
      <c r="DP220" s="56">
        <f>$BC220-$BC221</f>
        <v/>
      </c>
      <c r="DQ220" s="56">
        <f>$BD220-$BD221</f>
        <v/>
      </c>
      <c r="DR220" s="56">
        <f>$BE220-$BE221</f>
        <v/>
      </c>
      <c r="DS220" s="56">
        <f>$BF220-$BF221</f>
        <v/>
      </c>
      <c r="DT220" s="56">
        <f>$BG220-$BG221</f>
        <v/>
      </c>
      <c r="DU220" s="56">
        <f>$BH220-$BH221</f>
        <v/>
      </c>
      <c r="DV220" s="56">
        <f>$BI220-$BI221</f>
        <v/>
      </c>
      <c r="DW220" s="56">
        <f>$BJ220-$BJ221</f>
        <v/>
      </c>
      <c r="DX220" s="56">
        <f>$BK220-$BK221</f>
        <v/>
      </c>
      <c r="DY220" s="56">
        <f>$BL220-$BL221</f>
        <v/>
      </c>
      <c r="DZ220" s="56">
        <f>$BM220-$BM221</f>
        <v/>
      </c>
      <c r="EA220" s="56">
        <f>$BN220-$BN221</f>
        <v/>
      </c>
      <c r="EB220" s="56">
        <f>$BO220-$BO221</f>
        <v/>
      </c>
      <c r="EC220" s="56">
        <f>$BP220-$BP221</f>
        <v/>
      </c>
      <c r="ED220" s="56">
        <f>$BQ220-$BQ221</f>
        <v/>
      </c>
      <c r="EE220" s="56">
        <f>$BR220-$BR221</f>
        <v/>
      </c>
      <c r="EF220" s="56">
        <f>$BS220-$BS221</f>
        <v/>
      </c>
      <c r="EG220" s="56">
        <f>$BT220-$BT221</f>
        <v/>
      </c>
      <c r="EH220" s="56">
        <f>$BU220-$BU221</f>
        <v/>
      </c>
    </row>
    <row r="221">
      <c r="BV221" s="56">
        <f>($D221-$D222)*100</f>
        <v/>
      </c>
      <c r="BW221" s="56">
        <f>($C221-$C222)*100</f>
        <v/>
      </c>
      <c r="BX221" s="57">
        <f>IFERROR($I221/$I222-1,"")</f>
        <v/>
      </c>
      <c r="BY221" s="56">
        <f>($AF221-$AF222)*100</f>
        <v/>
      </c>
      <c r="BZ221" s="56">
        <f>($AG221-$AG222)*100</f>
        <v/>
      </c>
      <c r="CA221" s="56">
        <f>($AH221-$AH222)*100</f>
        <v/>
      </c>
      <c r="CB221" s="56">
        <f>($AI221-$AI222)*100</f>
        <v/>
      </c>
      <c r="CC221" s="56">
        <f>($AJ221-$AJ222)*100</f>
        <v/>
      </c>
      <c r="CD221" s="56">
        <f>($AK221-$AK222)*100</f>
        <v/>
      </c>
      <c r="CE221" s="56">
        <f>($AL221-$AL222)*100</f>
        <v/>
      </c>
      <c r="CF221" s="56">
        <f>($AM221-$AM222)*100</f>
        <v/>
      </c>
      <c r="CG221" s="56">
        <f>($AN221-$AN222)*100</f>
        <v/>
      </c>
      <c r="CH221" s="56">
        <f>($AO221-$AO222)*100</f>
        <v/>
      </c>
      <c r="CI221" s="56">
        <f>($AP221-$AP222)*100</f>
        <v/>
      </c>
      <c r="CJ221" s="56">
        <f>($AQ221-$AQ222)*100</f>
        <v/>
      </c>
      <c r="CK221" s="56">
        <f>($AR221-$AR222)*100</f>
        <v/>
      </c>
      <c r="CL221" s="56">
        <f>($AS221-$AS222)*100</f>
        <v/>
      </c>
      <c r="CM221" s="56">
        <f>($AT221-$AT222)*100</f>
        <v/>
      </c>
      <c r="CN221" s="56">
        <f>($AU221-$AU222)*100</f>
        <v/>
      </c>
      <c r="CO221" s="56">
        <f>($AV221-$AV222)*100</f>
        <v/>
      </c>
      <c r="CP221" s="56">
        <f>($AW221-$AW222)*100</f>
        <v/>
      </c>
      <c r="CQ221" s="56">
        <f>($AX221-$AX222)*100</f>
        <v/>
      </c>
      <c r="CR221" s="56">
        <f>($AY221-$AY222)*100</f>
        <v/>
      </c>
      <c r="CS221" s="57">
        <f>IFERROR($L222/$L221-1,"")</f>
        <v/>
      </c>
      <c r="CT221" s="57">
        <f>IFERROR($M222/$M221-1,"")</f>
        <v/>
      </c>
      <c r="CU221" s="57">
        <f>IFERROR($N222/$N221-1,"")</f>
        <v/>
      </c>
      <c r="CV221" s="57">
        <f>IFERROR($O222/$O221-1,"")</f>
        <v/>
      </c>
      <c r="CW221" s="57">
        <f>IFERROR($P222/$P221-1,"")</f>
        <v/>
      </c>
      <c r="CX221" s="57">
        <f>IFERROR($Q222/$Q221-1,"")</f>
        <v/>
      </c>
      <c r="CY221" s="57">
        <f>IFERROR($R222/$R221-1,"")</f>
        <v/>
      </c>
      <c r="CZ221" s="57">
        <f>IFERROR($S222/$S221-1,"")</f>
        <v/>
      </c>
      <c r="DA221" s="57">
        <f>IFERROR($T222/$T221-1,"")</f>
        <v/>
      </c>
      <c r="DB221" s="57">
        <f>IFERROR($U222/$U221-1,"")</f>
        <v/>
      </c>
      <c r="DC221" s="57">
        <f>IFERROR($V222/$V221-1,"")</f>
        <v/>
      </c>
      <c r="DD221" s="57">
        <f>IFERROR($W222/$W221-1,"")</f>
        <v/>
      </c>
      <c r="DE221" s="57">
        <f>IFERROR($X222/$X221-1,"")</f>
        <v/>
      </c>
      <c r="DF221" s="57">
        <f>IFERROR($Y222/$Y221-1,"")</f>
        <v/>
      </c>
      <c r="DG221" s="57">
        <f>IFERROR($Z222/$Z221-1,"")</f>
        <v/>
      </c>
      <c r="DH221" s="57">
        <f>IFERROR($AA222/$AA221-1,"")</f>
        <v/>
      </c>
      <c r="DI221" s="57">
        <f>IFERROR($AB222/$AB221-1,"")</f>
        <v/>
      </c>
      <c r="DJ221" s="57">
        <f>IFERROR($AC222/$AC221-1,"")</f>
        <v/>
      </c>
      <c r="DK221" s="57">
        <f>IFERROR($AD222/$AD221-1,"")</f>
        <v/>
      </c>
      <c r="DL221" s="57">
        <f>IFERROR($AE222/$AE221-1,"")</f>
        <v/>
      </c>
      <c r="DM221" s="56">
        <f>$AZ221-$AZ222</f>
        <v/>
      </c>
      <c r="DN221" s="56">
        <f>$BA221-$BA222</f>
        <v/>
      </c>
      <c r="DO221" s="56">
        <f>$BB221-$BB222</f>
        <v/>
      </c>
      <c r="DP221" s="56">
        <f>$BC221-$BC222</f>
        <v/>
      </c>
      <c r="DQ221" s="56">
        <f>$BD221-$BD222</f>
        <v/>
      </c>
      <c r="DR221" s="56">
        <f>$BE221-$BE222</f>
        <v/>
      </c>
      <c r="DS221" s="56">
        <f>$BF221-$BF222</f>
        <v/>
      </c>
      <c r="DT221" s="56">
        <f>$BG221-$BG222</f>
        <v/>
      </c>
      <c r="DU221" s="56">
        <f>$BH221-$BH222</f>
        <v/>
      </c>
      <c r="DV221" s="56">
        <f>$BI221-$BI222</f>
        <v/>
      </c>
      <c r="DW221" s="56">
        <f>$BJ221-$BJ222</f>
        <v/>
      </c>
      <c r="DX221" s="56">
        <f>$BK221-$BK222</f>
        <v/>
      </c>
      <c r="DY221" s="56">
        <f>$BL221-$BL222</f>
        <v/>
      </c>
      <c r="DZ221" s="56">
        <f>$BM221-$BM222</f>
        <v/>
      </c>
      <c r="EA221" s="56">
        <f>$BN221-$BN222</f>
        <v/>
      </c>
      <c r="EB221" s="56">
        <f>$BO221-$BO222</f>
        <v/>
      </c>
      <c r="EC221" s="56">
        <f>$BP221-$BP222</f>
        <v/>
      </c>
      <c r="ED221" s="56">
        <f>$BQ221-$BQ222</f>
        <v/>
      </c>
      <c r="EE221" s="56">
        <f>$BR221-$BR222</f>
        <v/>
      </c>
      <c r="EF221" s="56">
        <f>$BS221-$BS222</f>
        <v/>
      </c>
      <c r="EG221" s="56">
        <f>$BT221-$BT222</f>
        <v/>
      </c>
      <c r="EH221" s="56">
        <f>$BU221-$BU222</f>
        <v/>
      </c>
    </row>
    <row r="222">
      <c r="BV222" s="56">
        <f>($D222-$D223)*100</f>
        <v/>
      </c>
      <c r="BW222" s="56">
        <f>($C222-$C223)*100</f>
        <v/>
      </c>
      <c r="BX222" s="57">
        <f>IFERROR($I222/$I223-1,"")</f>
        <v/>
      </c>
      <c r="BY222" s="56">
        <f>($AF222-$AF223)*100</f>
        <v/>
      </c>
      <c r="BZ222" s="56">
        <f>($AG222-$AG223)*100</f>
        <v/>
      </c>
      <c r="CA222" s="56">
        <f>($AH222-$AH223)*100</f>
        <v/>
      </c>
      <c r="CB222" s="56">
        <f>($AI222-$AI223)*100</f>
        <v/>
      </c>
      <c r="CC222" s="56">
        <f>($AJ222-$AJ223)*100</f>
        <v/>
      </c>
      <c r="CD222" s="56">
        <f>($AK222-$AK223)*100</f>
        <v/>
      </c>
      <c r="CE222" s="56">
        <f>($AL222-$AL223)*100</f>
        <v/>
      </c>
      <c r="CF222" s="56">
        <f>($AM222-$AM223)*100</f>
        <v/>
      </c>
      <c r="CG222" s="56">
        <f>($AN222-$AN223)*100</f>
        <v/>
      </c>
      <c r="CH222" s="56">
        <f>($AO222-$AO223)*100</f>
        <v/>
      </c>
      <c r="CI222" s="56">
        <f>($AP222-$AP223)*100</f>
        <v/>
      </c>
      <c r="CJ222" s="56">
        <f>($AQ222-$AQ223)*100</f>
        <v/>
      </c>
      <c r="CK222" s="56">
        <f>($AR222-$AR223)*100</f>
        <v/>
      </c>
      <c r="CL222" s="56">
        <f>($AS222-$AS223)*100</f>
        <v/>
      </c>
      <c r="CM222" s="56">
        <f>($AT222-$AT223)*100</f>
        <v/>
      </c>
      <c r="CN222" s="56">
        <f>($AU222-$AU223)*100</f>
        <v/>
      </c>
      <c r="CO222" s="56">
        <f>($AV222-$AV223)*100</f>
        <v/>
      </c>
      <c r="CP222" s="56">
        <f>($AW222-$AW223)*100</f>
        <v/>
      </c>
      <c r="CQ222" s="56">
        <f>($AX222-$AX223)*100</f>
        <v/>
      </c>
      <c r="CR222" s="56">
        <f>($AY222-$AY223)*100</f>
        <v/>
      </c>
      <c r="CS222" s="57">
        <f>IFERROR($L223/$L222-1,"")</f>
        <v/>
      </c>
      <c r="CT222" s="57">
        <f>IFERROR($M223/$M222-1,"")</f>
        <v/>
      </c>
      <c r="CU222" s="57">
        <f>IFERROR($N223/$N222-1,"")</f>
        <v/>
      </c>
      <c r="CV222" s="57">
        <f>IFERROR($O223/$O222-1,"")</f>
        <v/>
      </c>
      <c r="CW222" s="57">
        <f>IFERROR($P223/$P222-1,"")</f>
        <v/>
      </c>
      <c r="CX222" s="57">
        <f>IFERROR($Q223/$Q222-1,"")</f>
        <v/>
      </c>
      <c r="CY222" s="57">
        <f>IFERROR($R223/$R222-1,"")</f>
        <v/>
      </c>
      <c r="CZ222" s="57">
        <f>IFERROR($S223/$S222-1,"")</f>
        <v/>
      </c>
      <c r="DA222" s="57">
        <f>IFERROR($T223/$T222-1,"")</f>
        <v/>
      </c>
      <c r="DB222" s="57">
        <f>IFERROR($U223/$U222-1,"")</f>
        <v/>
      </c>
      <c r="DC222" s="57">
        <f>IFERROR($V223/$V222-1,"")</f>
        <v/>
      </c>
      <c r="DD222" s="57">
        <f>IFERROR($W223/$W222-1,"")</f>
        <v/>
      </c>
      <c r="DE222" s="57">
        <f>IFERROR($X223/$X222-1,"")</f>
        <v/>
      </c>
      <c r="DF222" s="57">
        <f>IFERROR($Y223/$Y222-1,"")</f>
        <v/>
      </c>
      <c r="DG222" s="57">
        <f>IFERROR($Z223/$Z222-1,"")</f>
        <v/>
      </c>
      <c r="DH222" s="57">
        <f>IFERROR($AA223/$AA222-1,"")</f>
        <v/>
      </c>
      <c r="DI222" s="57">
        <f>IFERROR($AB223/$AB222-1,"")</f>
        <v/>
      </c>
      <c r="DJ222" s="57">
        <f>IFERROR($AC223/$AC222-1,"")</f>
        <v/>
      </c>
      <c r="DK222" s="57">
        <f>IFERROR($AD223/$AD222-1,"")</f>
        <v/>
      </c>
      <c r="DL222" s="57">
        <f>IFERROR($AE223/$AE222-1,"")</f>
        <v/>
      </c>
      <c r="DM222" s="56">
        <f>$AZ222-$AZ223</f>
        <v/>
      </c>
      <c r="DN222" s="56">
        <f>$BA222-$BA223</f>
        <v/>
      </c>
      <c r="DO222" s="56">
        <f>$BB222-$BB223</f>
        <v/>
      </c>
      <c r="DP222" s="56">
        <f>$BC222-$BC223</f>
        <v/>
      </c>
      <c r="DQ222" s="56">
        <f>$BD222-$BD223</f>
        <v/>
      </c>
      <c r="DR222" s="56">
        <f>$BE222-$BE223</f>
        <v/>
      </c>
      <c r="DS222" s="56">
        <f>$BF222-$BF223</f>
        <v/>
      </c>
      <c r="DT222" s="56">
        <f>$BG222-$BG223</f>
        <v/>
      </c>
      <c r="DU222" s="56">
        <f>$BH222-$BH223</f>
        <v/>
      </c>
      <c r="DV222" s="56">
        <f>$BI222-$BI223</f>
        <v/>
      </c>
      <c r="DW222" s="56">
        <f>$BJ222-$BJ223</f>
        <v/>
      </c>
      <c r="DX222" s="56">
        <f>$BK222-$BK223</f>
        <v/>
      </c>
      <c r="DY222" s="56">
        <f>$BL222-$BL223</f>
        <v/>
      </c>
      <c r="DZ222" s="56">
        <f>$BM222-$BM223</f>
        <v/>
      </c>
      <c r="EA222" s="56">
        <f>$BN222-$BN223</f>
        <v/>
      </c>
      <c r="EB222" s="56">
        <f>$BO222-$BO223</f>
        <v/>
      </c>
      <c r="EC222" s="56">
        <f>$BP222-$BP223</f>
        <v/>
      </c>
      <c r="ED222" s="56">
        <f>$BQ222-$BQ223</f>
        <v/>
      </c>
      <c r="EE222" s="56">
        <f>$BR222-$BR223</f>
        <v/>
      </c>
      <c r="EF222" s="56">
        <f>$BS222-$BS223</f>
        <v/>
      </c>
      <c r="EG222" s="56">
        <f>$BT222-$BT223</f>
        <v/>
      </c>
      <c r="EH222" s="56">
        <f>$BU222-$BU223</f>
        <v/>
      </c>
    </row>
    <row r="223">
      <c r="BV223" s="56">
        <f>($D223-$D224)*100</f>
        <v/>
      </c>
      <c r="BW223" s="56">
        <f>($C223-$C224)*100</f>
        <v/>
      </c>
      <c r="BX223" s="57">
        <f>IFERROR($I223/$I224-1,"")</f>
        <v/>
      </c>
      <c r="BY223" s="56">
        <f>($AF223-$AF224)*100</f>
        <v/>
      </c>
      <c r="BZ223" s="56">
        <f>($AG223-$AG224)*100</f>
        <v/>
      </c>
      <c r="CA223" s="56">
        <f>($AH223-$AH224)*100</f>
        <v/>
      </c>
      <c r="CB223" s="56">
        <f>($AI223-$AI224)*100</f>
        <v/>
      </c>
      <c r="CC223" s="56">
        <f>($AJ223-$AJ224)*100</f>
        <v/>
      </c>
      <c r="CD223" s="56">
        <f>($AK223-$AK224)*100</f>
        <v/>
      </c>
      <c r="CE223" s="56">
        <f>($AL223-$AL224)*100</f>
        <v/>
      </c>
      <c r="CF223" s="56">
        <f>($AM223-$AM224)*100</f>
        <v/>
      </c>
      <c r="CG223" s="56">
        <f>($AN223-$AN224)*100</f>
        <v/>
      </c>
      <c r="CH223" s="56">
        <f>($AO223-$AO224)*100</f>
        <v/>
      </c>
      <c r="CI223" s="56">
        <f>($AP223-$AP224)*100</f>
        <v/>
      </c>
      <c r="CJ223" s="56">
        <f>($AQ223-$AQ224)*100</f>
        <v/>
      </c>
      <c r="CK223" s="56">
        <f>($AR223-$AR224)*100</f>
        <v/>
      </c>
      <c r="CL223" s="56">
        <f>($AS223-$AS224)*100</f>
        <v/>
      </c>
      <c r="CM223" s="56">
        <f>($AT223-$AT224)*100</f>
        <v/>
      </c>
      <c r="CN223" s="56">
        <f>($AU223-$AU224)*100</f>
        <v/>
      </c>
      <c r="CO223" s="56">
        <f>($AV223-$AV224)*100</f>
        <v/>
      </c>
      <c r="CP223" s="56">
        <f>($AW223-$AW224)*100</f>
        <v/>
      </c>
      <c r="CQ223" s="56">
        <f>($AX223-$AX224)*100</f>
        <v/>
      </c>
      <c r="CR223" s="56">
        <f>($AY223-$AY224)*100</f>
        <v/>
      </c>
      <c r="CS223" s="57">
        <f>IFERROR($L224/$L223-1,"")</f>
        <v/>
      </c>
      <c r="CT223" s="57">
        <f>IFERROR($M224/$M223-1,"")</f>
        <v/>
      </c>
      <c r="CU223" s="57">
        <f>IFERROR($N224/$N223-1,"")</f>
        <v/>
      </c>
      <c r="CV223" s="57">
        <f>IFERROR($O224/$O223-1,"")</f>
        <v/>
      </c>
      <c r="CW223" s="57">
        <f>IFERROR($P224/$P223-1,"")</f>
        <v/>
      </c>
      <c r="CX223" s="57">
        <f>IFERROR($Q224/$Q223-1,"")</f>
        <v/>
      </c>
      <c r="CY223" s="57">
        <f>IFERROR($R224/$R223-1,"")</f>
        <v/>
      </c>
      <c r="CZ223" s="57">
        <f>IFERROR($S224/$S223-1,"")</f>
        <v/>
      </c>
      <c r="DA223" s="57">
        <f>IFERROR($T224/$T223-1,"")</f>
        <v/>
      </c>
      <c r="DB223" s="57">
        <f>IFERROR($U224/$U223-1,"")</f>
        <v/>
      </c>
      <c r="DC223" s="57">
        <f>IFERROR($V224/$V223-1,"")</f>
        <v/>
      </c>
      <c r="DD223" s="57">
        <f>IFERROR($W224/$W223-1,"")</f>
        <v/>
      </c>
      <c r="DE223" s="57">
        <f>IFERROR($X224/$X223-1,"")</f>
        <v/>
      </c>
      <c r="DF223" s="57">
        <f>IFERROR($Y224/$Y223-1,"")</f>
        <v/>
      </c>
      <c r="DG223" s="57">
        <f>IFERROR($Z224/$Z223-1,"")</f>
        <v/>
      </c>
      <c r="DH223" s="57">
        <f>IFERROR($AA224/$AA223-1,"")</f>
        <v/>
      </c>
      <c r="DI223" s="57">
        <f>IFERROR($AB224/$AB223-1,"")</f>
        <v/>
      </c>
      <c r="DJ223" s="57">
        <f>IFERROR($AC224/$AC223-1,"")</f>
        <v/>
      </c>
      <c r="DK223" s="57">
        <f>IFERROR($AD224/$AD223-1,"")</f>
        <v/>
      </c>
      <c r="DL223" s="57">
        <f>IFERROR($AE224/$AE223-1,"")</f>
        <v/>
      </c>
      <c r="DM223" s="56">
        <f>$AZ223-$AZ224</f>
        <v/>
      </c>
      <c r="DN223" s="56">
        <f>$BA223-$BA224</f>
        <v/>
      </c>
      <c r="DO223" s="56">
        <f>$BB223-$BB224</f>
        <v/>
      </c>
      <c r="DP223" s="56">
        <f>$BC223-$BC224</f>
        <v/>
      </c>
      <c r="DQ223" s="56">
        <f>$BD223-$BD224</f>
        <v/>
      </c>
      <c r="DR223" s="56">
        <f>$BE223-$BE224</f>
        <v/>
      </c>
      <c r="DS223" s="56">
        <f>$BF223-$BF224</f>
        <v/>
      </c>
      <c r="DT223" s="56">
        <f>$BG223-$BG224</f>
        <v/>
      </c>
      <c r="DU223" s="56">
        <f>$BH223-$BH224</f>
        <v/>
      </c>
      <c r="DV223" s="56">
        <f>$BI223-$BI224</f>
        <v/>
      </c>
      <c r="DW223" s="56">
        <f>$BJ223-$BJ224</f>
        <v/>
      </c>
      <c r="DX223" s="56">
        <f>$BK223-$BK224</f>
        <v/>
      </c>
      <c r="DY223" s="56">
        <f>$BL223-$BL224</f>
        <v/>
      </c>
      <c r="DZ223" s="56">
        <f>$BM223-$BM224</f>
        <v/>
      </c>
      <c r="EA223" s="56">
        <f>$BN223-$BN224</f>
        <v/>
      </c>
      <c r="EB223" s="56">
        <f>$BO223-$BO224</f>
        <v/>
      </c>
      <c r="EC223" s="56">
        <f>$BP223-$BP224</f>
        <v/>
      </c>
      <c r="ED223" s="56">
        <f>$BQ223-$BQ224</f>
        <v/>
      </c>
      <c r="EE223" s="56">
        <f>$BR223-$BR224</f>
        <v/>
      </c>
      <c r="EF223" s="56">
        <f>$BS223-$BS224</f>
        <v/>
      </c>
      <c r="EG223" s="56">
        <f>$BT223-$BT224</f>
        <v/>
      </c>
      <c r="EH223" s="56">
        <f>$BU223-$BU224</f>
        <v/>
      </c>
    </row>
    <row r="224">
      <c r="BV224" s="56">
        <f>($D224-$D225)*100</f>
        <v/>
      </c>
      <c r="BW224" s="56">
        <f>($C224-$C225)*100</f>
        <v/>
      </c>
      <c r="BX224" s="57">
        <f>IFERROR($I224/$I225-1,"")</f>
        <v/>
      </c>
      <c r="BY224" s="56">
        <f>($AF224-$AF225)*100</f>
        <v/>
      </c>
      <c r="BZ224" s="56">
        <f>($AG224-$AG225)*100</f>
        <v/>
      </c>
      <c r="CA224" s="56">
        <f>($AH224-$AH225)*100</f>
        <v/>
      </c>
      <c r="CB224" s="56">
        <f>($AI224-$AI225)*100</f>
        <v/>
      </c>
      <c r="CC224" s="56">
        <f>($AJ224-$AJ225)*100</f>
        <v/>
      </c>
      <c r="CD224" s="56">
        <f>($AK224-$AK225)*100</f>
        <v/>
      </c>
      <c r="CE224" s="56">
        <f>($AL224-$AL225)*100</f>
        <v/>
      </c>
      <c r="CF224" s="56">
        <f>($AM224-$AM225)*100</f>
        <v/>
      </c>
      <c r="CG224" s="56">
        <f>($AN224-$AN225)*100</f>
        <v/>
      </c>
      <c r="CH224" s="56">
        <f>($AO224-$AO225)*100</f>
        <v/>
      </c>
      <c r="CI224" s="56">
        <f>($AP224-$AP225)*100</f>
        <v/>
      </c>
      <c r="CJ224" s="56">
        <f>($AQ224-$AQ225)*100</f>
        <v/>
      </c>
      <c r="CK224" s="56">
        <f>($AR224-$AR225)*100</f>
        <v/>
      </c>
      <c r="CL224" s="56">
        <f>($AS224-$AS225)*100</f>
        <v/>
      </c>
      <c r="CM224" s="56">
        <f>($AT224-$AT225)*100</f>
        <v/>
      </c>
      <c r="CN224" s="56">
        <f>($AU224-$AU225)*100</f>
        <v/>
      </c>
      <c r="CO224" s="56">
        <f>($AV224-$AV225)*100</f>
        <v/>
      </c>
      <c r="CP224" s="56">
        <f>($AW224-$AW225)*100</f>
        <v/>
      </c>
      <c r="CQ224" s="56">
        <f>($AX224-$AX225)*100</f>
        <v/>
      </c>
      <c r="CR224" s="56">
        <f>($AY224-$AY225)*100</f>
        <v/>
      </c>
      <c r="CS224" s="57">
        <f>IFERROR($L225/$L224-1,"")</f>
        <v/>
      </c>
      <c r="CT224" s="57">
        <f>IFERROR($M225/$M224-1,"")</f>
        <v/>
      </c>
      <c r="CU224" s="57">
        <f>IFERROR($N225/$N224-1,"")</f>
        <v/>
      </c>
      <c r="CV224" s="57">
        <f>IFERROR($O225/$O224-1,"")</f>
        <v/>
      </c>
      <c r="CW224" s="57">
        <f>IFERROR($P225/$P224-1,"")</f>
        <v/>
      </c>
      <c r="CX224" s="57">
        <f>IFERROR($Q225/$Q224-1,"")</f>
        <v/>
      </c>
      <c r="CY224" s="57">
        <f>IFERROR($R225/$R224-1,"")</f>
        <v/>
      </c>
      <c r="CZ224" s="57">
        <f>IFERROR($S225/$S224-1,"")</f>
        <v/>
      </c>
      <c r="DA224" s="57">
        <f>IFERROR($T225/$T224-1,"")</f>
        <v/>
      </c>
      <c r="DB224" s="57">
        <f>IFERROR($U225/$U224-1,"")</f>
        <v/>
      </c>
      <c r="DC224" s="57">
        <f>IFERROR($V225/$V224-1,"")</f>
        <v/>
      </c>
      <c r="DD224" s="57">
        <f>IFERROR($W225/$W224-1,"")</f>
        <v/>
      </c>
      <c r="DE224" s="57">
        <f>IFERROR($X225/$X224-1,"")</f>
        <v/>
      </c>
      <c r="DF224" s="57">
        <f>IFERROR($Y225/$Y224-1,"")</f>
        <v/>
      </c>
      <c r="DG224" s="57">
        <f>IFERROR($Z225/$Z224-1,"")</f>
        <v/>
      </c>
      <c r="DH224" s="57">
        <f>IFERROR($AA225/$AA224-1,"")</f>
        <v/>
      </c>
      <c r="DI224" s="57">
        <f>IFERROR($AB225/$AB224-1,"")</f>
        <v/>
      </c>
      <c r="DJ224" s="57">
        <f>IFERROR($AC225/$AC224-1,"")</f>
        <v/>
      </c>
      <c r="DK224" s="57">
        <f>IFERROR($AD225/$AD224-1,"")</f>
        <v/>
      </c>
      <c r="DL224" s="57">
        <f>IFERROR($AE225/$AE224-1,"")</f>
        <v/>
      </c>
      <c r="DM224" s="56">
        <f>$AZ224-$AZ225</f>
        <v/>
      </c>
      <c r="DN224" s="56">
        <f>$BA224-$BA225</f>
        <v/>
      </c>
      <c r="DO224" s="56">
        <f>$BB224-$BB225</f>
        <v/>
      </c>
      <c r="DP224" s="56">
        <f>$BC224-$BC225</f>
        <v/>
      </c>
      <c r="DQ224" s="56">
        <f>$BD224-$BD225</f>
        <v/>
      </c>
      <c r="DR224" s="56">
        <f>$BE224-$BE225</f>
        <v/>
      </c>
      <c r="DS224" s="56">
        <f>$BF224-$BF225</f>
        <v/>
      </c>
      <c r="DT224" s="56">
        <f>$BG224-$BG225</f>
        <v/>
      </c>
      <c r="DU224" s="56">
        <f>$BH224-$BH225</f>
        <v/>
      </c>
      <c r="DV224" s="56">
        <f>$BI224-$BI225</f>
        <v/>
      </c>
      <c r="DW224" s="56">
        <f>$BJ224-$BJ225</f>
        <v/>
      </c>
      <c r="DX224" s="56">
        <f>$BK224-$BK225</f>
        <v/>
      </c>
      <c r="DY224" s="56">
        <f>$BL224-$BL225</f>
        <v/>
      </c>
      <c r="DZ224" s="56">
        <f>$BM224-$BM225</f>
        <v/>
      </c>
      <c r="EA224" s="56">
        <f>$BN224-$BN225</f>
        <v/>
      </c>
      <c r="EB224" s="56">
        <f>$BO224-$BO225</f>
        <v/>
      </c>
      <c r="EC224" s="56">
        <f>$BP224-$BP225</f>
        <v/>
      </c>
      <c r="ED224" s="56">
        <f>$BQ224-$BQ225</f>
        <v/>
      </c>
      <c r="EE224" s="56">
        <f>$BR224-$BR225</f>
        <v/>
      </c>
      <c r="EF224" s="56">
        <f>$BS224-$BS225</f>
        <v/>
      </c>
      <c r="EG224" s="56">
        <f>$BT224-$BT225</f>
        <v/>
      </c>
      <c r="EH224" s="56">
        <f>$BU224-$BU225</f>
        <v/>
      </c>
    </row>
    <row r="225">
      <c r="BV225" s="56">
        <f>($D225-$D226)*100</f>
        <v/>
      </c>
      <c r="BW225" s="56">
        <f>($C225-$C226)*100</f>
        <v/>
      </c>
      <c r="BX225" s="57">
        <f>IFERROR($I225/$I226-1,"")</f>
        <v/>
      </c>
      <c r="BY225" s="56">
        <f>($AF225-$AF226)*100</f>
        <v/>
      </c>
      <c r="BZ225" s="56">
        <f>($AG225-$AG226)*100</f>
        <v/>
      </c>
      <c r="CA225" s="56">
        <f>($AH225-$AH226)*100</f>
        <v/>
      </c>
      <c r="CB225" s="56">
        <f>($AI225-$AI226)*100</f>
        <v/>
      </c>
      <c r="CC225" s="56">
        <f>($AJ225-$AJ226)*100</f>
        <v/>
      </c>
      <c r="CD225" s="56">
        <f>($AK225-$AK226)*100</f>
        <v/>
      </c>
      <c r="CE225" s="56">
        <f>($AL225-$AL226)*100</f>
        <v/>
      </c>
      <c r="CF225" s="56">
        <f>($AM225-$AM226)*100</f>
        <v/>
      </c>
      <c r="CG225" s="56">
        <f>($AN225-$AN226)*100</f>
        <v/>
      </c>
      <c r="CH225" s="56">
        <f>($AO225-$AO226)*100</f>
        <v/>
      </c>
      <c r="CI225" s="56">
        <f>($AP225-$AP226)*100</f>
        <v/>
      </c>
      <c r="CJ225" s="56">
        <f>($AQ225-$AQ226)*100</f>
        <v/>
      </c>
      <c r="CK225" s="56">
        <f>($AR225-$AR226)*100</f>
        <v/>
      </c>
      <c r="CL225" s="56">
        <f>($AS225-$AS226)*100</f>
        <v/>
      </c>
      <c r="CM225" s="56">
        <f>($AT225-$AT226)*100</f>
        <v/>
      </c>
      <c r="CN225" s="56">
        <f>($AU225-$AU226)*100</f>
        <v/>
      </c>
      <c r="CO225" s="56">
        <f>($AV225-$AV226)*100</f>
        <v/>
      </c>
      <c r="CP225" s="56">
        <f>($AW225-$AW226)*100</f>
        <v/>
      </c>
      <c r="CQ225" s="56">
        <f>($AX225-$AX226)*100</f>
        <v/>
      </c>
      <c r="CR225" s="56">
        <f>($AY225-$AY226)*100</f>
        <v/>
      </c>
      <c r="CS225" s="57">
        <f>IFERROR($L226/$L225-1,"")</f>
        <v/>
      </c>
      <c r="CT225" s="57">
        <f>IFERROR($M226/$M225-1,"")</f>
        <v/>
      </c>
      <c r="CU225" s="57">
        <f>IFERROR($N226/$N225-1,"")</f>
        <v/>
      </c>
      <c r="CV225" s="57">
        <f>IFERROR($O226/$O225-1,"")</f>
        <v/>
      </c>
      <c r="CW225" s="57">
        <f>IFERROR($P226/$P225-1,"")</f>
        <v/>
      </c>
      <c r="CX225" s="57">
        <f>IFERROR($Q226/$Q225-1,"")</f>
        <v/>
      </c>
      <c r="CY225" s="57">
        <f>IFERROR($R226/$R225-1,"")</f>
        <v/>
      </c>
      <c r="CZ225" s="57">
        <f>IFERROR($S226/$S225-1,"")</f>
        <v/>
      </c>
      <c r="DA225" s="57">
        <f>IFERROR($T226/$T225-1,"")</f>
        <v/>
      </c>
      <c r="DB225" s="57">
        <f>IFERROR($U226/$U225-1,"")</f>
        <v/>
      </c>
      <c r="DC225" s="57">
        <f>IFERROR($V226/$V225-1,"")</f>
        <v/>
      </c>
      <c r="DD225" s="57">
        <f>IFERROR($W226/$W225-1,"")</f>
        <v/>
      </c>
      <c r="DE225" s="57">
        <f>IFERROR($X226/$X225-1,"")</f>
        <v/>
      </c>
      <c r="DF225" s="57">
        <f>IFERROR($Y226/$Y225-1,"")</f>
        <v/>
      </c>
      <c r="DG225" s="57">
        <f>IFERROR($Z226/$Z225-1,"")</f>
        <v/>
      </c>
      <c r="DH225" s="57">
        <f>IFERROR($AA226/$AA225-1,"")</f>
        <v/>
      </c>
      <c r="DI225" s="57">
        <f>IFERROR($AB226/$AB225-1,"")</f>
        <v/>
      </c>
      <c r="DJ225" s="57">
        <f>IFERROR($AC226/$AC225-1,"")</f>
        <v/>
      </c>
      <c r="DK225" s="57">
        <f>IFERROR($AD226/$AD225-1,"")</f>
        <v/>
      </c>
      <c r="DL225" s="57">
        <f>IFERROR($AE226/$AE225-1,"")</f>
        <v/>
      </c>
      <c r="DM225" s="56">
        <f>$AZ225-$AZ226</f>
        <v/>
      </c>
      <c r="DN225" s="56">
        <f>$BA225-$BA226</f>
        <v/>
      </c>
      <c r="DO225" s="56">
        <f>$BB225-$BB226</f>
        <v/>
      </c>
      <c r="DP225" s="56">
        <f>$BC225-$BC226</f>
        <v/>
      </c>
      <c r="DQ225" s="56">
        <f>$BD225-$BD226</f>
        <v/>
      </c>
      <c r="DR225" s="56">
        <f>$BE225-$BE226</f>
        <v/>
      </c>
      <c r="DS225" s="56">
        <f>$BF225-$BF226</f>
        <v/>
      </c>
      <c r="DT225" s="56">
        <f>$BG225-$BG226</f>
        <v/>
      </c>
      <c r="DU225" s="56">
        <f>$BH225-$BH226</f>
        <v/>
      </c>
      <c r="DV225" s="56">
        <f>$BI225-$BI226</f>
        <v/>
      </c>
      <c r="DW225" s="56">
        <f>$BJ225-$BJ226</f>
        <v/>
      </c>
      <c r="DX225" s="56">
        <f>$BK225-$BK226</f>
        <v/>
      </c>
      <c r="DY225" s="56">
        <f>$BL225-$BL226</f>
        <v/>
      </c>
      <c r="DZ225" s="56">
        <f>$BM225-$BM226</f>
        <v/>
      </c>
      <c r="EA225" s="56">
        <f>$BN225-$BN226</f>
        <v/>
      </c>
      <c r="EB225" s="56">
        <f>$BO225-$BO226</f>
        <v/>
      </c>
      <c r="EC225" s="56">
        <f>$BP225-$BP226</f>
        <v/>
      </c>
      <c r="ED225" s="56">
        <f>$BQ225-$BQ226</f>
        <v/>
      </c>
      <c r="EE225" s="56">
        <f>$BR225-$BR226</f>
        <v/>
      </c>
      <c r="EF225" s="56">
        <f>$BS225-$BS226</f>
        <v/>
      </c>
      <c r="EG225" s="56">
        <f>$BT225-$BT226</f>
        <v/>
      </c>
      <c r="EH225" s="56">
        <f>$BU225-$BU226</f>
        <v/>
      </c>
    </row>
    <row r="226">
      <c r="BV226" s="56">
        <f>($D226-$D227)*100</f>
        <v/>
      </c>
      <c r="BW226" s="56">
        <f>($C226-$C227)*100</f>
        <v/>
      </c>
      <c r="BX226" s="57">
        <f>IFERROR($I226/$I227-1,"")</f>
        <v/>
      </c>
      <c r="BY226" s="56">
        <f>($AF226-$AF227)*100</f>
        <v/>
      </c>
      <c r="BZ226" s="56">
        <f>($AG226-$AG227)*100</f>
        <v/>
      </c>
      <c r="CA226" s="56">
        <f>($AH226-$AH227)*100</f>
        <v/>
      </c>
      <c r="CB226" s="56">
        <f>($AI226-$AI227)*100</f>
        <v/>
      </c>
      <c r="CC226" s="56">
        <f>($AJ226-$AJ227)*100</f>
        <v/>
      </c>
      <c r="CD226" s="56">
        <f>($AK226-$AK227)*100</f>
        <v/>
      </c>
      <c r="CE226" s="56">
        <f>($AL226-$AL227)*100</f>
        <v/>
      </c>
      <c r="CF226" s="56">
        <f>($AM226-$AM227)*100</f>
        <v/>
      </c>
      <c r="CG226" s="56">
        <f>($AN226-$AN227)*100</f>
        <v/>
      </c>
      <c r="CH226" s="56">
        <f>($AO226-$AO227)*100</f>
        <v/>
      </c>
      <c r="CI226" s="56">
        <f>($AP226-$AP227)*100</f>
        <v/>
      </c>
      <c r="CJ226" s="56">
        <f>($AQ226-$AQ227)*100</f>
        <v/>
      </c>
      <c r="CK226" s="56">
        <f>($AR226-$AR227)*100</f>
        <v/>
      </c>
      <c r="CL226" s="56">
        <f>($AS226-$AS227)*100</f>
        <v/>
      </c>
      <c r="CM226" s="56">
        <f>($AT226-$AT227)*100</f>
        <v/>
      </c>
      <c r="CN226" s="56">
        <f>($AU226-$AU227)*100</f>
        <v/>
      </c>
      <c r="CO226" s="56">
        <f>($AV226-$AV227)*100</f>
        <v/>
      </c>
      <c r="CP226" s="56">
        <f>($AW226-$AW227)*100</f>
        <v/>
      </c>
      <c r="CQ226" s="56">
        <f>($AX226-$AX227)*100</f>
        <v/>
      </c>
      <c r="CR226" s="56">
        <f>($AY226-$AY227)*100</f>
        <v/>
      </c>
      <c r="CS226" s="57">
        <f>IFERROR($L227/$L226-1,"")</f>
        <v/>
      </c>
      <c r="CT226" s="57">
        <f>IFERROR($M227/$M226-1,"")</f>
        <v/>
      </c>
      <c r="CU226" s="57">
        <f>IFERROR($N227/$N226-1,"")</f>
        <v/>
      </c>
      <c r="CV226" s="57">
        <f>IFERROR($O227/$O226-1,"")</f>
        <v/>
      </c>
      <c r="CW226" s="57">
        <f>IFERROR($P227/$P226-1,"")</f>
        <v/>
      </c>
      <c r="CX226" s="57">
        <f>IFERROR($Q227/$Q226-1,"")</f>
        <v/>
      </c>
      <c r="CY226" s="57">
        <f>IFERROR($R227/$R226-1,"")</f>
        <v/>
      </c>
      <c r="CZ226" s="57">
        <f>IFERROR($S227/$S226-1,"")</f>
        <v/>
      </c>
      <c r="DA226" s="57">
        <f>IFERROR($T227/$T226-1,"")</f>
        <v/>
      </c>
      <c r="DB226" s="57">
        <f>IFERROR($U227/$U226-1,"")</f>
        <v/>
      </c>
      <c r="DC226" s="57">
        <f>IFERROR($V227/$V226-1,"")</f>
        <v/>
      </c>
      <c r="DD226" s="57">
        <f>IFERROR($W227/$W226-1,"")</f>
        <v/>
      </c>
      <c r="DE226" s="57">
        <f>IFERROR($X227/$X226-1,"")</f>
        <v/>
      </c>
      <c r="DF226" s="57">
        <f>IFERROR($Y227/$Y226-1,"")</f>
        <v/>
      </c>
      <c r="DG226" s="57">
        <f>IFERROR($Z227/$Z226-1,"")</f>
        <v/>
      </c>
      <c r="DH226" s="57">
        <f>IFERROR($AA227/$AA226-1,"")</f>
        <v/>
      </c>
      <c r="DI226" s="57">
        <f>IFERROR($AB227/$AB226-1,"")</f>
        <v/>
      </c>
      <c r="DJ226" s="57">
        <f>IFERROR($AC227/$AC226-1,"")</f>
        <v/>
      </c>
      <c r="DK226" s="57">
        <f>IFERROR($AD227/$AD226-1,"")</f>
        <v/>
      </c>
      <c r="DL226" s="57">
        <f>IFERROR($AE227/$AE226-1,"")</f>
        <v/>
      </c>
      <c r="DM226" s="56">
        <f>$AZ226-$AZ227</f>
        <v/>
      </c>
      <c r="DN226" s="56">
        <f>$BA226-$BA227</f>
        <v/>
      </c>
      <c r="DO226" s="56">
        <f>$BB226-$BB227</f>
        <v/>
      </c>
      <c r="DP226" s="56">
        <f>$BC226-$BC227</f>
        <v/>
      </c>
      <c r="DQ226" s="56">
        <f>$BD226-$BD227</f>
        <v/>
      </c>
      <c r="DR226" s="56">
        <f>$BE226-$BE227</f>
        <v/>
      </c>
      <c r="DS226" s="56">
        <f>$BF226-$BF227</f>
        <v/>
      </c>
      <c r="DT226" s="56">
        <f>$BG226-$BG227</f>
        <v/>
      </c>
      <c r="DU226" s="56">
        <f>$BH226-$BH227</f>
        <v/>
      </c>
      <c r="DV226" s="56">
        <f>$BI226-$BI227</f>
        <v/>
      </c>
      <c r="DW226" s="56">
        <f>$BJ226-$BJ227</f>
        <v/>
      </c>
      <c r="DX226" s="56">
        <f>$BK226-$BK227</f>
        <v/>
      </c>
      <c r="DY226" s="56">
        <f>$BL226-$BL227</f>
        <v/>
      </c>
      <c r="DZ226" s="56">
        <f>$BM226-$BM227</f>
        <v/>
      </c>
      <c r="EA226" s="56">
        <f>$BN226-$BN227</f>
        <v/>
      </c>
      <c r="EB226" s="56">
        <f>$BO226-$BO227</f>
        <v/>
      </c>
      <c r="EC226" s="56">
        <f>$BP226-$BP227</f>
        <v/>
      </c>
      <c r="ED226" s="56">
        <f>$BQ226-$BQ227</f>
        <v/>
      </c>
      <c r="EE226" s="56">
        <f>$BR226-$BR227</f>
        <v/>
      </c>
      <c r="EF226" s="56">
        <f>$BS226-$BS227</f>
        <v/>
      </c>
      <c r="EG226" s="56">
        <f>$BT226-$BT227</f>
        <v/>
      </c>
      <c r="EH226" s="56">
        <f>$BU226-$BU227</f>
        <v/>
      </c>
    </row>
    <row r="227">
      <c r="BV227" s="56">
        <f>($D227-$D228)*100</f>
        <v/>
      </c>
      <c r="BW227" s="56">
        <f>($C227-$C228)*100</f>
        <v/>
      </c>
      <c r="BX227" s="57">
        <f>IFERROR($I227/$I228-1,"")</f>
        <v/>
      </c>
      <c r="BY227" s="56">
        <f>($AF227-$AF228)*100</f>
        <v/>
      </c>
      <c r="BZ227" s="56">
        <f>($AG227-$AG228)*100</f>
        <v/>
      </c>
      <c r="CA227" s="56">
        <f>($AH227-$AH228)*100</f>
        <v/>
      </c>
      <c r="CB227" s="56">
        <f>($AI227-$AI228)*100</f>
        <v/>
      </c>
      <c r="CC227" s="56">
        <f>($AJ227-$AJ228)*100</f>
        <v/>
      </c>
      <c r="CD227" s="56">
        <f>($AK227-$AK228)*100</f>
        <v/>
      </c>
      <c r="CE227" s="56">
        <f>($AL227-$AL228)*100</f>
        <v/>
      </c>
      <c r="CF227" s="56">
        <f>($AM227-$AM228)*100</f>
        <v/>
      </c>
      <c r="CG227" s="56">
        <f>($AN227-$AN228)*100</f>
        <v/>
      </c>
      <c r="CH227" s="56">
        <f>($AO227-$AO228)*100</f>
        <v/>
      </c>
      <c r="CI227" s="56">
        <f>($AP227-$AP228)*100</f>
        <v/>
      </c>
      <c r="CJ227" s="56">
        <f>($AQ227-$AQ228)*100</f>
        <v/>
      </c>
      <c r="CK227" s="56">
        <f>($AR227-$AR228)*100</f>
        <v/>
      </c>
      <c r="CL227" s="56">
        <f>($AS227-$AS228)*100</f>
        <v/>
      </c>
      <c r="CM227" s="56">
        <f>($AT227-$AT228)*100</f>
        <v/>
      </c>
      <c r="CN227" s="56">
        <f>($AU227-$AU228)*100</f>
        <v/>
      </c>
      <c r="CO227" s="56">
        <f>($AV227-$AV228)*100</f>
        <v/>
      </c>
      <c r="CP227" s="56">
        <f>($AW227-$AW228)*100</f>
        <v/>
      </c>
      <c r="CQ227" s="56">
        <f>($AX227-$AX228)*100</f>
        <v/>
      </c>
      <c r="CR227" s="56">
        <f>($AY227-$AY228)*100</f>
        <v/>
      </c>
      <c r="CS227" s="57">
        <f>IFERROR($L228/$L227-1,"")</f>
        <v/>
      </c>
      <c r="CT227" s="57">
        <f>IFERROR($M228/$M227-1,"")</f>
        <v/>
      </c>
      <c r="CU227" s="57">
        <f>IFERROR($N228/$N227-1,"")</f>
        <v/>
      </c>
      <c r="CV227" s="57">
        <f>IFERROR($O228/$O227-1,"")</f>
        <v/>
      </c>
      <c r="CW227" s="57">
        <f>IFERROR($P228/$P227-1,"")</f>
        <v/>
      </c>
      <c r="CX227" s="57">
        <f>IFERROR($Q228/$Q227-1,"")</f>
        <v/>
      </c>
      <c r="CY227" s="57">
        <f>IFERROR($R228/$R227-1,"")</f>
        <v/>
      </c>
      <c r="CZ227" s="57">
        <f>IFERROR($S228/$S227-1,"")</f>
        <v/>
      </c>
      <c r="DA227" s="57">
        <f>IFERROR($T228/$T227-1,"")</f>
        <v/>
      </c>
      <c r="DB227" s="57">
        <f>IFERROR($U228/$U227-1,"")</f>
        <v/>
      </c>
      <c r="DC227" s="57">
        <f>IFERROR($V228/$V227-1,"")</f>
        <v/>
      </c>
      <c r="DD227" s="57">
        <f>IFERROR($W228/$W227-1,"")</f>
        <v/>
      </c>
      <c r="DE227" s="57">
        <f>IFERROR($X228/$X227-1,"")</f>
        <v/>
      </c>
      <c r="DF227" s="57">
        <f>IFERROR($Y228/$Y227-1,"")</f>
        <v/>
      </c>
      <c r="DG227" s="57">
        <f>IFERROR($Z228/$Z227-1,"")</f>
        <v/>
      </c>
      <c r="DH227" s="57">
        <f>IFERROR($AA228/$AA227-1,"")</f>
        <v/>
      </c>
      <c r="DI227" s="57">
        <f>IFERROR($AB228/$AB227-1,"")</f>
        <v/>
      </c>
      <c r="DJ227" s="57">
        <f>IFERROR($AC228/$AC227-1,"")</f>
        <v/>
      </c>
      <c r="DK227" s="57">
        <f>IFERROR($AD228/$AD227-1,"")</f>
        <v/>
      </c>
      <c r="DL227" s="57">
        <f>IFERROR($AE228/$AE227-1,"")</f>
        <v/>
      </c>
      <c r="DM227" s="56">
        <f>$AZ227-$AZ228</f>
        <v/>
      </c>
      <c r="DN227" s="56">
        <f>$BA227-$BA228</f>
        <v/>
      </c>
      <c r="DO227" s="56">
        <f>$BB227-$BB228</f>
        <v/>
      </c>
      <c r="DP227" s="56">
        <f>$BC227-$BC228</f>
        <v/>
      </c>
      <c r="DQ227" s="56">
        <f>$BD227-$BD228</f>
        <v/>
      </c>
      <c r="DR227" s="56">
        <f>$BE227-$BE228</f>
        <v/>
      </c>
      <c r="DS227" s="56">
        <f>$BF227-$BF228</f>
        <v/>
      </c>
      <c r="DT227" s="56">
        <f>$BG227-$BG228</f>
        <v/>
      </c>
      <c r="DU227" s="56">
        <f>$BH227-$BH228</f>
        <v/>
      </c>
      <c r="DV227" s="56">
        <f>$BI227-$BI228</f>
        <v/>
      </c>
      <c r="DW227" s="56">
        <f>$BJ227-$BJ228</f>
        <v/>
      </c>
      <c r="DX227" s="56">
        <f>$BK227-$BK228</f>
        <v/>
      </c>
      <c r="DY227" s="56">
        <f>$BL227-$BL228</f>
        <v/>
      </c>
      <c r="DZ227" s="56">
        <f>$BM227-$BM228</f>
        <v/>
      </c>
      <c r="EA227" s="56">
        <f>$BN227-$BN228</f>
        <v/>
      </c>
      <c r="EB227" s="56">
        <f>$BO227-$BO228</f>
        <v/>
      </c>
      <c r="EC227" s="56">
        <f>$BP227-$BP228</f>
        <v/>
      </c>
      <c r="ED227" s="56">
        <f>$BQ227-$BQ228</f>
        <v/>
      </c>
      <c r="EE227" s="56">
        <f>$BR227-$BR228</f>
        <v/>
      </c>
      <c r="EF227" s="56">
        <f>$BS227-$BS228</f>
        <v/>
      </c>
      <c r="EG227" s="56">
        <f>$BT227-$BT228</f>
        <v/>
      </c>
      <c r="EH227" s="56">
        <f>$BU227-$BU228</f>
        <v/>
      </c>
    </row>
    <row r="228">
      <c r="BV228" s="56">
        <f>($D228-$D229)*100</f>
        <v/>
      </c>
      <c r="BW228" s="56">
        <f>($C228-$C229)*100</f>
        <v/>
      </c>
      <c r="BX228" s="57">
        <f>IFERROR($I228/$I229-1,"")</f>
        <v/>
      </c>
      <c r="BY228" s="56">
        <f>($AF228-$AF229)*100</f>
        <v/>
      </c>
      <c r="BZ228" s="56">
        <f>($AG228-$AG229)*100</f>
        <v/>
      </c>
      <c r="CA228" s="56">
        <f>($AH228-$AH229)*100</f>
        <v/>
      </c>
      <c r="CB228" s="56">
        <f>($AI228-$AI229)*100</f>
        <v/>
      </c>
      <c r="CC228" s="56">
        <f>($AJ228-$AJ229)*100</f>
        <v/>
      </c>
      <c r="CD228" s="56">
        <f>($AK228-$AK229)*100</f>
        <v/>
      </c>
      <c r="CE228" s="56">
        <f>($AL228-$AL229)*100</f>
        <v/>
      </c>
      <c r="CF228" s="56">
        <f>($AM228-$AM229)*100</f>
        <v/>
      </c>
      <c r="CG228" s="56">
        <f>($AN228-$AN229)*100</f>
        <v/>
      </c>
      <c r="CH228" s="56">
        <f>($AO228-$AO229)*100</f>
        <v/>
      </c>
      <c r="CI228" s="56">
        <f>($AP228-$AP229)*100</f>
        <v/>
      </c>
      <c r="CJ228" s="56">
        <f>($AQ228-$AQ229)*100</f>
        <v/>
      </c>
      <c r="CK228" s="56">
        <f>($AR228-$AR229)*100</f>
        <v/>
      </c>
      <c r="CL228" s="56">
        <f>($AS228-$AS229)*100</f>
        <v/>
      </c>
      <c r="CM228" s="56">
        <f>($AT228-$AT229)*100</f>
        <v/>
      </c>
      <c r="CN228" s="56">
        <f>($AU228-$AU229)*100</f>
        <v/>
      </c>
      <c r="CO228" s="56">
        <f>($AV228-$AV229)*100</f>
        <v/>
      </c>
      <c r="CP228" s="56">
        <f>($AW228-$AW229)*100</f>
        <v/>
      </c>
      <c r="CQ228" s="56">
        <f>($AX228-$AX229)*100</f>
        <v/>
      </c>
      <c r="CR228" s="56">
        <f>($AY228-$AY229)*100</f>
        <v/>
      </c>
      <c r="CS228" s="57">
        <f>IFERROR($L229/$L228-1,"")</f>
        <v/>
      </c>
      <c r="CT228" s="57">
        <f>IFERROR($M229/$M228-1,"")</f>
        <v/>
      </c>
      <c r="CU228" s="57">
        <f>IFERROR($N229/$N228-1,"")</f>
        <v/>
      </c>
      <c r="CV228" s="57">
        <f>IFERROR($O229/$O228-1,"")</f>
        <v/>
      </c>
      <c r="CW228" s="57">
        <f>IFERROR($P229/$P228-1,"")</f>
        <v/>
      </c>
      <c r="CX228" s="57">
        <f>IFERROR($Q229/$Q228-1,"")</f>
        <v/>
      </c>
      <c r="CY228" s="57">
        <f>IFERROR($R229/$R228-1,"")</f>
        <v/>
      </c>
      <c r="CZ228" s="57">
        <f>IFERROR($S229/$S228-1,"")</f>
        <v/>
      </c>
      <c r="DA228" s="57">
        <f>IFERROR($T229/$T228-1,"")</f>
        <v/>
      </c>
      <c r="DB228" s="57">
        <f>IFERROR($U229/$U228-1,"")</f>
        <v/>
      </c>
      <c r="DC228" s="57">
        <f>IFERROR($V229/$V228-1,"")</f>
        <v/>
      </c>
      <c r="DD228" s="57">
        <f>IFERROR($W229/$W228-1,"")</f>
        <v/>
      </c>
      <c r="DE228" s="57">
        <f>IFERROR($X229/$X228-1,"")</f>
        <v/>
      </c>
      <c r="DF228" s="57">
        <f>IFERROR($Y229/$Y228-1,"")</f>
        <v/>
      </c>
      <c r="DG228" s="57">
        <f>IFERROR($Z229/$Z228-1,"")</f>
        <v/>
      </c>
      <c r="DH228" s="57">
        <f>IFERROR($AA229/$AA228-1,"")</f>
        <v/>
      </c>
      <c r="DI228" s="57">
        <f>IFERROR($AB229/$AB228-1,"")</f>
        <v/>
      </c>
      <c r="DJ228" s="57">
        <f>IFERROR($AC229/$AC228-1,"")</f>
        <v/>
      </c>
      <c r="DK228" s="57">
        <f>IFERROR($AD229/$AD228-1,"")</f>
        <v/>
      </c>
      <c r="DL228" s="57">
        <f>IFERROR($AE229/$AE228-1,"")</f>
        <v/>
      </c>
      <c r="DM228" s="56">
        <f>$AZ228-$AZ229</f>
        <v/>
      </c>
      <c r="DN228" s="56">
        <f>$BA228-$BA229</f>
        <v/>
      </c>
      <c r="DO228" s="56">
        <f>$BB228-$BB229</f>
        <v/>
      </c>
      <c r="DP228" s="56">
        <f>$BC228-$BC229</f>
        <v/>
      </c>
      <c r="DQ228" s="56">
        <f>$BD228-$BD229</f>
        <v/>
      </c>
      <c r="DR228" s="56">
        <f>$BE228-$BE229</f>
        <v/>
      </c>
      <c r="DS228" s="56">
        <f>$BF228-$BF229</f>
        <v/>
      </c>
      <c r="DT228" s="56">
        <f>$BG228-$BG229</f>
        <v/>
      </c>
      <c r="DU228" s="56">
        <f>$BH228-$BH229</f>
        <v/>
      </c>
      <c r="DV228" s="56">
        <f>$BI228-$BI229</f>
        <v/>
      </c>
      <c r="DW228" s="56">
        <f>$BJ228-$BJ229</f>
        <v/>
      </c>
      <c r="DX228" s="56">
        <f>$BK228-$BK229</f>
        <v/>
      </c>
      <c r="DY228" s="56">
        <f>$BL228-$BL229</f>
        <v/>
      </c>
      <c r="DZ228" s="56">
        <f>$BM228-$BM229</f>
        <v/>
      </c>
      <c r="EA228" s="56">
        <f>$BN228-$BN229</f>
        <v/>
      </c>
      <c r="EB228" s="56">
        <f>$BO228-$BO229</f>
        <v/>
      </c>
      <c r="EC228" s="56">
        <f>$BP228-$BP229</f>
        <v/>
      </c>
      <c r="ED228" s="56">
        <f>$BQ228-$BQ229</f>
        <v/>
      </c>
      <c r="EE228" s="56">
        <f>$BR228-$BR229</f>
        <v/>
      </c>
      <c r="EF228" s="56">
        <f>$BS228-$BS229</f>
        <v/>
      </c>
      <c r="EG228" s="56">
        <f>$BT228-$BT229</f>
        <v/>
      </c>
      <c r="EH228" s="56">
        <f>$BU228-$BU229</f>
        <v/>
      </c>
    </row>
    <row r="229">
      <c r="BV229" s="56">
        <f>($D229-$D230)*100</f>
        <v/>
      </c>
      <c r="BW229" s="56">
        <f>($C229-$C230)*100</f>
        <v/>
      </c>
      <c r="BX229" s="57">
        <f>IFERROR($I229/$I230-1,"")</f>
        <v/>
      </c>
      <c r="BY229" s="56">
        <f>($AF229-$AF230)*100</f>
        <v/>
      </c>
      <c r="BZ229" s="56">
        <f>($AG229-$AG230)*100</f>
        <v/>
      </c>
      <c r="CA229" s="56">
        <f>($AH229-$AH230)*100</f>
        <v/>
      </c>
      <c r="CB229" s="56">
        <f>($AI229-$AI230)*100</f>
        <v/>
      </c>
      <c r="CC229" s="56">
        <f>($AJ229-$AJ230)*100</f>
        <v/>
      </c>
      <c r="CD229" s="56">
        <f>($AK229-$AK230)*100</f>
        <v/>
      </c>
      <c r="CE229" s="56">
        <f>($AL229-$AL230)*100</f>
        <v/>
      </c>
      <c r="CF229" s="56">
        <f>($AM229-$AM230)*100</f>
        <v/>
      </c>
      <c r="CG229" s="56">
        <f>($AN229-$AN230)*100</f>
        <v/>
      </c>
      <c r="CH229" s="56">
        <f>($AO229-$AO230)*100</f>
        <v/>
      </c>
      <c r="CI229" s="56">
        <f>($AP229-$AP230)*100</f>
        <v/>
      </c>
      <c r="CJ229" s="56">
        <f>($AQ229-$AQ230)*100</f>
        <v/>
      </c>
      <c r="CK229" s="56">
        <f>($AR229-$AR230)*100</f>
        <v/>
      </c>
      <c r="CL229" s="56">
        <f>($AS229-$AS230)*100</f>
        <v/>
      </c>
      <c r="CM229" s="56">
        <f>($AT229-$AT230)*100</f>
        <v/>
      </c>
      <c r="CN229" s="56">
        <f>($AU229-$AU230)*100</f>
        <v/>
      </c>
      <c r="CO229" s="56">
        <f>($AV229-$AV230)*100</f>
        <v/>
      </c>
      <c r="CP229" s="56">
        <f>($AW229-$AW230)*100</f>
        <v/>
      </c>
      <c r="CQ229" s="56">
        <f>($AX229-$AX230)*100</f>
        <v/>
      </c>
      <c r="CR229" s="56">
        <f>($AY229-$AY230)*100</f>
        <v/>
      </c>
      <c r="CS229" s="57">
        <f>IFERROR($L230/$L229-1,"")</f>
        <v/>
      </c>
      <c r="CT229" s="57">
        <f>IFERROR($M230/$M229-1,"")</f>
        <v/>
      </c>
      <c r="CU229" s="57">
        <f>IFERROR($N230/$N229-1,"")</f>
        <v/>
      </c>
      <c r="CV229" s="57">
        <f>IFERROR($O230/$O229-1,"")</f>
        <v/>
      </c>
      <c r="CW229" s="57">
        <f>IFERROR($P230/$P229-1,"")</f>
        <v/>
      </c>
      <c r="CX229" s="57">
        <f>IFERROR($Q230/$Q229-1,"")</f>
        <v/>
      </c>
      <c r="CY229" s="57">
        <f>IFERROR($R230/$R229-1,"")</f>
        <v/>
      </c>
      <c r="CZ229" s="57">
        <f>IFERROR($S230/$S229-1,"")</f>
        <v/>
      </c>
      <c r="DA229" s="57">
        <f>IFERROR($T230/$T229-1,"")</f>
        <v/>
      </c>
      <c r="DB229" s="57">
        <f>IFERROR($U230/$U229-1,"")</f>
        <v/>
      </c>
      <c r="DC229" s="57">
        <f>IFERROR($V230/$V229-1,"")</f>
        <v/>
      </c>
      <c r="DD229" s="57">
        <f>IFERROR($W230/$W229-1,"")</f>
        <v/>
      </c>
      <c r="DE229" s="57">
        <f>IFERROR($X230/$X229-1,"")</f>
        <v/>
      </c>
      <c r="DF229" s="57">
        <f>IFERROR($Y230/$Y229-1,"")</f>
        <v/>
      </c>
      <c r="DG229" s="57">
        <f>IFERROR($Z230/$Z229-1,"")</f>
        <v/>
      </c>
      <c r="DH229" s="57">
        <f>IFERROR($AA230/$AA229-1,"")</f>
        <v/>
      </c>
      <c r="DI229" s="57">
        <f>IFERROR($AB230/$AB229-1,"")</f>
        <v/>
      </c>
      <c r="DJ229" s="57">
        <f>IFERROR($AC230/$AC229-1,"")</f>
        <v/>
      </c>
      <c r="DK229" s="57">
        <f>IFERROR($AD230/$AD229-1,"")</f>
        <v/>
      </c>
      <c r="DL229" s="57">
        <f>IFERROR($AE230/$AE229-1,"")</f>
        <v/>
      </c>
      <c r="DM229" s="56">
        <f>$AZ229-$AZ230</f>
        <v/>
      </c>
      <c r="DN229" s="56">
        <f>$BA229-$BA230</f>
        <v/>
      </c>
      <c r="DO229" s="56">
        <f>$BB229-$BB230</f>
        <v/>
      </c>
      <c r="DP229" s="56">
        <f>$BC229-$BC230</f>
        <v/>
      </c>
      <c r="DQ229" s="56">
        <f>$BD229-$BD230</f>
        <v/>
      </c>
      <c r="DR229" s="56">
        <f>$BE229-$BE230</f>
        <v/>
      </c>
      <c r="DS229" s="56">
        <f>$BF229-$BF230</f>
        <v/>
      </c>
      <c r="DT229" s="56">
        <f>$BG229-$BG230</f>
        <v/>
      </c>
      <c r="DU229" s="56">
        <f>$BH229-$BH230</f>
        <v/>
      </c>
      <c r="DV229" s="56">
        <f>$BI229-$BI230</f>
        <v/>
      </c>
      <c r="DW229" s="56">
        <f>$BJ229-$BJ230</f>
        <v/>
      </c>
      <c r="DX229" s="56">
        <f>$BK229-$BK230</f>
        <v/>
      </c>
      <c r="DY229" s="56">
        <f>$BL229-$BL230</f>
        <v/>
      </c>
      <c r="DZ229" s="56">
        <f>$BM229-$BM230</f>
        <v/>
      </c>
      <c r="EA229" s="56">
        <f>$BN229-$BN230</f>
        <v/>
      </c>
      <c r="EB229" s="56">
        <f>$BO229-$BO230</f>
        <v/>
      </c>
      <c r="EC229" s="56">
        <f>$BP229-$BP230</f>
        <v/>
      </c>
      <c r="ED229" s="56">
        <f>$BQ229-$BQ230</f>
        <v/>
      </c>
      <c r="EE229" s="56">
        <f>$BR229-$BR230</f>
        <v/>
      </c>
      <c r="EF229" s="56">
        <f>$BS229-$BS230</f>
        <v/>
      </c>
      <c r="EG229" s="56">
        <f>$BT229-$BT230</f>
        <v/>
      </c>
      <c r="EH229" s="56">
        <f>$BU229-$BU230</f>
        <v/>
      </c>
    </row>
    <row r="230">
      <c r="BV230" s="56">
        <f>($D230-$D231)*100</f>
        <v/>
      </c>
      <c r="BW230" s="56">
        <f>($C230-$C231)*100</f>
        <v/>
      </c>
      <c r="BX230" s="57">
        <f>IFERROR($I230/$I231-1,"")</f>
        <v/>
      </c>
      <c r="BY230" s="56">
        <f>($AF230-$AF231)*100</f>
        <v/>
      </c>
      <c r="BZ230" s="56">
        <f>($AG230-$AG231)*100</f>
        <v/>
      </c>
      <c r="CA230" s="56">
        <f>($AH230-$AH231)*100</f>
        <v/>
      </c>
      <c r="CB230" s="56">
        <f>($AI230-$AI231)*100</f>
        <v/>
      </c>
      <c r="CC230" s="56">
        <f>($AJ230-$AJ231)*100</f>
        <v/>
      </c>
      <c r="CD230" s="56">
        <f>($AK230-$AK231)*100</f>
        <v/>
      </c>
      <c r="CE230" s="56">
        <f>($AL230-$AL231)*100</f>
        <v/>
      </c>
      <c r="CF230" s="56">
        <f>($AM230-$AM231)*100</f>
        <v/>
      </c>
      <c r="CG230" s="56">
        <f>($AN230-$AN231)*100</f>
        <v/>
      </c>
      <c r="CH230" s="56">
        <f>($AO230-$AO231)*100</f>
        <v/>
      </c>
      <c r="CI230" s="56">
        <f>($AP230-$AP231)*100</f>
        <v/>
      </c>
      <c r="CJ230" s="56">
        <f>($AQ230-$AQ231)*100</f>
        <v/>
      </c>
      <c r="CK230" s="56">
        <f>($AR230-$AR231)*100</f>
        <v/>
      </c>
      <c r="CL230" s="56">
        <f>($AS230-$AS231)*100</f>
        <v/>
      </c>
      <c r="CM230" s="56">
        <f>($AT230-$AT231)*100</f>
        <v/>
      </c>
      <c r="CN230" s="56">
        <f>($AU230-$AU231)*100</f>
        <v/>
      </c>
      <c r="CO230" s="56">
        <f>($AV230-$AV231)*100</f>
        <v/>
      </c>
      <c r="CP230" s="56">
        <f>($AW230-$AW231)*100</f>
        <v/>
      </c>
      <c r="CQ230" s="56">
        <f>($AX230-$AX231)*100</f>
        <v/>
      </c>
      <c r="CR230" s="56">
        <f>($AY230-$AY231)*100</f>
        <v/>
      </c>
      <c r="CS230" s="57">
        <f>IFERROR($L231/$L230-1,"")</f>
        <v/>
      </c>
      <c r="CT230" s="57">
        <f>IFERROR($M231/$M230-1,"")</f>
        <v/>
      </c>
      <c r="CU230" s="57">
        <f>IFERROR($N231/$N230-1,"")</f>
        <v/>
      </c>
      <c r="CV230" s="57">
        <f>IFERROR($O231/$O230-1,"")</f>
        <v/>
      </c>
      <c r="CW230" s="57">
        <f>IFERROR($P231/$P230-1,"")</f>
        <v/>
      </c>
      <c r="CX230" s="57">
        <f>IFERROR($Q231/$Q230-1,"")</f>
        <v/>
      </c>
      <c r="CY230" s="57">
        <f>IFERROR($R231/$R230-1,"")</f>
        <v/>
      </c>
      <c r="CZ230" s="57">
        <f>IFERROR($S231/$S230-1,"")</f>
        <v/>
      </c>
      <c r="DA230" s="57">
        <f>IFERROR($T231/$T230-1,"")</f>
        <v/>
      </c>
      <c r="DB230" s="57">
        <f>IFERROR($U231/$U230-1,"")</f>
        <v/>
      </c>
      <c r="DC230" s="57">
        <f>IFERROR($V231/$V230-1,"")</f>
        <v/>
      </c>
      <c r="DD230" s="57">
        <f>IFERROR($W231/$W230-1,"")</f>
        <v/>
      </c>
      <c r="DE230" s="57">
        <f>IFERROR($X231/$X230-1,"")</f>
        <v/>
      </c>
      <c r="DF230" s="57">
        <f>IFERROR($Y231/$Y230-1,"")</f>
        <v/>
      </c>
      <c r="DG230" s="57">
        <f>IFERROR($Z231/$Z230-1,"")</f>
        <v/>
      </c>
      <c r="DH230" s="57">
        <f>IFERROR($AA231/$AA230-1,"")</f>
        <v/>
      </c>
      <c r="DI230" s="57">
        <f>IFERROR($AB231/$AB230-1,"")</f>
        <v/>
      </c>
      <c r="DJ230" s="57">
        <f>IFERROR($AC231/$AC230-1,"")</f>
        <v/>
      </c>
      <c r="DK230" s="57">
        <f>IFERROR($AD231/$AD230-1,"")</f>
        <v/>
      </c>
      <c r="DL230" s="57">
        <f>IFERROR($AE231/$AE230-1,"")</f>
        <v/>
      </c>
      <c r="DM230" s="56">
        <f>$AZ230-$AZ231</f>
        <v/>
      </c>
      <c r="DN230" s="56">
        <f>$BA230-$BA231</f>
        <v/>
      </c>
      <c r="DO230" s="56">
        <f>$BB230-$BB231</f>
        <v/>
      </c>
      <c r="DP230" s="56">
        <f>$BC230-$BC231</f>
        <v/>
      </c>
      <c r="DQ230" s="56">
        <f>$BD230-$BD231</f>
        <v/>
      </c>
      <c r="DR230" s="56">
        <f>$BE230-$BE231</f>
        <v/>
      </c>
      <c r="DS230" s="56">
        <f>$BF230-$BF231</f>
        <v/>
      </c>
      <c r="DT230" s="56">
        <f>$BG230-$BG231</f>
        <v/>
      </c>
      <c r="DU230" s="56">
        <f>$BH230-$BH231</f>
        <v/>
      </c>
      <c r="DV230" s="56">
        <f>$BI230-$BI231</f>
        <v/>
      </c>
      <c r="DW230" s="56">
        <f>$BJ230-$BJ231</f>
        <v/>
      </c>
      <c r="DX230" s="56">
        <f>$BK230-$BK231</f>
        <v/>
      </c>
      <c r="DY230" s="56">
        <f>$BL230-$BL231</f>
        <v/>
      </c>
      <c r="DZ230" s="56">
        <f>$BM230-$BM231</f>
        <v/>
      </c>
      <c r="EA230" s="56">
        <f>$BN230-$BN231</f>
        <v/>
      </c>
      <c r="EB230" s="56">
        <f>$BO230-$BO231</f>
        <v/>
      </c>
      <c r="EC230" s="56">
        <f>$BP230-$BP231</f>
        <v/>
      </c>
      <c r="ED230" s="56">
        <f>$BQ230-$BQ231</f>
        <v/>
      </c>
      <c r="EE230" s="56">
        <f>$BR230-$BR231</f>
        <v/>
      </c>
      <c r="EF230" s="56">
        <f>$BS230-$BS231</f>
        <v/>
      </c>
      <c r="EG230" s="56">
        <f>$BT230-$BT231</f>
        <v/>
      </c>
      <c r="EH230" s="56">
        <f>$BU230-$BU231</f>
        <v/>
      </c>
    </row>
    <row r="231">
      <c r="BV231" s="56">
        <f>($D231-$D232)*100</f>
        <v/>
      </c>
      <c r="BW231" s="56">
        <f>($C231-$C232)*100</f>
        <v/>
      </c>
      <c r="BX231" s="57">
        <f>IFERROR($I231/$I232-1,"")</f>
        <v/>
      </c>
      <c r="BY231" s="56">
        <f>($AF231-$AF232)*100</f>
        <v/>
      </c>
      <c r="BZ231" s="56">
        <f>($AG231-$AG232)*100</f>
        <v/>
      </c>
      <c r="CA231" s="56">
        <f>($AH231-$AH232)*100</f>
        <v/>
      </c>
      <c r="CB231" s="56">
        <f>($AI231-$AI232)*100</f>
        <v/>
      </c>
      <c r="CC231" s="56">
        <f>($AJ231-$AJ232)*100</f>
        <v/>
      </c>
      <c r="CD231" s="56">
        <f>($AK231-$AK232)*100</f>
        <v/>
      </c>
      <c r="CE231" s="56">
        <f>($AL231-$AL232)*100</f>
        <v/>
      </c>
      <c r="CF231" s="56">
        <f>($AM231-$AM232)*100</f>
        <v/>
      </c>
      <c r="CG231" s="56">
        <f>($AN231-$AN232)*100</f>
        <v/>
      </c>
      <c r="CH231" s="56">
        <f>($AO231-$AO232)*100</f>
        <v/>
      </c>
      <c r="CI231" s="56">
        <f>($AP231-$AP232)*100</f>
        <v/>
      </c>
      <c r="CJ231" s="56">
        <f>($AQ231-$AQ232)*100</f>
        <v/>
      </c>
      <c r="CK231" s="56">
        <f>($AR231-$AR232)*100</f>
        <v/>
      </c>
      <c r="CL231" s="56">
        <f>($AS231-$AS232)*100</f>
        <v/>
      </c>
      <c r="CM231" s="56">
        <f>($AT231-$AT232)*100</f>
        <v/>
      </c>
      <c r="CN231" s="56">
        <f>($AU231-$AU232)*100</f>
        <v/>
      </c>
      <c r="CO231" s="56">
        <f>($AV231-$AV232)*100</f>
        <v/>
      </c>
      <c r="CP231" s="56">
        <f>($AW231-$AW232)*100</f>
        <v/>
      </c>
      <c r="CQ231" s="56">
        <f>($AX231-$AX232)*100</f>
        <v/>
      </c>
      <c r="CR231" s="56">
        <f>($AY231-$AY232)*100</f>
        <v/>
      </c>
      <c r="CS231" s="57">
        <f>IFERROR($L232/$L231-1,"")</f>
        <v/>
      </c>
      <c r="CT231" s="57">
        <f>IFERROR($M232/$M231-1,"")</f>
        <v/>
      </c>
      <c r="CU231" s="57">
        <f>IFERROR($N232/$N231-1,"")</f>
        <v/>
      </c>
      <c r="CV231" s="57">
        <f>IFERROR($O232/$O231-1,"")</f>
        <v/>
      </c>
      <c r="CW231" s="57">
        <f>IFERROR($P232/$P231-1,"")</f>
        <v/>
      </c>
      <c r="CX231" s="57">
        <f>IFERROR($Q232/$Q231-1,"")</f>
        <v/>
      </c>
      <c r="CY231" s="57">
        <f>IFERROR($R232/$R231-1,"")</f>
        <v/>
      </c>
      <c r="CZ231" s="57">
        <f>IFERROR($S232/$S231-1,"")</f>
        <v/>
      </c>
      <c r="DA231" s="57">
        <f>IFERROR($T232/$T231-1,"")</f>
        <v/>
      </c>
      <c r="DB231" s="57">
        <f>IFERROR($U232/$U231-1,"")</f>
        <v/>
      </c>
      <c r="DC231" s="57">
        <f>IFERROR($V232/$V231-1,"")</f>
        <v/>
      </c>
      <c r="DD231" s="57">
        <f>IFERROR($W232/$W231-1,"")</f>
        <v/>
      </c>
      <c r="DE231" s="57">
        <f>IFERROR($X232/$X231-1,"")</f>
        <v/>
      </c>
      <c r="DF231" s="57">
        <f>IFERROR($Y232/$Y231-1,"")</f>
        <v/>
      </c>
      <c r="DG231" s="57">
        <f>IFERROR($Z232/$Z231-1,"")</f>
        <v/>
      </c>
      <c r="DH231" s="57">
        <f>IFERROR($AA232/$AA231-1,"")</f>
        <v/>
      </c>
      <c r="DI231" s="57">
        <f>IFERROR($AB232/$AB231-1,"")</f>
        <v/>
      </c>
      <c r="DJ231" s="57">
        <f>IFERROR($AC232/$AC231-1,"")</f>
        <v/>
      </c>
      <c r="DK231" s="57">
        <f>IFERROR($AD232/$AD231-1,"")</f>
        <v/>
      </c>
      <c r="DL231" s="57">
        <f>IFERROR($AE232/$AE231-1,"")</f>
        <v/>
      </c>
      <c r="DM231" s="56">
        <f>$AZ231-$AZ232</f>
        <v/>
      </c>
      <c r="DN231" s="56">
        <f>$BA231-$BA232</f>
        <v/>
      </c>
      <c r="DO231" s="56">
        <f>$BB231-$BB232</f>
        <v/>
      </c>
      <c r="DP231" s="56">
        <f>$BC231-$BC232</f>
        <v/>
      </c>
      <c r="DQ231" s="56">
        <f>$BD231-$BD232</f>
        <v/>
      </c>
      <c r="DR231" s="56">
        <f>$BE231-$BE232</f>
        <v/>
      </c>
      <c r="DS231" s="56">
        <f>$BF231-$BF232</f>
        <v/>
      </c>
      <c r="DT231" s="56">
        <f>$BG231-$BG232</f>
        <v/>
      </c>
      <c r="DU231" s="56">
        <f>$BH231-$BH232</f>
        <v/>
      </c>
      <c r="DV231" s="56">
        <f>$BI231-$BI232</f>
        <v/>
      </c>
      <c r="DW231" s="56">
        <f>$BJ231-$BJ232</f>
        <v/>
      </c>
      <c r="DX231" s="56">
        <f>$BK231-$BK232</f>
        <v/>
      </c>
      <c r="DY231" s="56">
        <f>$BL231-$BL232</f>
        <v/>
      </c>
      <c r="DZ231" s="56">
        <f>$BM231-$BM232</f>
        <v/>
      </c>
      <c r="EA231" s="56">
        <f>$BN231-$BN232</f>
        <v/>
      </c>
      <c r="EB231" s="56">
        <f>$BO231-$BO232</f>
        <v/>
      </c>
      <c r="EC231" s="56">
        <f>$BP231-$BP232</f>
        <v/>
      </c>
      <c r="ED231" s="56">
        <f>$BQ231-$BQ232</f>
        <v/>
      </c>
      <c r="EE231" s="56">
        <f>$BR231-$BR232</f>
        <v/>
      </c>
      <c r="EF231" s="56">
        <f>$BS231-$BS232</f>
        <v/>
      </c>
      <c r="EG231" s="56">
        <f>$BT231-$BT232</f>
        <v/>
      </c>
      <c r="EH231" s="56">
        <f>$BU231-$BU232</f>
        <v/>
      </c>
    </row>
    <row r="232">
      <c r="BV232" s="56">
        <f>($D232-$D233)*100</f>
        <v/>
      </c>
      <c r="BW232" s="56">
        <f>($C232-$C233)*100</f>
        <v/>
      </c>
      <c r="BX232" s="57">
        <f>IFERROR($I232/$I233-1,"")</f>
        <v/>
      </c>
      <c r="BY232" s="56">
        <f>($AF232-$AF233)*100</f>
        <v/>
      </c>
      <c r="BZ232" s="56">
        <f>($AG232-$AG233)*100</f>
        <v/>
      </c>
      <c r="CA232" s="56">
        <f>($AH232-$AH233)*100</f>
        <v/>
      </c>
      <c r="CB232" s="56">
        <f>($AI232-$AI233)*100</f>
        <v/>
      </c>
      <c r="CC232" s="56">
        <f>($AJ232-$AJ233)*100</f>
        <v/>
      </c>
      <c r="CD232" s="56">
        <f>($AK232-$AK233)*100</f>
        <v/>
      </c>
      <c r="CE232" s="56">
        <f>($AL232-$AL233)*100</f>
        <v/>
      </c>
      <c r="CF232" s="56">
        <f>($AM232-$AM233)*100</f>
        <v/>
      </c>
      <c r="CG232" s="56">
        <f>($AN232-$AN233)*100</f>
        <v/>
      </c>
      <c r="CH232" s="56">
        <f>($AO232-$AO233)*100</f>
        <v/>
      </c>
      <c r="CI232" s="56">
        <f>($AP232-$AP233)*100</f>
        <v/>
      </c>
      <c r="CJ232" s="56">
        <f>($AQ232-$AQ233)*100</f>
        <v/>
      </c>
      <c r="CK232" s="56">
        <f>($AR232-$AR233)*100</f>
        <v/>
      </c>
      <c r="CL232" s="56">
        <f>($AS232-$AS233)*100</f>
        <v/>
      </c>
      <c r="CM232" s="56">
        <f>($AT232-$AT233)*100</f>
        <v/>
      </c>
      <c r="CN232" s="56">
        <f>($AU232-$AU233)*100</f>
        <v/>
      </c>
      <c r="CO232" s="56">
        <f>($AV232-$AV233)*100</f>
        <v/>
      </c>
      <c r="CP232" s="56">
        <f>($AW232-$AW233)*100</f>
        <v/>
      </c>
      <c r="CQ232" s="56">
        <f>($AX232-$AX233)*100</f>
        <v/>
      </c>
      <c r="CR232" s="56">
        <f>($AY232-$AY233)*100</f>
        <v/>
      </c>
      <c r="CS232" s="57">
        <f>IFERROR($L233/$L232-1,"")</f>
        <v/>
      </c>
      <c r="CT232" s="57">
        <f>IFERROR($M233/$M232-1,"")</f>
        <v/>
      </c>
      <c r="CU232" s="57">
        <f>IFERROR($N233/$N232-1,"")</f>
        <v/>
      </c>
      <c r="CV232" s="57">
        <f>IFERROR($O233/$O232-1,"")</f>
        <v/>
      </c>
      <c r="CW232" s="57">
        <f>IFERROR($P233/$P232-1,"")</f>
        <v/>
      </c>
      <c r="CX232" s="57">
        <f>IFERROR($Q233/$Q232-1,"")</f>
        <v/>
      </c>
      <c r="CY232" s="57">
        <f>IFERROR($R233/$R232-1,"")</f>
        <v/>
      </c>
      <c r="CZ232" s="57">
        <f>IFERROR($S233/$S232-1,"")</f>
        <v/>
      </c>
      <c r="DA232" s="57">
        <f>IFERROR($T233/$T232-1,"")</f>
        <v/>
      </c>
      <c r="DB232" s="57">
        <f>IFERROR($U233/$U232-1,"")</f>
        <v/>
      </c>
      <c r="DC232" s="57">
        <f>IFERROR($V233/$V232-1,"")</f>
        <v/>
      </c>
      <c r="DD232" s="57">
        <f>IFERROR($W233/$W232-1,"")</f>
        <v/>
      </c>
      <c r="DE232" s="57">
        <f>IFERROR($X233/$X232-1,"")</f>
        <v/>
      </c>
      <c r="DF232" s="57">
        <f>IFERROR($Y233/$Y232-1,"")</f>
        <v/>
      </c>
      <c r="DG232" s="57">
        <f>IFERROR($Z233/$Z232-1,"")</f>
        <v/>
      </c>
      <c r="DH232" s="57">
        <f>IFERROR($AA233/$AA232-1,"")</f>
        <v/>
      </c>
      <c r="DI232" s="57">
        <f>IFERROR($AB233/$AB232-1,"")</f>
        <v/>
      </c>
      <c r="DJ232" s="57">
        <f>IFERROR($AC233/$AC232-1,"")</f>
        <v/>
      </c>
      <c r="DK232" s="57">
        <f>IFERROR($AD233/$AD232-1,"")</f>
        <v/>
      </c>
      <c r="DL232" s="57">
        <f>IFERROR($AE233/$AE232-1,"")</f>
        <v/>
      </c>
      <c r="DM232" s="56">
        <f>$AZ232-$AZ233</f>
        <v/>
      </c>
      <c r="DN232" s="56">
        <f>$BA232-$BA233</f>
        <v/>
      </c>
      <c r="DO232" s="56">
        <f>$BB232-$BB233</f>
        <v/>
      </c>
      <c r="DP232" s="56">
        <f>$BC232-$BC233</f>
        <v/>
      </c>
      <c r="DQ232" s="56">
        <f>$BD232-$BD233</f>
        <v/>
      </c>
      <c r="DR232" s="56">
        <f>$BE232-$BE233</f>
        <v/>
      </c>
      <c r="DS232" s="56">
        <f>$BF232-$BF233</f>
        <v/>
      </c>
      <c r="DT232" s="56">
        <f>$BG232-$BG233</f>
        <v/>
      </c>
      <c r="DU232" s="56">
        <f>$BH232-$BH233</f>
        <v/>
      </c>
      <c r="DV232" s="56">
        <f>$BI232-$BI233</f>
        <v/>
      </c>
      <c r="DW232" s="56">
        <f>$BJ232-$BJ233</f>
        <v/>
      </c>
      <c r="DX232" s="56">
        <f>$BK232-$BK233</f>
        <v/>
      </c>
      <c r="DY232" s="56">
        <f>$BL232-$BL233</f>
        <v/>
      </c>
      <c r="DZ232" s="56">
        <f>$BM232-$BM233</f>
        <v/>
      </c>
      <c r="EA232" s="56">
        <f>$BN232-$BN233</f>
        <v/>
      </c>
      <c r="EB232" s="56">
        <f>$BO232-$BO233</f>
        <v/>
      </c>
      <c r="EC232" s="56">
        <f>$BP232-$BP233</f>
        <v/>
      </c>
      <c r="ED232" s="56">
        <f>$BQ232-$BQ233</f>
        <v/>
      </c>
      <c r="EE232" s="56">
        <f>$BR232-$BR233</f>
        <v/>
      </c>
      <c r="EF232" s="56">
        <f>$BS232-$BS233</f>
        <v/>
      </c>
      <c r="EG232" s="56">
        <f>$BT232-$BT233</f>
        <v/>
      </c>
      <c r="EH232" s="56">
        <f>$BU232-$BU233</f>
        <v/>
      </c>
    </row>
    <row r="233">
      <c r="BV233" s="56">
        <f>($D233-$D234)*100</f>
        <v/>
      </c>
      <c r="BW233" s="56">
        <f>($C233-$C234)*100</f>
        <v/>
      </c>
      <c r="BX233" s="57">
        <f>IFERROR($I233/$I234-1,"")</f>
        <v/>
      </c>
      <c r="BY233" s="56">
        <f>($AF233-$AF234)*100</f>
        <v/>
      </c>
      <c r="BZ233" s="56">
        <f>($AG233-$AG234)*100</f>
        <v/>
      </c>
      <c r="CA233" s="56">
        <f>($AH233-$AH234)*100</f>
        <v/>
      </c>
      <c r="CB233" s="56">
        <f>($AI233-$AI234)*100</f>
        <v/>
      </c>
      <c r="CC233" s="56">
        <f>($AJ233-$AJ234)*100</f>
        <v/>
      </c>
      <c r="CD233" s="56">
        <f>($AK233-$AK234)*100</f>
        <v/>
      </c>
      <c r="CE233" s="56">
        <f>($AL233-$AL234)*100</f>
        <v/>
      </c>
      <c r="CF233" s="56">
        <f>($AM233-$AM234)*100</f>
        <v/>
      </c>
      <c r="CG233" s="56">
        <f>($AN233-$AN234)*100</f>
        <v/>
      </c>
      <c r="CH233" s="56">
        <f>($AO233-$AO234)*100</f>
        <v/>
      </c>
      <c r="CI233" s="56">
        <f>($AP233-$AP234)*100</f>
        <v/>
      </c>
      <c r="CJ233" s="56">
        <f>($AQ233-$AQ234)*100</f>
        <v/>
      </c>
      <c r="CK233" s="56">
        <f>($AR233-$AR234)*100</f>
        <v/>
      </c>
      <c r="CL233" s="56">
        <f>($AS233-$AS234)*100</f>
        <v/>
      </c>
      <c r="CM233" s="56">
        <f>($AT233-$AT234)*100</f>
        <v/>
      </c>
      <c r="CN233" s="56">
        <f>($AU233-$AU234)*100</f>
        <v/>
      </c>
      <c r="CO233" s="56">
        <f>($AV233-$AV234)*100</f>
        <v/>
      </c>
      <c r="CP233" s="56">
        <f>($AW233-$AW234)*100</f>
        <v/>
      </c>
      <c r="CQ233" s="56">
        <f>($AX233-$AX234)*100</f>
        <v/>
      </c>
      <c r="CR233" s="56">
        <f>($AY233-$AY234)*100</f>
        <v/>
      </c>
      <c r="CS233" s="57">
        <f>IFERROR($L234/$L233-1,"")</f>
        <v/>
      </c>
      <c r="CT233" s="57">
        <f>IFERROR($M234/$M233-1,"")</f>
        <v/>
      </c>
      <c r="CU233" s="57">
        <f>IFERROR($N234/$N233-1,"")</f>
        <v/>
      </c>
      <c r="CV233" s="57">
        <f>IFERROR($O234/$O233-1,"")</f>
        <v/>
      </c>
      <c r="CW233" s="57">
        <f>IFERROR($P234/$P233-1,"")</f>
        <v/>
      </c>
      <c r="CX233" s="57">
        <f>IFERROR($Q234/$Q233-1,"")</f>
        <v/>
      </c>
      <c r="CY233" s="57">
        <f>IFERROR($R234/$R233-1,"")</f>
        <v/>
      </c>
      <c r="CZ233" s="57">
        <f>IFERROR($S234/$S233-1,"")</f>
        <v/>
      </c>
      <c r="DA233" s="57">
        <f>IFERROR($T234/$T233-1,"")</f>
        <v/>
      </c>
      <c r="DB233" s="57">
        <f>IFERROR($U234/$U233-1,"")</f>
        <v/>
      </c>
      <c r="DC233" s="57">
        <f>IFERROR($V234/$V233-1,"")</f>
        <v/>
      </c>
      <c r="DD233" s="57">
        <f>IFERROR($W234/$W233-1,"")</f>
        <v/>
      </c>
      <c r="DE233" s="57">
        <f>IFERROR($X234/$X233-1,"")</f>
        <v/>
      </c>
      <c r="DF233" s="57">
        <f>IFERROR($Y234/$Y233-1,"")</f>
        <v/>
      </c>
      <c r="DG233" s="57">
        <f>IFERROR($Z234/$Z233-1,"")</f>
        <v/>
      </c>
      <c r="DH233" s="57">
        <f>IFERROR($AA234/$AA233-1,"")</f>
        <v/>
      </c>
      <c r="DI233" s="57">
        <f>IFERROR($AB234/$AB233-1,"")</f>
        <v/>
      </c>
      <c r="DJ233" s="57">
        <f>IFERROR($AC234/$AC233-1,"")</f>
        <v/>
      </c>
      <c r="DK233" s="57">
        <f>IFERROR($AD234/$AD233-1,"")</f>
        <v/>
      </c>
      <c r="DL233" s="57">
        <f>IFERROR($AE234/$AE233-1,"")</f>
        <v/>
      </c>
      <c r="DM233" s="56">
        <f>$AZ233-$AZ234</f>
        <v/>
      </c>
      <c r="DN233" s="56">
        <f>$BA233-$BA234</f>
        <v/>
      </c>
      <c r="DO233" s="56">
        <f>$BB233-$BB234</f>
        <v/>
      </c>
      <c r="DP233" s="56">
        <f>$BC233-$BC234</f>
        <v/>
      </c>
      <c r="DQ233" s="56">
        <f>$BD233-$BD234</f>
        <v/>
      </c>
      <c r="DR233" s="56">
        <f>$BE233-$BE234</f>
        <v/>
      </c>
      <c r="DS233" s="56">
        <f>$BF233-$BF234</f>
        <v/>
      </c>
      <c r="DT233" s="56">
        <f>$BG233-$BG234</f>
        <v/>
      </c>
      <c r="DU233" s="56">
        <f>$BH233-$BH234</f>
        <v/>
      </c>
      <c r="DV233" s="56">
        <f>$BI233-$BI234</f>
        <v/>
      </c>
      <c r="DW233" s="56">
        <f>$BJ233-$BJ234</f>
        <v/>
      </c>
      <c r="DX233" s="56">
        <f>$BK233-$BK234</f>
        <v/>
      </c>
      <c r="DY233" s="56">
        <f>$BL233-$BL234</f>
        <v/>
      </c>
      <c r="DZ233" s="56">
        <f>$BM233-$BM234</f>
        <v/>
      </c>
      <c r="EA233" s="56">
        <f>$BN233-$BN234</f>
        <v/>
      </c>
      <c r="EB233" s="56">
        <f>$BO233-$BO234</f>
        <v/>
      </c>
      <c r="EC233" s="56">
        <f>$BP233-$BP234</f>
        <v/>
      </c>
      <c r="ED233" s="56">
        <f>$BQ233-$BQ234</f>
        <v/>
      </c>
      <c r="EE233" s="56">
        <f>$BR233-$BR234</f>
        <v/>
      </c>
      <c r="EF233" s="56">
        <f>$BS233-$BS234</f>
        <v/>
      </c>
      <c r="EG233" s="56">
        <f>$BT233-$BT234</f>
        <v/>
      </c>
      <c r="EH233" s="56">
        <f>$BU233-$BU234</f>
        <v/>
      </c>
    </row>
    <row r="234">
      <c r="BV234" s="56">
        <f>($D234-$D235)*100</f>
        <v/>
      </c>
      <c r="BW234" s="56">
        <f>($C234-$C235)*100</f>
        <v/>
      </c>
      <c r="BX234" s="57">
        <f>IFERROR($I234/$I235-1,"")</f>
        <v/>
      </c>
      <c r="BY234" s="56">
        <f>($AF234-$AF235)*100</f>
        <v/>
      </c>
      <c r="BZ234" s="56">
        <f>($AG234-$AG235)*100</f>
        <v/>
      </c>
      <c r="CA234" s="56">
        <f>($AH234-$AH235)*100</f>
        <v/>
      </c>
      <c r="CB234" s="56">
        <f>($AI234-$AI235)*100</f>
        <v/>
      </c>
      <c r="CC234" s="56">
        <f>($AJ234-$AJ235)*100</f>
        <v/>
      </c>
      <c r="CD234" s="56">
        <f>($AK234-$AK235)*100</f>
        <v/>
      </c>
      <c r="CE234" s="56">
        <f>($AL234-$AL235)*100</f>
        <v/>
      </c>
      <c r="CF234" s="56">
        <f>($AM234-$AM235)*100</f>
        <v/>
      </c>
      <c r="CG234" s="56">
        <f>($AN234-$AN235)*100</f>
        <v/>
      </c>
      <c r="CH234" s="56">
        <f>($AO234-$AO235)*100</f>
        <v/>
      </c>
      <c r="CI234" s="56">
        <f>($AP234-$AP235)*100</f>
        <v/>
      </c>
      <c r="CJ234" s="56">
        <f>($AQ234-$AQ235)*100</f>
        <v/>
      </c>
      <c r="CK234" s="56">
        <f>($AR234-$AR235)*100</f>
        <v/>
      </c>
      <c r="CL234" s="56">
        <f>($AS234-$AS235)*100</f>
        <v/>
      </c>
      <c r="CM234" s="56">
        <f>($AT234-$AT235)*100</f>
        <v/>
      </c>
      <c r="CN234" s="56">
        <f>($AU234-$AU235)*100</f>
        <v/>
      </c>
      <c r="CO234" s="56">
        <f>($AV234-$AV235)*100</f>
        <v/>
      </c>
      <c r="CP234" s="56">
        <f>($AW234-$AW235)*100</f>
        <v/>
      </c>
      <c r="CQ234" s="56">
        <f>($AX234-$AX235)*100</f>
        <v/>
      </c>
      <c r="CR234" s="56">
        <f>($AY234-$AY235)*100</f>
        <v/>
      </c>
      <c r="CS234" s="57">
        <f>IFERROR($L235/$L234-1,"")</f>
        <v/>
      </c>
      <c r="CT234" s="57">
        <f>IFERROR($M235/$M234-1,"")</f>
        <v/>
      </c>
      <c r="CU234" s="57">
        <f>IFERROR($N235/$N234-1,"")</f>
        <v/>
      </c>
      <c r="CV234" s="57">
        <f>IFERROR($O235/$O234-1,"")</f>
        <v/>
      </c>
      <c r="CW234" s="57">
        <f>IFERROR($P235/$P234-1,"")</f>
        <v/>
      </c>
      <c r="CX234" s="57">
        <f>IFERROR($Q235/$Q234-1,"")</f>
        <v/>
      </c>
      <c r="CY234" s="57">
        <f>IFERROR($R235/$R234-1,"")</f>
        <v/>
      </c>
      <c r="CZ234" s="57">
        <f>IFERROR($S235/$S234-1,"")</f>
        <v/>
      </c>
      <c r="DA234" s="57">
        <f>IFERROR($T235/$T234-1,"")</f>
        <v/>
      </c>
      <c r="DB234" s="57">
        <f>IFERROR($U235/$U234-1,"")</f>
        <v/>
      </c>
      <c r="DC234" s="57">
        <f>IFERROR($V235/$V234-1,"")</f>
        <v/>
      </c>
      <c r="DD234" s="57">
        <f>IFERROR($W235/$W234-1,"")</f>
        <v/>
      </c>
      <c r="DE234" s="57">
        <f>IFERROR($X235/$X234-1,"")</f>
        <v/>
      </c>
      <c r="DF234" s="57">
        <f>IFERROR($Y235/$Y234-1,"")</f>
        <v/>
      </c>
      <c r="DG234" s="57">
        <f>IFERROR($Z235/$Z234-1,"")</f>
        <v/>
      </c>
      <c r="DH234" s="57">
        <f>IFERROR($AA235/$AA234-1,"")</f>
        <v/>
      </c>
      <c r="DI234" s="57">
        <f>IFERROR($AB235/$AB234-1,"")</f>
        <v/>
      </c>
      <c r="DJ234" s="57">
        <f>IFERROR($AC235/$AC234-1,"")</f>
        <v/>
      </c>
      <c r="DK234" s="57">
        <f>IFERROR($AD235/$AD234-1,"")</f>
        <v/>
      </c>
      <c r="DL234" s="57">
        <f>IFERROR($AE235/$AE234-1,"")</f>
        <v/>
      </c>
      <c r="DM234" s="56">
        <f>$AZ234-$AZ235</f>
        <v/>
      </c>
      <c r="DN234" s="56">
        <f>$BA234-$BA235</f>
        <v/>
      </c>
      <c r="DO234" s="56">
        <f>$BB234-$BB235</f>
        <v/>
      </c>
      <c r="DP234" s="56">
        <f>$BC234-$BC235</f>
        <v/>
      </c>
      <c r="DQ234" s="56">
        <f>$BD234-$BD235</f>
        <v/>
      </c>
      <c r="DR234" s="56">
        <f>$BE234-$BE235</f>
        <v/>
      </c>
      <c r="DS234" s="56">
        <f>$BF234-$BF235</f>
        <v/>
      </c>
      <c r="DT234" s="56">
        <f>$BG234-$BG235</f>
        <v/>
      </c>
      <c r="DU234" s="56">
        <f>$BH234-$BH235</f>
        <v/>
      </c>
      <c r="DV234" s="56">
        <f>$BI234-$BI235</f>
        <v/>
      </c>
      <c r="DW234" s="56">
        <f>$BJ234-$BJ235</f>
        <v/>
      </c>
      <c r="DX234" s="56">
        <f>$BK234-$BK235</f>
        <v/>
      </c>
      <c r="DY234" s="56">
        <f>$BL234-$BL235</f>
        <v/>
      </c>
      <c r="DZ234" s="56">
        <f>$BM234-$BM235</f>
        <v/>
      </c>
      <c r="EA234" s="56">
        <f>$BN234-$BN235</f>
        <v/>
      </c>
      <c r="EB234" s="56">
        <f>$BO234-$BO235</f>
        <v/>
      </c>
      <c r="EC234" s="56">
        <f>$BP234-$BP235</f>
        <v/>
      </c>
      <c r="ED234" s="56">
        <f>$BQ234-$BQ235</f>
        <v/>
      </c>
      <c r="EE234" s="56">
        <f>$BR234-$BR235</f>
        <v/>
      </c>
      <c r="EF234" s="56">
        <f>$BS234-$BS235</f>
        <v/>
      </c>
      <c r="EG234" s="56">
        <f>$BT234-$BT235</f>
        <v/>
      </c>
      <c r="EH234" s="56">
        <f>$BU234-$BU235</f>
        <v/>
      </c>
    </row>
    <row r="235">
      <c r="BV235" s="56">
        <f>($D235-$D236)*100</f>
        <v/>
      </c>
      <c r="BW235" s="56">
        <f>($C235-$C236)*100</f>
        <v/>
      </c>
      <c r="BX235" s="57">
        <f>IFERROR($I235/$I236-1,"")</f>
        <v/>
      </c>
      <c r="BY235" s="56">
        <f>($AF235-$AF236)*100</f>
        <v/>
      </c>
      <c r="BZ235" s="56">
        <f>($AG235-$AG236)*100</f>
        <v/>
      </c>
      <c r="CA235" s="56">
        <f>($AH235-$AH236)*100</f>
        <v/>
      </c>
      <c r="CB235" s="56">
        <f>($AI235-$AI236)*100</f>
        <v/>
      </c>
      <c r="CC235" s="56">
        <f>($AJ235-$AJ236)*100</f>
        <v/>
      </c>
      <c r="CD235" s="56">
        <f>($AK235-$AK236)*100</f>
        <v/>
      </c>
      <c r="CE235" s="56">
        <f>($AL235-$AL236)*100</f>
        <v/>
      </c>
      <c r="CF235" s="56">
        <f>($AM235-$AM236)*100</f>
        <v/>
      </c>
      <c r="CG235" s="56">
        <f>($AN235-$AN236)*100</f>
        <v/>
      </c>
      <c r="CH235" s="56">
        <f>($AO235-$AO236)*100</f>
        <v/>
      </c>
      <c r="CI235" s="56">
        <f>($AP235-$AP236)*100</f>
        <v/>
      </c>
      <c r="CJ235" s="56">
        <f>($AQ235-$AQ236)*100</f>
        <v/>
      </c>
      <c r="CK235" s="56">
        <f>($AR235-$AR236)*100</f>
        <v/>
      </c>
      <c r="CL235" s="56">
        <f>($AS235-$AS236)*100</f>
        <v/>
      </c>
      <c r="CM235" s="56">
        <f>($AT235-$AT236)*100</f>
        <v/>
      </c>
      <c r="CN235" s="56">
        <f>($AU235-$AU236)*100</f>
        <v/>
      </c>
      <c r="CO235" s="56">
        <f>($AV235-$AV236)*100</f>
        <v/>
      </c>
      <c r="CP235" s="56">
        <f>($AW235-$AW236)*100</f>
        <v/>
      </c>
      <c r="CQ235" s="56">
        <f>($AX235-$AX236)*100</f>
        <v/>
      </c>
      <c r="CR235" s="56">
        <f>($AY235-$AY236)*100</f>
        <v/>
      </c>
      <c r="CS235" s="57">
        <f>IFERROR($L236/$L235-1,"")</f>
        <v/>
      </c>
      <c r="CT235" s="57">
        <f>IFERROR($M236/$M235-1,"")</f>
        <v/>
      </c>
      <c r="CU235" s="57">
        <f>IFERROR($N236/$N235-1,"")</f>
        <v/>
      </c>
      <c r="CV235" s="57">
        <f>IFERROR($O236/$O235-1,"")</f>
        <v/>
      </c>
      <c r="CW235" s="57">
        <f>IFERROR($P236/$P235-1,"")</f>
        <v/>
      </c>
      <c r="CX235" s="57">
        <f>IFERROR($Q236/$Q235-1,"")</f>
        <v/>
      </c>
      <c r="CY235" s="57">
        <f>IFERROR($R236/$R235-1,"")</f>
        <v/>
      </c>
      <c r="CZ235" s="57">
        <f>IFERROR($S236/$S235-1,"")</f>
        <v/>
      </c>
      <c r="DA235" s="57">
        <f>IFERROR($T236/$T235-1,"")</f>
        <v/>
      </c>
      <c r="DB235" s="57">
        <f>IFERROR($U236/$U235-1,"")</f>
        <v/>
      </c>
      <c r="DC235" s="57">
        <f>IFERROR($V236/$V235-1,"")</f>
        <v/>
      </c>
      <c r="DD235" s="57">
        <f>IFERROR($W236/$W235-1,"")</f>
        <v/>
      </c>
      <c r="DE235" s="57">
        <f>IFERROR($X236/$X235-1,"")</f>
        <v/>
      </c>
      <c r="DF235" s="57">
        <f>IFERROR($Y236/$Y235-1,"")</f>
        <v/>
      </c>
      <c r="DG235" s="57">
        <f>IFERROR($Z236/$Z235-1,"")</f>
        <v/>
      </c>
      <c r="DH235" s="57">
        <f>IFERROR($AA236/$AA235-1,"")</f>
        <v/>
      </c>
      <c r="DI235" s="57">
        <f>IFERROR($AB236/$AB235-1,"")</f>
        <v/>
      </c>
      <c r="DJ235" s="57">
        <f>IFERROR($AC236/$AC235-1,"")</f>
        <v/>
      </c>
      <c r="DK235" s="57">
        <f>IFERROR($AD236/$AD235-1,"")</f>
        <v/>
      </c>
      <c r="DL235" s="57">
        <f>IFERROR($AE236/$AE235-1,"")</f>
        <v/>
      </c>
      <c r="DM235" s="56">
        <f>$AZ235-$AZ236</f>
        <v/>
      </c>
      <c r="DN235" s="56">
        <f>$BA235-$BA236</f>
        <v/>
      </c>
      <c r="DO235" s="56">
        <f>$BB235-$BB236</f>
        <v/>
      </c>
      <c r="DP235" s="56">
        <f>$BC235-$BC236</f>
        <v/>
      </c>
      <c r="DQ235" s="56">
        <f>$BD235-$BD236</f>
        <v/>
      </c>
      <c r="DR235" s="56">
        <f>$BE235-$BE236</f>
        <v/>
      </c>
      <c r="DS235" s="56">
        <f>$BF235-$BF236</f>
        <v/>
      </c>
      <c r="DT235" s="56">
        <f>$BG235-$BG236</f>
        <v/>
      </c>
      <c r="DU235" s="56">
        <f>$BH235-$BH236</f>
        <v/>
      </c>
      <c r="DV235" s="56">
        <f>$BI235-$BI236</f>
        <v/>
      </c>
      <c r="DW235" s="56">
        <f>$BJ235-$BJ236</f>
        <v/>
      </c>
      <c r="DX235" s="56">
        <f>$BK235-$BK236</f>
        <v/>
      </c>
      <c r="DY235" s="56">
        <f>$BL235-$BL236</f>
        <v/>
      </c>
      <c r="DZ235" s="56">
        <f>$BM235-$BM236</f>
        <v/>
      </c>
      <c r="EA235" s="56">
        <f>$BN235-$BN236</f>
        <v/>
      </c>
      <c r="EB235" s="56">
        <f>$BO235-$BO236</f>
        <v/>
      </c>
      <c r="EC235" s="56">
        <f>$BP235-$BP236</f>
        <v/>
      </c>
      <c r="ED235" s="56">
        <f>$BQ235-$BQ236</f>
        <v/>
      </c>
      <c r="EE235" s="56">
        <f>$BR235-$BR236</f>
        <v/>
      </c>
      <c r="EF235" s="56">
        <f>$BS235-$BS236</f>
        <v/>
      </c>
      <c r="EG235" s="56">
        <f>$BT235-$BT236</f>
        <v/>
      </c>
      <c r="EH235" s="56">
        <f>$BU235-$BU236</f>
        <v/>
      </c>
    </row>
    <row r="236">
      <c r="BV236" s="56">
        <f>($D236-$D237)*100</f>
        <v/>
      </c>
      <c r="BW236" s="56">
        <f>($C236-$C237)*100</f>
        <v/>
      </c>
      <c r="BX236" s="57">
        <f>IFERROR($I236/$I237-1,"")</f>
        <v/>
      </c>
      <c r="BY236" s="56">
        <f>($AF236-$AF237)*100</f>
        <v/>
      </c>
      <c r="BZ236" s="56">
        <f>($AG236-$AG237)*100</f>
        <v/>
      </c>
      <c r="CA236" s="56">
        <f>($AH236-$AH237)*100</f>
        <v/>
      </c>
      <c r="CB236" s="56">
        <f>($AI236-$AI237)*100</f>
        <v/>
      </c>
      <c r="CC236" s="56">
        <f>($AJ236-$AJ237)*100</f>
        <v/>
      </c>
      <c r="CD236" s="56">
        <f>($AK236-$AK237)*100</f>
        <v/>
      </c>
      <c r="CE236" s="56">
        <f>($AL236-$AL237)*100</f>
        <v/>
      </c>
      <c r="CF236" s="56">
        <f>($AM236-$AM237)*100</f>
        <v/>
      </c>
      <c r="CG236" s="56">
        <f>($AN236-$AN237)*100</f>
        <v/>
      </c>
      <c r="CH236" s="56">
        <f>($AO236-$AO237)*100</f>
        <v/>
      </c>
      <c r="CI236" s="56">
        <f>($AP236-$AP237)*100</f>
        <v/>
      </c>
      <c r="CJ236" s="56">
        <f>($AQ236-$AQ237)*100</f>
        <v/>
      </c>
      <c r="CK236" s="56">
        <f>($AR236-$AR237)*100</f>
        <v/>
      </c>
      <c r="CL236" s="56">
        <f>($AS236-$AS237)*100</f>
        <v/>
      </c>
      <c r="CM236" s="56">
        <f>($AT236-$AT237)*100</f>
        <v/>
      </c>
      <c r="CN236" s="56">
        <f>($AU236-$AU237)*100</f>
        <v/>
      </c>
      <c r="CO236" s="56">
        <f>($AV236-$AV237)*100</f>
        <v/>
      </c>
      <c r="CP236" s="56">
        <f>($AW236-$AW237)*100</f>
        <v/>
      </c>
      <c r="CQ236" s="56">
        <f>($AX236-$AX237)*100</f>
        <v/>
      </c>
      <c r="CR236" s="56">
        <f>($AY236-$AY237)*100</f>
        <v/>
      </c>
      <c r="CS236" s="57">
        <f>IFERROR($L237/$L236-1,"")</f>
        <v/>
      </c>
      <c r="CT236" s="57">
        <f>IFERROR($M237/$M236-1,"")</f>
        <v/>
      </c>
      <c r="CU236" s="57">
        <f>IFERROR($N237/$N236-1,"")</f>
        <v/>
      </c>
      <c r="CV236" s="57">
        <f>IFERROR($O237/$O236-1,"")</f>
        <v/>
      </c>
      <c r="CW236" s="57">
        <f>IFERROR($P237/$P236-1,"")</f>
        <v/>
      </c>
      <c r="CX236" s="57">
        <f>IFERROR($Q237/$Q236-1,"")</f>
        <v/>
      </c>
      <c r="CY236" s="57">
        <f>IFERROR($R237/$R236-1,"")</f>
        <v/>
      </c>
      <c r="CZ236" s="57">
        <f>IFERROR($S237/$S236-1,"")</f>
        <v/>
      </c>
      <c r="DA236" s="57">
        <f>IFERROR($T237/$T236-1,"")</f>
        <v/>
      </c>
      <c r="DB236" s="57">
        <f>IFERROR($U237/$U236-1,"")</f>
        <v/>
      </c>
      <c r="DC236" s="57">
        <f>IFERROR($V237/$V236-1,"")</f>
        <v/>
      </c>
      <c r="DD236" s="57">
        <f>IFERROR($W237/$W236-1,"")</f>
        <v/>
      </c>
      <c r="DE236" s="57">
        <f>IFERROR($X237/$X236-1,"")</f>
        <v/>
      </c>
      <c r="DF236" s="57">
        <f>IFERROR($Y237/$Y236-1,"")</f>
        <v/>
      </c>
      <c r="DG236" s="57">
        <f>IFERROR($Z237/$Z236-1,"")</f>
        <v/>
      </c>
      <c r="DH236" s="57">
        <f>IFERROR($AA237/$AA236-1,"")</f>
        <v/>
      </c>
      <c r="DI236" s="57">
        <f>IFERROR($AB237/$AB236-1,"")</f>
        <v/>
      </c>
      <c r="DJ236" s="57">
        <f>IFERROR($AC237/$AC236-1,"")</f>
        <v/>
      </c>
      <c r="DK236" s="57">
        <f>IFERROR($AD237/$AD236-1,"")</f>
        <v/>
      </c>
      <c r="DL236" s="57">
        <f>IFERROR($AE237/$AE236-1,"")</f>
        <v/>
      </c>
      <c r="DM236" s="56">
        <f>$AZ236-$AZ237</f>
        <v/>
      </c>
      <c r="DN236" s="56">
        <f>$BA236-$BA237</f>
        <v/>
      </c>
      <c r="DO236" s="56">
        <f>$BB236-$BB237</f>
        <v/>
      </c>
      <c r="DP236" s="56">
        <f>$BC236-$BC237</f>
        <v/>
      </c>
      <c r="DQ236" s="56">
        <f>$BD236-$BD237</f>
        <v/>
      </c>
      <c r="DR236" s="56">
        <f>$BE236-$BE237</f>
        <v/>
      </c>
      <c r="DS236" s="56">
        <f>$BF236-$BF237</f>
        <v/>
      </c>
      <c r="DT236" s="56">
        <f>$BG236-$BG237</f>
        <v/>
      </c>
      <c r="DU236" s="56">
        <f>$BH236-$BH237</f>
        <v/>
      </c>
      <c r="DV236" s="56">
        <f>$BI236-$BI237</f>
        <v/>
      </c>
      <c r="DW236" s="56">
        <f>$BJ236-$BJ237</f>
        <v/>
      </c>
      <c r="DX236" s="56">
        <f>$BK236-$BK237</f>
        <v/>
      </c>
      <c r="DY236" s="56">
        <f>$BL236-$BL237</f>
        <v/>
      </c>
      <c r="DZ236" s="56">
        <f>$BM236-$BM237</f>
        <v/>
      </c>
      <c r="EA236" s="56">
        <f>$BN236-$BN237</f>
        <v/>
      </c>
      <c r="EB236" s="56">
        <f>$BO236-$BO237</f>
        <v/>
      </c>
      <c r="EC236" s="56">
        <f>$BP236-$BP237</f>
        <v/>
      </c>
      <c r="ED236" s="56">
        <f>$BQ236-$BQ237</f>
        <v/>
      </c>
      <c r="EE236" s="56">
        <f>$BR236-$BR237</f>
        <v/>
      </c>
      <c r="EF236" s="56">
        <f>$BS236-$BS237</f>
        <v/>
      </c>
      <c r="EG236" s="56">
        <f>$BT236-$BT237</f>
        <v/>
      </c>
      <c r="EH236" s="56">
        <f>$BU236-$BU237</f>
        <v/>
      </c>
    </row>
    <row r="237">
      <c r="BV237" s="56">
        <f>($D237-$D238)*100</f>
        <v/>
      </c>
      <c r="BW237" s="56">
        <f>($C237-$C238)*100</f>
        <v/>
      </c>
      <c r="BX237" s="57">
        <f>IFERROR($I237/$I238-1,"")</f>
        <v/>
      </c>
      <c r="BY237" s="56">
        <f>($AF237-$AF238)*100</f>
        <v/>
      </c>
      <c r="BZ237" s="56">
        <f>($AG237-$AG238)*100</f>
        <v/>
      </c>
      <c r="CA237" s="56">
        <f>($AH237-$AH238)*100</f>
        <v/>
      </c>
      <c r="CB237" s="56">
        <f>($AI237-$AI238)*100</f>
        <v/>
      </c>
      <c r="CC237" s="56">
        <f>($AJ237-$AJ238)*100</f>
        <v/>
      </c>
      <c r="CD237" s="56">
        <f>($AK237-$AK238)*100</f>
        <v/>
      </c>
      <c r="CE237" s="56">
        <f>($AL237-$AL238)*100</f>
        <v/>
      </c>
      <c r="CF237" s="56">
        <f>($AM237-$AM238)*100</f>
        <v/>
      </c>
      <c r="CG237" s="56">
        <f>($AN237-$AN238)*100</f>
        <v/>
      </c>
      <c r="CH237" s="56">
        <f>($AO237-$AO238)*100</f>
        <v/>
      </c>
      <c r="CI237" s="56">
        <f>($AP237-$AP238)*100</f>
        <v/>
      </c>
      <c r="CJ237" s="56">
        <f>($AQ237-$AQ238)*100</f>
        <v/>
      </c>
      <c r="CK237" s="56">
        <f>($AR237-$AR238)*100</f>
        <v/>
      </c>
      <c r="CL237" s="56">
        <f>($AS237-$AS238)*100</f>
        <v/>
      </c>
      <c r="CM237" s="56">
        <f>($AT237-$AT238)*100</f>
        <v/>
      </c>
      <c r="CN237" s="56">
        <f>($AU237-$AU238)*100</f>
        <v/>
      </c>
      <c r="CO237" s="56">
        <f>($AV237-$AV238)*100</f>
        <v/>
      </c>
      <c r="CP237" s="56">
        <f>($AW237-$AW238)*100</f>
        <v/>
      </c>
      <c r="CQ237" s="56">
        <f>($AX237-$AX238)*100</f>
        <v/>
      </c>
      <c r="CR237" s="56">
        <f>($AY237-$AY238)*100</f>
        <v/>
      </c>
      <c r="CS237" s="57">
        <f>IFERROR($L238/$L237-1,"")</f>
        <v/>
      </c>
      <c r="CT237" s="57">
        <f>IFERROR($M238/$M237-1,"")</f>
        <v/>
      </c>
      <c r="CU237" s="57">
        <f>IFERROR($N238/$N237-1,"")</f>
        <v/>
      </c>
      <c r="CV237" s="57">
        <f>IFERROR($O238/$O237-1,"")</f>
        <v/>
      </c>
      <c r="CW237" s="57">
        <f>IFERROR($P238/$P237-1,"")</f>
        <v/>
      </c>
      <c r="CX237" s="57">
        <f>IFERROR($Q238/$Q237-1,"")</f>
        <v/>
      </c>
      <c r="CY237" s="57">
        <f>IFERROR($R238/$R237-1,"")</f>
        <v/>
      </c>
      <c r="CZ237" s="57">
        <f>IFERROR($S238/$S237-1,"")</f>
        <v/>
      </c>
      <c r="DA237" s="57">
        <f>IFERROR($T238/$T237-1,"")</f>
        <v/>
      </c>
      <c r="DB237" s="57">
        <f>IFERROR($U238/$U237-1,"")</f>
        <v/>
      </c>
      <c r="DC237" s="57">
        <f>IFERROR($V238/$V237-1,"")</f>
        <v/>
      </c>
      <c r="DD237" s="57">
        <f>IFERROR($W238/$W237-1,"")</f>
        <v/>
      </c>
      <c r="DE237" s="57">
        <f>IFERROR($X238/$X237-1,"")</f>
        <v/>
      </c>
      <c r="DF237" s="57">
        <f>IFERROR($Y238/$Y237-1,"")</f>
        <v/>
      </c>
      <c r="DG237" s="57">
        <f>IFERROR($Z238/$Z237-1,"")</f>
        <v/>
      </c>
      <c r="DH237" s="57">
        <f>IFERROR($AA238/$AA237-1,"")</f>
        <v/>
      </c>
      <c r="DI237" s="57">
        <f>IFERROR($AB238/$AB237-1,"")</f>
        <v/>
      </c>
      <c r="DJ237" s="57">
        <f>IFERROR($AC238/$AC237-1,"")</f>
        <v/>
      </c>
      <c r="DK237" s="57">
        <f>IFERROR($AD238/$AD237-1,"")</f>
        <v/>
      </c>
      <c r="DL237" s="57">
        <f>IFERROR($AE238/$AE237-1,"")</f>
        <v/>
      </c>
      <c r="DM237" s="56">
        <f>$AZ237-$AZ238</f>
        <v/>
      </c>
      <c r="DN237" s="56">
        <f>$BA237-$BA238</f>
        <v/>
      </c>
      <c r="DO237" s="56">
        <f>$BB237-$BB238</f>
        <v/>
      </c>
      <c r="DP237" s="56">
        <f>$BC237-$BC238</f>
        <v/>
      </c>
      <c r="DQ237" s="56">
        <f>$BD237-$BD238</f>
        <v/>
      </c>
      <c r="DR237" s="56">
        <f>$BE237-$BE238</f>
        <v/>
      </c>
      <c r="DS237" s="56">
        <f>$BF237-$BF238</f>
        <v/>
      </c>
      <c r="DT237" s="56">
        <f>$BG237-$BG238</f>
        <v/>
      </c>
      <c r="DU237" s="56">
        <f>$BH237-$BH238</f>
        <v/>
      </c>
      <c r="DV237" s="56">
        <f>$BI237-$BI238</f>
        <v/>
      </c>
      <c r="DW237" s="56">
        <f>$BJ237-$BJ238</f>
        <v/>
      </c>
      <c r="DX237" s="56">
        <f>$BK237-$BK238</f>
        <v/>
      </c>
      <c r="DY237" s="56">
        <f>$BL237-$BL238</f>
        <v/>
      </c>
      <c r="DZ237" s="56">
        <f>$BM237-$BM238</f>
        <v/>
      </c>
      <c r="EA237" s="56">
        <f>$BN237-$BN238</f>
        <v/>
      </c>
      <c r="EB237" s="56">
        <f>$BO237-$BO238</f>
        <v/>
      </c>
      <c r="EC237" s="56">
        <f>$BP237-$BP238</f>
        <v/>
      </c>
      <c r="ED237" s="56">
        <f>$BQ237-$BQ238</f>
        <v/>
      </c>
      <c r="EE237" s="56">
        <f>$BR237-$BR238</f>
        <v/>
      </c>
      <c r="EF237" s="56">
        <f>$BS237-$BS238</f>
        <v/>
      </c>
      <c r="EG237" s="56">
        <f>$BT237-$BT238</f>
        <v/>
      </c>
      <c r="EH237" s="56">
        <f>$BU237-$BU238</f>
        <v/>
      </c>
    </row>
    <row r="238">
      <c r="BV238" s="56">
        <f>($D238-$D239)*100</f>
        <v/>
      </c>
      <c r="BW238" s="56">
        <f>($C238-$C239)*100</f>
        <v/>
      </c>
      <c r="BX238" s="57">
        <f>IFERROR($I238/$I239-1,"")</f>
        <v/>
      </c>
      <c r="BY238" s="56">
        <f>($AF238-$AF239)*100</f>
        <v/>
      </c>
      <c r="BZ238" s="56">
        <f>($AG238-$AG239)*100</f>
        <v/>
      </c>
      <c r="CA238" s="56">
        <f>($AH238-$AH239)*100</f>
        <v/>
      </c>
      <c r="CB238" s="56">
        <f>($AI238-$AI239)*100</f>
        <v/>
      </c>
      <c r="CC238" s="56">
        <f>($AJ238-$AJ239)*100</f>
        <v/>
      </c>
      <c r="CD238" s="56">
        <f>($AK238-$AK239)*100</f>
        <v/>
      </c>
      <c r="CE238" s="56">
        <f>($AL238-$AL239)*100</f>
        <v/>
      </c>
      <c r="CF238" s="56">
        <f>($AM238-$AM239)*100</f>
        <v/>
      </c>
      <c r="CG238" s="56">
        <f>($AN238-$AN239)*100</f>
        <v/>
      </c>
      <c r="CH238" s="56">
        <f>($AO238-$AO239)*100</f>
        <v/>
      </c>
      <c r="CI238" s="56">
        <f>($AP238-$AP239)*100</f>
        <v/>
      </c>
      <c r="CJ238" s="56">
        <f>($AQ238-$AQ239)*100</f>
        <v/>
      </c>
      <c r="CK238" s="56">
        <f>($AR238-$AR239)*100</f>
        <v/>
      </c>
      <c r="CL238" s="56">
        <f>($AS238-$AS239)*100</f>
        <v/>
      </c>
      <c r="CM238" s="56">
        <f>($AT238-$AT239)*100</f>
        <v/>
      </c>
      <c r="CN238" s="56">
        <f>($AU238-$AU239)*100</f>
        <v/>
      </c>
      <c r="CO238" s="56">
        <f>($AV238-$AV239)*100</f>
        <v/>
      </c>
      <c r="CP238" s="56">
        <f>($AW238-$AW239)*100</f>
        <v/>
      </c>
      <c r="CQ238" s="56">
        <f>($AX238-$AX239)*100</f>
        <v/>
      </c>
      <c r="CR238" s="56">
        <f>($AY238-$AY239)*100</f>
        <v/>
      </c>
      <c r="CS238" s="57">
        <f>IFERROR($L239/$L238-1,"")</f>
        <v/>
      </c>
      <c r="CT238" s="57">
        <f>IFERROR($M239/$M238-1,"")</f>
        <v/>
      </c>
      <c r="CU238" s="57">
        <f>IFERROR($N239/$N238-1,"")</f>
        <v/>
      </c>
      <c r="CV238" s="57">
        <f>IFERROR($O239/$O238-1,"")</f>
        <v/>
      </c>
      <c r="CW238" s="57">
        <f>IFERROR($P239/$P238-1,"")</f>
        <v/>
      </c>
      <c r="CX238" s="57">
        <f>IFERROR($Q239/$Q238-1,"")</f>
        <v/>
      </c>
      <c r="CY238" s="57">
        <f>IFERROR($R239/$R238-1,"")</f>
        <v/>
      </c>
      <c r="CZ238" s="57">
        <f>IFERROR($S239/$S238-1,"")</f>
        <v/>
      </c>
      <c r="DA238" s="57">
        <f>IFERROR($T239/$T238-1,"")</f>
        <v/>
      </c>
      <c r="DB238" s="57">
        <f>IFERROR($U239/$U238-1,"")</f>
        <v/>
      </c>
      <c r="DC238" s="57">
        <f>IFERROR($V239/$V238-1,"")</f>
        <v/>
      </c>
      <c r="DD238" s="57">
        <f>IFERROR($W239/$W238-1,"")</f>
        <v/>
      </c>
      <c r="DE238" s="57">
        <f>IFERROR($X239/$X238-1,"")</f>
        <v/>
      </c>
      <c r="DF238" s="57">
        <f>IFERROR($Y239/$Y238-1,"")</f>
        <v/>
      </c>
      <c r="DG238" s="57">
        <f>IFERROR($Z239/$Z238-1,"")</f>
        <v/>
      </c>
      <c r="DH238" s="57">
        <f>IFERROR($AA239/$AA238-1,"")</f>
        <v/>
      </c>
      <c r="DI238" s="57">
        <f>IFERROR($AB239/$AB238-1,"")</f>
        <v/>
      </c>
      <c r="DJ238" s="57">
        <f>IFERROR($AC239/$AC238-1,"")</f>
        <v/>
      </c>
      <c r="DK238" s="57">
        <f>IFERROR($AD239/$AD238-1,"")</f>
        <v/>
      </c>
      <c r="DL238" s="57">
        <f>IFERROR($AE239/$AE238-1,"")</f>
        <v/>
      </c>
      <c r="DM238" s="56">
        <f>$AZ238-$AZ239</f>
        <v/>
      </c>
      <c r="DN238" s="56">
        <f>$BA238-$BA239</f>
        <v/>
      </c>
      <c r="DO238" s="56">
        <f>$BB238-$BB239</f>
        <v/>
      </c>
      <c r="DP238" s="56">
        <f>$BC238-$BC239</f>
        <v/>
      </c>
      <c r="DQ238" s="56">
        <f>$BD238-$BD239</f>
        <v/>
      </c>
      <c r="DR238" s="56">
        <f>$BE238-$BE239</f>
        <v/>
      </c>
      <c r="DS238" s="56">
        <f>$BF238-$BF239</f>
        <v/>
      </c>
      <c r="DT238" s="56">
        <f>$BG238-$BG239</f>
        <v/>
      </c>
      <c r="DU238" s="56">
        <f>$BH238-$BH239</f>
        <v/>
      </c>
      <c r="DV238" s="56">
        <f>$BI238-$BI239</f>
        <v/>
      </c>
      <c r="DW238" s="56">
        <f>$BJ238-$BJ239</f>
        <v/>
      </c>
      <c r="DX238" s="56">
        <f>$BK238-$BK239</f>
        <v/>
      </c>
      <c r="DY238" s="56">
        <f>$BL238-$BL239</f>
        <v/>
      </c>
      <c r="DZ238" s="56">
        <f>$BM238-$BM239</f>
        <v/>
      </c>
      <c r="EA238" s="56">
        <f>$BN238-$BN239</f>
        <v/>
      </c>
      <c r="EB238" s="56">
        <f>$BO238-$BO239</f>
        <v/>
      </c>
      <c r="EC238" s="56">
        <f>$BP238-$BP239</f>
        <v/>
      </c>
      <c r="ED238" s="56">
        <f>$BQ238-$BQ239</f>
        <v/>
      </c>
      <c r="EE238" s="56">
        <f>$BR238-$BR239</f>
        <v/>
      </c>
      <c r="EF238" s="56">
        <f>$BS238-$BS239</f>
        <v/>
      </c>
      <c r="EG238" s="56">
        <f>$BT238-$BT239</f>
        <v/>
      </c>
      <c r="EH238" s="56">
        <f>$BU238-$BU239</f>
        <v/>
      </c>
    </row>
    <row r="239">
      <c r="BV239" s="56">
        <f>($D239-$D240)*100</f>
        <v/>
      </c>
      <c r="BW239" s="56">
        <f>($C239-$C240)*100</f>
        <v/>
      </c>
      <c r="BX239" s="57">
        <f>IFERROR($I239/$I240-1,"")</f>
        <v/>
      </c>
      <c r="BY239" s="56">
        <f>($AF239-$AF240)*100</f>
        <v/>
      </c>
      <c r="BZ239" s="56">
        <f>($AG239-$AG240)*100</f>
        <v/>
      </c>
      <c r="CA239" s="56">
        <f>($AH239-$AH240)*100</f>
        <v/>
      </c>
      <c r="CB239" s="56">
        <f>($AI239-$AI240)*100</f>
        <v/>
      </c>
      <c r="CC239" s="56">
        <f>($AJ239-$AJ240)*100</f>
        <v/>
      </c>
      <c r="CD239" s="56">
        <f>($AK239-$AK240)*100</f>
        <v/>
      </c>
      <c r="CE239" s="56">
        <f>($AL239-$AL240)*100</f>
        <v/>
      </c>
      <c r="CF239" s="56">
        <f>($AM239-$AM240)*100</f>
        <v/>
      </c>
      <c r="CG239" s="56">
        <f>($AN239-$AN240)*100</f>
        <v/>
      </c>
      <c r="CH239" s="56">
        <f>($AO239-$AO240)*100</f>
        <v/>
      </c>
      <c r="CI239" s="56">
        <f>($AP239-$AP240)*100</f>
        <v/>
      </c>
      <c r="CJ239" s="56">
        <f>($AQ239-$AQ240)*100</f>
        <v/>
      </c>
      <c r="CK239" s="56">
        <f>($AR239-$AR240)*100</f>
        <v/>
      </c>
      <c r="CL239" s="56">
        <f>($AS239-$AS240)*100</f>
        <v/>
      </c>
      <c r="CM239" s="56">
        <f>($AT239-$AT240)*100</f>
        <v/>
      </c>
      <c r="CN239" s="56">
        <f>($AU239-$AU240)*100</f>
        <v/>
      </c>
      <c r="CO239" s="56">
        <f>($AV239-$AV240)*100</f>
        <v/>
      </c>
      <c r="CP239" s="56">
        <f>($AW239-$AW240)*100</f>
        <v/>
      </c>
      <c r="CQ239" s="56">
        <f>($AX239-$AX240)*100</f>
        <v/>
      </c>
      <c r="CR239" s="56">
        <f>($AY239-$AY240)*100</f>
        <v/>
      </c>
      <c r="CS239" s="57">
        <f>IFERROR($L240/$L239-1,"")</f>
        <v/>
      </c>
      <c r="CT239" s="57">
        <f>IFERROR($M240/$M239-1,"")</f>
        <v/>
      </c>
      <c r="CU239" s="57">
        <f>IFERROR($N240/$N239-1,"")</f>
        <v/>
      </c>
      <c r="CV239" s="57">
        <f>IFERROR($O240/$O239-1,"")</f>
        <v/>
      </c>
      <c r="CW239" s="57">
        <f>IFERROR($P240/$P239-1,"")</f>
        <v/>
      </c>
      <c r="CX239" s="57">
        <f>IFERROR($Q240/$Q239-1,"")</f>
        <v/>
      </c>
      <c r="CY239" s="57">
        <f>IFERROR($R240/$R239-1,"")</f>
        <v/>
      </c>
      <c r="CZ239" s="57">
        <f>IFERROR($S240/$S239-1,"")</f>
        <v/>
      </c>
      <c r="DA239" s="57">
        <f>IFERROR($T240/$T239-1,"")</f>
        <v/>
      </c>
      <c r="DB239" s="57">
        <f>IFERROR($U240/$U239-1,"")</f>
        <v/>
      </c>
      <c r="DC239" s="57">
        <f>IFERROR($V240/$V239-1,"")</f>
        <v/>
      </c>
      <c r="DD239" s="57">
        <f>IFERROR($W240/$W239-1,"")</f>
        <v/>
      </c>
      <c r="DE239" s="57">
        <f>IFERROR($X240/$X239-1,"")</f>
        <v/>
      </c>
      <c r="DF239" s="57">
        <f>IFERROR($Y240/$Y239-1,"")</f>
        <v/>
      </c>
      <c r="DG239" s="57">
        <f>IFERROR($Z240/$Z239-1,"")</f>
        <v/>
      </c>
      <c r="DH239" s="57">
        <f>IFERROR($AA240/$AA239-1,"")</f>
        <v/>
      </c>
      <c r="DI239" s="57">
        <f>IFERROR($AB240/$AB239-1,"")</f>
        <v/>
      </c>
      <c r="DJ239" s="57">
        <f>IFERROR($AC240/$AC239-1,"")</f>
        <v/>
      </c>
      <c r="DK239" s="57">
        <f>IFERROR($AD240/$AD239-1,"")</f>
        <v/>
      </c>
      <c r="DL239" s="57">
        <f>IFERROR($AE240/$AE239-1,"")</f>
        <v/>
      </c>
      <c r="DM239" s="56">
        <f>$AZ239-$AZ240</f>
        <v/>
      </c>
      <c r="DN239" s="56">
        <f>$BA239-$BA240</f>
        <v/>
      </c>
      <c r="DO239" s="56">
        <f>$BB239-$BB240</f>
        <v/>
      </c>
      <c r="DP239" s="56">
        <f>$BC239-$BC240</f>
        <v/>
      </c>
      <c r="DQ239" s="56">
        <f>$BD239-$BD240</f>
        <v/>
      </c>
      <c r="DR239" s="56">
        <f>$BE239-$BE240</f>
        <v/>
      </c>
      <c r="DS239" s="56">
        <f>$BF239-$BF240</f>
        <v/>
      </c>
      <c r="DT239" s="56">
        <f>$BG239-$BG240</f>
        <v/>
      </c>
      <c r="DU239" s="56">
        <f>$BH239-$BH240</f>
        <v/>
      </c>
      <c r="DV239" s="56">
        <f>$BI239-$BI240</f>
        <v/>
      </c>
      <c r="DW239" s="56">
        <f>$BJ239-$BJ240</f>
        <v/>
      </c>
      <c r="DX239" s="56">
        <f>$BK239-$BK240</f>
        <v/>
      </c>
      <c r="DY239" s="56">
        <f>$BL239-$BL240</f>
        <v/>
      </c>
      <c r="DZ239" s="56">
        <f>$BM239-$BM240</f>
        <v/>
      </c>
      <c r="EA239" s="56">
        <f>$BN239-$BN240</f>
        <v/>
      </c>
      <c r="EB239" s="56">
        <f>$BO239-$BO240</f>
        <v/>
      </c>
      <c r="EC239" s="56">
        <f>$BP239-$BP240</f>
        <v/>
      </c>
      <c r="ED239" s="56">
        <f>$BQ239-$BQ240</f>
        <v/>
      </c>
      <c r="EE239" s="56">
        <f>$BR239-$BR240</f>
        <v/>
      </c>
      <c r="EF239" s="56">
        <f>$BS239-$BS240</f>
        <v/>
      </c>
      <c r="EG239" s="56">
        <f>$BT239-$BT240</f>
        <v/>
      </c>
      <c r="EH239" s="56">
        <f>$BU239-$BU240</f>
        <v/>
      </c>
    </row>
    <row r="240">
      <c r="BV240" s="56">
        <f>($D240-$D241)*100</f>
        <v/>
      </c>
      <c r="BW240" s="56">
        <f>($C240-$C241)*100</f>
        <v/>
      </c>
      <c r="BX240" s="57">
        <f>IFERROR($I240/$I241-1,"")</f>
        <v/>
      </c>
      <c r="BY240" s="56">
        <f>($AF240-$AF241)*100</f>
        <v/>
      </c>
      <c r="BZ240" s="56">
        <f>($AG240-$AG241)*100</f>
        <v/>
      </c>
      <c r="CA240" s="56">
        <f>($AH240-$AH241)*100</f>
        <v/>
      </c>
      <c r="CB240" s="56">
        <f>($AI240-$AI241)*100</f>
        <v/>
      </c>
      <c r="CC240" s="56">
        <f>($AJ240-$AJ241)*100</f>
        <v/>
      </c>
      <c r="CD240" s="56">
        <f>($AK240-$AK241)*100</f>
        <v/>
      </c>
      <c r="CE240" s="56">
        <f>($AL240-$AL241)*100</f>
        <v/>
      </c>
      <c r="CF240" s="56">
        <f>($AM240-$AM241)*100</f>
        <v/>
      </c>
      <c r="CG240" s="56">
        <f>($AN240-$AN241)*100</f>
        <v/>
      </c>
      <c r="CH240" s="56">
        <f>($AO240-$AO241)*100</f>
        <v/>
      </c>
      <c r="CI240" s="56">
        <f>($AP240-$AP241)*100</f>
        <v/>
      </c>
      <c r="CJ240" s="56">
        <f>($AQ240-$AQ241)*100</f>
        <v/>
      </c>
      <c r="CK240" s="56">
        <f>($AR240-$AR241)*100</f>
        <v/>
      </c>
      <c r="CL240" s="56">
        <f>($AS240-$AS241)*100</f>
        <v/>
      </c>
      <c r="CM240" s="56">
        <f>($AT240-$AT241)*100</f>
        <v/>
      </c>
      <c r="CN240" s="56">
        <f>($AU240-$AU241)*100</f>
        <v/>
      </c>
      <c r="CO240" s="56">
        <f>($AV240-$AV241)*100</f>
        <v/>
      </c>
      <c r="CP240" s="56">
        <f>($AW240-$AW241)*100</f>
        <v/>
      </c>
      <c r="CQ240" s="56">
        <f>($AX240-$AX241)*100</f>
        <v/>
      </c>
      <c r="CR240" s="56">
        <f>($AY240-$AY241)*100</f>
        <v/>
      </c>
      <c r="CS240" s="57">
        <f>IFERROR($L241/$L240-1,"")</f>
        <v/>
      </c>
      <c r="CT240" s="57">
        <f>IFERROR($M241/$M240-1,"")</f>
        <v/>
      </c>
      <c r="CU240" s="57">
        <f>IFERROR($N241/$N240-1,"")</f>
        <v/>
      </c>
      <c r="CV240" s="57">
        <f>IFERROR($O241/$O240-1,"")</f>
        <v/>
      </c>
      <c r="CW240" s="57">
        <f>IFERROR($P241/$P240-1,"")</f>
        <v/>
      </c>
      <c r="CX240" s="57">
        <f>IFERROR($Q241/$Q240-1,"")</f>
        <v/>
      </c>
      <c r="CY240" s="57">
        <f>IFERROR($R241/$R240-1,"")</f>
        <v/>
      </c>
      <c r="CZ240" s="57">
        <f>IFERROR($S241/$S240-1,"")</f>
        <v/>
      </c>
      <c r="DA240" s="57">
        <f>IFERROR($T241/$T240-1,"")</f>
        <v/>
      </c>
      <c r="DB240" s="57">
        <f>IFERROR($U241/$U240-1,"")</f>
        <v/>
      </c>
      <c r="DC240" s="57">
        <f>IFERROR($V241/$V240-1,"")</f>
        <v/>
      </c>
      <c r="DD240" s="57">
        <f>IFERROR($W241/$W240-1,"")</f>
        <v/>
      </c>
      <c r="DE240" s="57">
        <f>IFERROR($X241/$X240-1,"")</f>
        <v/>
      </c>
      <c r="DF240" s="57">
        <f>IFERROR($Y241/$Y240-1,"")</f>
        <v/>
      </c>
      <c r="DG240" s="57">
        <f>IFERROR($Z241/$Z240-1,"")</f>
        <v/>
      </c>
      <c r="DH240" s="57">
        <f>IFERROR($AA241/$AA240-1,"")</f>
        <v/>
      </c>
      <c r="DI240" s="57">
        <f>IFERROR($AB241/$AB240-1,"")</f>
        <v/>
      </c>
      <c r="DJ240" s="57">
        <f>IFERROR($AC241/$AC240-1,"")</f>
        <v/>
      </c>
      <c r="DK240" s="57">
        <f>IFERROR($AD241/$AD240-1,"")</f>
        <v/>
      </c>
      <c r="DL240" s="57">
        <f>IFERROR($AE241/$AE240-1,"")</f>
        <v/>
      </c>
      <c r="DM240" s="56">
        <f>$AZ240-$AZ241</f>
        <v/>
      </c>
      <c r="DN240" s="56">
        <f>$BA240-$BA241</f>
        <v/>
      </c>
      <c r="DO240" s="56">
        <f>$BB240-$BB241</f>
        <v/>
      </c>
      <c r="DP240" s="56">
        <f>$BC240-$BC241</f>
        <v/>
      </c>
      <c r="DQ240" s="56">
        <f>$BD240-$BD241</f>
        <v/>
      </c>
      <c r="DR240" s="56">
        <f>$BE240-$BE241</f>
        <v/>
      </c>
      <c r="DS240" s="56">
        <f>$BF240-$BF241</f>
        <v/>
      </c>
      <c r="DT240" s="56">
        <f>$BG240-$BG241</f>
        <v/>
      </c>
      <c r="DU240" s="56">
        <f>$BH240-$BH241</f>
        <v/>
      </c>
      <c r="DV240" s="56">
        <f>$BI240-$BI241</f>
        <v/>
      </c>
      <c r="DW240" s="56">
        <f>$BJ240-$BJ241</f>
        <v/>
      </c>
      <c r="DX240" s="56">
        <f>$BK240-$BK241</f>
        <v/>
      </c>
      <c r="DY240" s="56">
        <f>$BL240-$BL241</f>
        <v/>
      </c>
      <c r="DZ240" s="56">
        <f>$BM240-$BM241</f>
        <v/>
      </c>
      <c r="EA240" s="56">
        <f>$BN240-$BN241</f>
        <v/>
      </c>
      <c r="EB240" s="56">
        <f>$BO240-$BO241</f>
        <v/>
      </c>
      <c r="EC240" s="56">
        <f>$BP240-$BP241</f>
        <v/>
      </c>
      <c r="ED240" s="56">
        <f>$BQ240-$BQ241</f>
        <v/>
      </c>
      <c r="EE240" s="56">
        <f>$BR240-$BR241</f>
        <v/>
      </c>
      <c r="EF240" s="56">
        <f>$BS240-$BS241</f>
        <v/>
      </c>
      <c r="EG240" s="56">
        <f>$BT240-$BT241</f>
        <v/>
      </c>
      <c r="EH240" s="56">
        <f>$BU240-$BU241</f>
        <v/>
      </c>
    </row>
    <row r="241">
      <c r="BV241" s="56">
        <f>($D241-$D242)*100</f>
        <v/>
      </c>
      <c r="BW241" s="56">
        <f>($C241-$C242)*100</f>
        <v/>
      </c>
      <c r="BX241" s="57">
        <f>IFERROR($I241/$I242-1,"")</f>
        <v/>
      </c>
      <c r="BY241" s="56">
        <f>($AF241-$AF242)*100</f>
        <v/>
      </c>
      <c r="BZ241" s="56">
        <f>($AG241-$AG242)*100</f>
        <v/>
      </c>
      <c r="CA241" s="56">
        <f>($AH241-$AH242)*100</f>
        <v/>
      </c>
      <c r="CB241" s="56">
        <f>($AI241-$AI242)*100</f>
        <v/>
      </c>
      <c r="CC241" s="56">
        <f>($AJ241-$AJ242)*100</f>
        <v/>
      </c>
      <c r="CD241" s="56">
        <f>($AK241-$AK242)*100</f>
        <v/>
      </c>
      <c r="CE241" s="56">
        <f>($AL241-$AL242)*100</f>
        <v/>
      </c>
      <c r="CF241" s="56">
        <f>($AM241-$AM242)*100</f>
        <v/>
      </c>
      <c r="CG241" s="56">
        <f>($AN241-$AN242)*100</f>
        <v/>
      </c>
      <c r="CH241" s="56">
        <f>($AO241-$AO242)*100</f>
        <v/>
      </c>
      <c r="CI241" s="56">
        <f>($AP241-$AP242)*100</f>
        <v/>
      </c>
      <c r="CJ241" s="56">
        <f>($AQ241-$AQ242)*100</f>
        <v/>
      </c>
      <c r="CK241" s="56">
        <f>($AR241-$AR242)*100</f>
        <v/>
      </c>
      <c r="CL241" s="56">
        <f>($AS241-$AS242)*100</f>
        <v/>
      </c>
      <c r="CM241" s="56">
        <f>($AT241-$AT242)*100</f>
        <v/>
      </c>
      <c r="CN241" s="56">
        <f>($AU241-$AU242)*100</f>
        <v/>
      </c>
      <c r="CO241" s="56">
        <f>($AV241-$AV242)*100</f>
        <v/>
      </c>
      <c r="CP241" s="56">
        <f>($AW241-$AW242)*100</f>
        <v/>
      </c>
      <c r="CQ241" s="56">
        <f>($AX241-$AX242)*100</f>
        <v/>
      </c>
      <c r="CR241" s="56">
        <f>($AY241-$AY242)*100</f>
        <v/>
      </c>
      <c r="CS241" s="57">
        <f>IFERROR($L242/$L241-1,"")</f>
        <v/>
      </c>
      <c r="CT241" s="57">
        <f>IFERROR($M242/$M241-1,"")</f>
        <v/>
      </c>
      <c r="CU241" s="57">
        <f>IFERROR($N242/$N241-1,"")</f>
        <v/>
      </c>
      <c r="CV241" s="57">
        <f>IFERROR($O242/$O241-1,"")</f>
        <v/>
      </c>
      <c r="CW241" s="57">
        <f>IFERROR($P242/$P241-1,"")</f>
        <v/>
      </c>
      <c r="CX241" s="57">
        <f>IFERROR($Q242/$Q241-1,"")</f>
        <v/>
      </c>
      <c r="CY241" s="57">
        <f>IFERROR($R242/$R241-1,"")</f>
        <v/>
      </c>
      <c r="CZ241" s="57">
        <f>IFERROR($S242/$S241-1,"")</f>
        <v/>
      </c>
      <c r="DA241" s="57">
        <f>IFERROR($T242/$T241-1,"")</f>
        <v/>
      </c>
      <c r="DB241" s="57">
        <f>IFERROR($U242/$U241-1,"")</f>
        <v/>
      </c>
      <c r="DC241" s="57">
        <f>IFERROR($V242/$V241-1,"")</f>
        <v/>
      </c>
      <c r="DD241" s="57">
        <f>IFERROR($W242/$W241-1,"")</f>
        <v/>
      </c>
      <c r="DE241" s="57">
        <f>IFERROR($X242/$X241-1,"")</f>
        <v/>
      </c>
      <c r="DF241" s="57">
        <f>IFERROR($Y242/$Y241-1,"")</f>
        <v/>
      </c>
      <c r="DG241" s="57">
        <f>IFERROR($Z242/$Z241-1,"")</f>
        <v/>
      </c>
      <c r="DH241" s="57">
        <f>IFERROR($AA242/$AA241-1,"")</f>
        <v/>
      </c>
      <c r="DI241" s="57">
        <f>IFERROR($AB242/$AB241-1,"")</f>
        <v/>
      </c>
      <c r="DJ241" s="57">
        <f>IFERROR($AC242/$AC241-1,"")</f>
        <v/>
      </c>
      <c r="DK241" s="57">
        <f>IFERROR($AD242/$AD241-1,"")</f>
        <v/>
      </c>
      <c r="DL241" s="57">
        <f>IFERROR($AE242/$AE241-1,"")</f>
        <v/>
      </c>
      <c r="DM241" s="56">
        <f>$AZ241-$AZ242</f>
        <v/>
      </c>
      <c r="DN241" s="56">
        <f>$BA241-$BA242</f>
        <v/>
      </c>
      <c r="DO241" s="56">
        <f>$BB241-$BB242</f>
        <v/>
      </c>
      <c r="DP241" s="56">
        <f>$BC241-$BC242</f>
        <v/>
      </c>
      <c r="DQ241" s="56">
        <f>$BD241-$BD242</f>
        <v/>
      </c>
      <c r="DR241" s="56">
        <f>$BE241-$BE242</f>
        <v/>
      </c>
      <c r="DS241" s="56">
        <f>$BF241-$BF242</f>
        <v/>
      </c>
      <c r="DT241" s="56">
        <f>$BG241-$BG242</f>
        <v/>
      </c>
      <c r="DU241" s="56">
        <f>$BH241-$BH242</f>
        <v/>
      </c>
      <c r="DV241" s="56">
        <f>$BI241-$BI242</f>
        <v/>
      </c>
      <c r="DW241" s="56">
        <f>$BJ241-$BJ242</f>
        <v/>
      </c>
      <c r="DX241" s="56">
        <f>$BK241-$BK242</f>
        <v/>
      </c>
      <c r="DY241" s="56">
        <f>$BL241-$BL242</f>
        <v/>
      </c>
      <c r="DZ241" s="56">
        <f>$BM241-$BM242</f>
        <v/>
      </c>
      <c r="EA241" s="56">
        <f>$BN241-$BN242</f>
        <v/>
      </c>
      <c r="EB241" s="56">
        <f>$BO241-$BO242</f>
        <v/>
      </c>
      <c r="EC241" s="56">
        <f>$BP241-$BP242</f>
        <v/>
      </c>
      <c r="ED241" s="56">
        <f>$BQ241-$BQ242</f>
        <v/>
      </c>
      <c r="EE241" s="56">
        <f>$BR241-$BR242</f>
        <v/>
      </c>
      <c r="EF241" s="56">
        <f>$BS241-$BS242</f>
        <v/>
      </c>
      <c r="EG241" s="56">
        <f>$BT241-$BT242</f>
        <v/>
      </c>
      <c r="EH241" s="56">
        <f>$BU241-$BU242</f>
        <v/>
      </c>
    </row>
    <row r="242">
      <c r="BV242" s="56">
        <f>($D242-$D243)*100</f>
        <v/>
      </c>
      <c r="BW242" s="56">
        <f>($C242-$C243)*100</f>
        <v/>
      </c>
      <c r="BX242" s="57">
        <f>IFERROR($I242/$I243-1,"")</f>
        <v/>
      </c>
      <c r="BY242" s="56">
        <f>($AF242-$AF243)*100</f>
        <v/>
      </c>
      <c r="BZ242" s="56">
        <f>($AG242-$AG243)*100</f>
        <v/>
      </c>
      <c r="CA242" s="56">
        <f>($AH242-$AH243)*100</f>
        <v/>
      </c>
      <c r="CB242" s="56">
        <f>($AI242-$AI243)*100</f>
        <v/>
      </c>
      <c r="CC242" s="56">
        <f>($AJ242-$AJ243)*100</f>
        <v/>
      </c>
      <c r="CD242" s="56">
        <f>($AK242-$AK243)*100</f>
        <v/>
      </c>
      <c r="CE242" s="56">
        <f>($AL242-$AL243)*100</f>
        <v/>
      </c>
      <c r="CF242" s="56">
        <f>($AM242-$AM243)*100</f>
        <v/>
      </c>
      <c r="CG242" s="56">
        <f>($AN242-$AN243)*100</f>
        <v/>
      </c>
      <c r="CH242" s="56">
        <f>($AO242-$AO243)*100</f>
        <v/>
      </c>
      <c r="CI242" s="56">
        <f>($AP242-$AP243)*100</f>
        <v/>
      </c>
      <c r="CJ242" s="56">
        <f>($AQ242-$AQ243)*100</f>
        <v/>
      </c>
      <c r="CK242" s="56">
        <f>($AR242-$AR243)*100</f>
        <v/>
      </c>
      <c r="CL242" s="56">
        <f>($AS242-$AS243)*100</f>
        <v/>
      </c>
      <c r="CM242" s="56">
        <f>($AT242-$AT243)*100</f>
        <v/>
      </c>
      <c r="CN242" s="56">
        <f>($AU242-$AU243)*100</f>
        <v/>
      </c>
      <c r="CO242" s="56">
        <f>($AV242-$AV243)*100</f>
        <v/>
      </c>
      <c r="CP242" s="56">
        <f>($AW242-$AW243)*100</f>
        <v/>
      </c>
      <c r="CQ242" s="56">
        <f>($AX242-$AX243)*100</f>
        <v/>
      </c>
      <c r="CR242" s="56">
        <f>($AY242-$AY243)*100</f>
        <v/>
      </c>
      <c r="CS242" s="57">
        <f>IFERROR($L243/$L242-1,"")</f>
        <v/>
      </c>
      <c r="CT242" s="57">
        <f>IFERROR($M243/$M242-1,"")</f>
        <v/>
      </c>
      <c r="CU242" s="57">
        <f>IFERROR($N243/$N242-1,"")</f>
        <v/>
      </c>
      <c r="CV242" s="57">
        <f>IFERROR($O243/$O242-1,"")</f>
        <v/>
      </c>
      <c r="CW242" s="57">
        <f>IFERROR($P243/$P242-1,"")</f>
        <v/>
      </c>
      <c r="CX242" s="57">
        <f>IFERROR($Q243/$Q242-1,"")</f>
        <v/>
      </c>
      <c r="CY242" s="57">
        <f>IFERROR($R243/$R242-1,"")</f>
        <v/>
      </c>
      <c r="CZ242" s="57">
        <f>IFERROR($S243/$S242-1,"")</f>
        <v/>
      </c>
      <c r="DA242" s="57">
        <f>IFERROR($T243/$T242-1,"")</f>
        <v/>
      </c>
      <c r="DB242" s="57">
        <f>IFERROR($U243/$U242-1,"")</f>
        <v/>
      </c>
      <c r="DC242" s="57">
        <f>IFERROR($V243/$V242-1,"")</f>
        <v/>
      </c>
      <c r="DD242" s="57">
        <f>IFERROR($W243/$W242-1,"")</f>
        <v/>
      </c>
      <c r="DE242" s="57">
        <f>IFERROR($X243/$X242-1,"")</f>
        <v/>
      </c>
      <c r="DF242" s="57">
        <f>IFERROR($Y243/$Y242-1,"")</f>
        <v/>
      </c>
      <c r="DG242" s="57">
        <f>IFERROR($Z243/$Z242-1,"")</f>
        <v/>
      </c>
      <c r="DH242" s="57">
        <f>IFERROR($AA243/$AA242-1,"")</f>
        <v/>
      </c>
      <c r="DI242" s="57">
        <f>IFERROR($AB243/$AB242-1,"")</f>
        <v/>
      </c>
      <c r="DJ242" s="57">
        <f>IFERROR($AC243/$AC242-1,"")</f>
        <v/>
      </c>
      <c r="DK242" s="57">
        <f>IFERROR($AD243/$AD242-1,"")</f>
        <v/>
      </c>
      <c r="DL242" s="57">
        <f>IFERROR($AE243/$AE242-1,"")</f>
        <v/>
      </c>
      <c r="DM242" s="56">
        <f>$AZ242-$AZ243</f>
        <v/>
      </c>
      <c r="DN242" s="56">
        <f>$BA242-$BA243</f>
        <v/>
      </c>
      <c r="DO242" s="56">
        <f>$BB242-$BB243</f>
        <v/>
      </c>
      <c r="DP242" s="56">
        <f>$BC242-$BC243</f>
        <v/>
      </c>
      <c r="DQ242" s="56">
        <f>$BD242-$BD243</f>
        <v/>
      </c>
      <c r="DR242" s="56">
        <f>$BE242-$BE243</f>
        <v/>
      </c>
      <c r="DS242" s="56">
        <f>$BF242-$BF243</f>
        <v/>
      </c>
      <c r="DT242" s="56">
        <f>$BG242-$BG243</f>
        <v/>
      </c>
      <c r="DU242" s="56">
        <f>$BH242-$BH243</f>
        <v/>
      </c>
      <c r="DV242" s="56">
        <f>$BI242-$BI243</f>
        <v/>
      </c>
      <c r="DW242" s="56">
        <f>$BJ242-$BJ243</f>
        <v/>
      </c>
      <c r="DX242" s="56">
        <f>$BK242-$BK243</f>
        <v/>
      </c>
      <c r="DY242" s="56">
        <f>$BL242-$BL243</f>
        <v/>
      </c>
      <c r="DZ242" s="56">
        <f>$BM242-$BM243</f>
        <v/>
      </c>
      <c r="EA242" s="56">
        <f>$BN242-$BN243</f>
        <v/>
      </c>
      <c r="EB242" s="56">
        <f>$BO242-$BO243</f>
        <v/>
      </c>
      <c r="EC242" s="56">
        <f>$BP242-$BP243</f>
        <v/>
      </c>
      <c r="ED242" s="56">
        <f>$BQ242-$BQ243</f>
        <v/>
      </c>
      <c r="EE242" s="56">
        <f>$BR242-$BR243</f>
        <v/>
      </c>
      <c r="EF242" s="56">
        <f>$BS242-$BS243</f>
        <v/>
      </c>
      <c r="EG242" s="56">
        <f>$BT242-$BT243</f>
        <v/>
      </c>
      <c r="EH242" s="56">
        <f>$BU242-$BU243</f>
        <v/>
      </c>
    </row>
    <row r="243">
      <c r="BV243" s="56">
        <f>($D243-$D244)*100</f>
        <v/>
      </c>
      <c r="BW243" s="56">
        <f>($C243-$C244)*100</f>
        <v/>
      </c>
      <c r="BX243" s="57">
        <f>IFERROR($I243/$I244-1,"")</f>
        <v/>
      </c>
      <c r="BY243" s="56">
        <f>($AF243-$AF244)*100</f>
        <v/>
      </c>
      <c r="BZ243" s="56">
        <f>($AG243-$AG244)*100</f>
        <v/>
      </c>
      <c r="CA243" s="56">
        <f>($AH243-$AH244)*100</f>
        <v/>
      </c>
      <c r="CB243" s="56">
        <f>($AI243-$AI244)*100</f>
        <v/>
      </c>
      <c r="CC243" s="56">
        <f>($AJ243-$AJ244)*100</f>
        <v/>
      </c>
      <c r="CD243" s="56">
        <f>($AK243-$AK244)*100</f>
        <v/>
      </c>
      <c r="CE243" s="56">
        <f>($AL243-$AL244)*100</f>
        <v/>
      </c>
      <c r="CF243" s="56">
        <f>($AM243-$AM244)*100</f>
        <v/>
      </c>
      <c r="CG243" s="56">
        <f>($AN243-$AN244)*100</f>
        <v/>
      </c>
      <c r="CH243" s="56">
        <f>($AO243-$AO244)*100</f>
        <v/>
      </c>
      <c r="CI243" s="56">
        <f>($AP243-$AP244)*100</f>
        <v/>
      </c>
      <c r="CJ243" s="56">
        <f>($AQ243-$AQ244)*100</f>
        <v/>
      </c>
      <c r="CK243" s="56">
        <f>($AR243-$AR244)*100</f>
        <v/>
      </c>
      <c r="CL243" s="56">
        <f>($AS243-$AS244)*100</f>
        <v/>
      </c>
      <c r="CM243" s="56">
        <f>($AT243-$AT244)*100</f>
        <v/>
      </c>
      <c r="CN243" s="56">
        <f>($AU243-$AU244)*100</f>
        <v/>
      </c>
      <c r="CO243" s="56">
        <f>($AV243-$AV244)*100</f>
        <v/>
      </c>
      <c r="CP243" s="56">
        <f>($AW243-$AW244)*100</f>
        <v/>
      </c>
      <c r="CQ243" s="56">
        <f>($AX243-$AX244)*100</f>
        <v/>
      </c>
      <c r="CR243" s="56">
        <f>($AY243-$AY244)*100</f>
        <v/>
      </c>
      <c r="CS243" s="57">
        <f>IFERROR($L244/$L243-1,"")</f>
        <v/>
      </c>
      <c r="CT243" s="57">
        <f>IFERROR($M244/$M243-1,"")</f>
        <v/>
      </c>
      <c r="CU243" s="57">
        <f>IFERROR($N244/$N243-1,"")</f>
        <v/>
      </c>
      <c r="CV243" s="57">
        <f>IFERROR($O244/$O243-1,"")</f>
        <v/>
      </c>
      <c r="CW243" s="57">
        <f>IFERROR($P244/$P243-1,"")</f>
        <v/>
      </c>
      <c r="CX243" s="57">
        <f>IFERROR($Q244/$Q243-1,"")</f>
        <v/>
      </c>
      <c r="CY243" s="57">
        <f>IFERROR($R244/$R243-1,"")</f>
        <v/>
      </c>
      <c r="CZ243" s="57">
        <f>IFERROR($S244/$S243-1,"")</f>
        <v/>
      </c>
      <c r="DA243" s="57">
        <f>IFERROR($T244/$T243-1,"")</f>
        <v/>
      </c>
      <c r="DB243" s="57">
        <f>IFERROR($U244/$U243-1,"")</f>
        <v/>
      </c>
      <c r="DC243" s="57">
        <f>IFERROR($V244/$V243-1,"")</f>
        <v/>
      </c>
      <c r="DD243" s="57">
        <f>IFERROR($W244/$W243-1,"")</f>
        <v/>
      </c>
      <c r="DE243" s="57">
        <f>IFERROR($X244/$X243-1,"")</f>
        <v/>
      </c>
      <c r="DF243" s="57">
        <f>IFERROR($Y244/$Y243-1,"")</f>
        <v/>
      </c>
      <c r="DG243" s="57">
        <f>IFERROR($Z244/$Z243-1,"")</f>
        <v/>
      </c>
      <c r="DH243" s="57">
        <f>IFERROR($AA244/$AA243-1,"")</f>
        <v/>
      </c>
      <c r="DI243" s="57">
        <f>IFERROR($AB244/$AB243-1,"")</f>
        <v/>
      </c>
      <c r="DJ243" s="57">
        <f>IFERROR($AC244/$AC243-1,"")</f>
        <v/>
      </c>
      <c r="DK243" s="57">
        <f>IFERROR($AD244/$AD243-1,"")</f>
        <v/>
      </c>
      <c r="DL243" s="57">
        <f>IFERROR($AE244/$AE243-1,"")</f>
        <v/>
      </c>
      <c r="DM243" s="56">
        <f>$AZ243-$AZ244</f>
        <v/>
      </c>
      <c r="DN243" s="56">
        <f>$BA243-$BA244</f>
        <v/>
      </c>
      <c r="DO243" s="56">
        <f>$BB243-$BB244</f>
        <v/>
      </c>
      <c r="DP243" s="56">
        <f>$BC243-$BC244</f>
        <v/>
      </c>
      <c r="DQ243" s="56">
        <f>$BD243-$BD244</f>
        <v/>
      </c>
      <c r="DR243" s="56">
        <f>$BE243-$BE244</f>
        <v/>
      </c>
      <c r="DS243" s="56">
        <f>$BF243-$BF244</f>
        <v/>
      </c>
      <c r="DT243" s="56">
        <f>$BG243-$BG244</f>
        <v/>
      </c>
      <c r="DU243" s="56">
        <f>$BH243-$BH244</f>
        <v/>
      </c>
      <c r="DV243" s="56">
        <f>$BI243-$BI244</f>
        <v/>
      </c>
      <c r="DW243" s="56">
        <f>$BJ243-$BJ244</f>
        <v/>
      </c>
      <c r="DX243" s="56">
        <f>$BK243-$BK244</f>
        <v/>
      </c>
      <c r="DY243" s="56">
        <f>$BL243-$BL244</f>
        <v/>
      </c>
      <c r="DZ243" s="56">
        <f>$BM243-$BM244</f>
        <v/>
      </c>
      <c r="EA243" s="56">
        <f>$BN243-$BN244</f>
        <v/>
      </c>
      <c r="EB243" s="56">
        <f>$BO243-$BO244</f>
        <v/>
      </c>
      <c r="EC243" s="56">
        <f>$BP243-$BP244</f>
        <v/>
      </c>
      <c r="ED243" s="56">
        <f>$BQ243-$BQ244</f>
        <v/>
      </c>
      <c r="EE243" s="56">
        <f>$BR243-$BR244</f>
        <v/>
      </c>
      <c r="EF243" s="56">
        <f>$BS243-$BS244</f>
        <v/>
      </c>
      <c r="EG243" s="56">
        <f>$BT243-$BT244</f>
        <v/>
      </c>
      <c r="EH243" s="56">
        <f>$BU243-$BU244</f>
        <v/>
      </c>
    </row>
    <row r="244">
      <c r="BV244" s="56">
        <f>($D244-$D245)*100</f>
        <v/>
      </c>
      <c r="BW244" s="56">
        <f>($C244-$C245)*100</f>
        <v/>
      </c>
      <c r="BX244" s="57">
        <f>IFERROR($I244/$I245-1,"")</f>
        <v/>
      </c>
      <c r="BY244" s="56">
        <f>($AF244-$AF245)*100</f>
        <v/>
      </c>
      <c r="BZ244" s="56">
        <f>($AG244-$AG245)*100</f>
        <v/>
      </c>
      <c r="CA244" s="56">
        <f>($AH244-$AH245)*100</f>
        <v/>
      </c>
      <c r="CB244" s="56">
        <f>($AI244-$AI245)*100</f>
        <v/>
      </c>
      <c r="CC244" s="56">
        <f>($AJ244-$AJ245)*100</f>
        <v/>
      </c>
      <c r="CD244" s="56">
        <f>($AK244-$AK245)*100</f>
        <v/>
      </c>
      <c r="CE244" s="56">
        <f>($AL244-$AL245)*100</f>
        <v/>
      </c>
      <c r="CF244" s="56">
        <f>($AM244-$AM245)*100</f>
        <v/>
      </c>
      <c r="CG244" s="56">
        <f>($AN244-$AN245)*100</f>
        <v/>
      </c>
      <c r="CH244" s="56">
        <f>($AO244-$AO245)*100</f>
        <v/>
      </c>
      <c r="CI244" s="56">
        <f>($AP244-$AP245)*100</f>
        <v/>
      </c>
      <c r="CJ244" s="56">
        <f>($AQ244-$AQ245)*100</f>
        <v/>
      </c>
      <c r="CK244" s="56">
        <f>($AR244-$AR245)*100</f>
        <v/>
      </c>
      <c r="CL244" s="56">
        <f>($AS244-$AS245)*100</f>
        <v/>
      </c>
      <c r="CM244" s="56">
        <f>($AT244-$AT245)*100</f>
        <v/>
      </c>
      <c r="CN244" s="56">
        <f>($AU244-$AU245)*100</f>
        <v/>
      </c>
      <c r="CO244" s="56">
        <f>($AV244-$AV245)*100</f>
        <v/>
      </c>
      <c r="CP244" s="56">
        <f>($AW244-$AW245)*100</f>
        <v/>
      </c>
      <c r="CQ244" s="56">
        <f>($AX244-$AX245)*100</f>
        <v/>
      </c>
      <c r="CR244" s="56">
        <f>($AY244-$AY245)*100</f>
        <v/>
      </c>
      <c r="CS244" s="57">
        <f>IFERROR($L245/$L244-1,"")</f>
        <v/>
      </c>
      <c r="CT244" s="57">
        <f>IFERROR($M245/$M244-1,"")</f>
        <v/>
      </c>
      <c r="CU244" s="57">
        <f>IFERROR($N245/$N244-1,"")</f>
        <v/>
      </c>
      <c r="CV244" s="57">
        <f>IFERROR($O245/$O244-1,"")</f>
        <v/>
      </c>
      <c r="CW244" s="57">
        <f>IFERROR($P245/$P244-1,"")</f>
        <v/>
      </c>
      <c r="CX244" s="57">
        <f>IFERROR($Q245/$Q244-1,"")</f>
        <v/>
      </c>
      <c r="CY244" s="57">
        <f>IFERROR($R245/$R244-1,"")</f>
        <v/>
      </c>
      <c r="CZ244" s="57">
        <f>IFERROR($S245/$S244-1,"")</f>
        <v/>
      </c>
      <c r="DA244" s="57">
        <f>IFERROR($T245/$T244-1,"")</f>
        <v/>
      </c>
      <c r="DB244" s="57">
        <f>IFERROR($U245/$U244-1,"")</f>
        <v/>
      </c>
      <c r="DC244" s="57">
        <f>IFERROR($V245/$V244-1,"")</f>
        <v/>
      </c>
      <c r="DD244" s="57">
        <f>IFERROR($W245/$W244-1,"")</f>
        <v/>
      </c>
      <c r="DE244" s="57">
        <f>IFERROR($X245/$X244-1,"")</f>
        <v/>
      </c>
      <c r="DF244" s="57">
        <f>IFERROR($Y245/$Y244-1,"")</f>
        <v/>
      </c>
      <c r="DG244" s="57">
        <f>IFERROR($Z245/$Z244-1,"")</f>
        <v/>
      </c>
      <c r="DH244" s="57">
        <f>IFERROR($AA245/$AA244-1,"")</f>
        <v/>
      </c>
      <c r="DI244" s="57">
        <f>IFERROR($AB245/$AB244-1,"")</f>
        <v/>
      </c>
      <c r="DJ244" s="57">
        <f>IFERROR($AC245/$AC244-1,"")</f>
        <v/>
      </c>
      <c r="DK244" s="57">
        <f>IFERROR($AD245/$AD244-1,"")</f>
        <v/>
      </c>
      <c r="DL244" s="57">
        <f>IFERROR($AE245/$AE244-1,"")</f>
        <v/>
      </c>
      <c r="DM244" s="56">
        <f>$AZ244-$AZ245</f>
        <v/>
      </c>
      <c r="DN244" s="56">
        <f>$BA244-$BA245</f>
        <v/>
      </c>
      <c r="DO244" s="56">
        <f>$BB244-$BB245</f>
        <v/>
      </c>
      <c r="DP244" s="56">
        <f>$BC244-$BC245</f>
        <v/>
      </c>
      <c r="DQ244" s="56">
        <f>$BD244-$BD245</f>
        <v/>
      </c>
      <c r="DR244" s="56">
        <f>$BE244-$BE245</f>
        <v/>
      </c>
      <c r="DS244" s="56">
        <f>$BF244-$BF245</f>
        <v/>
      </c>
      <c r="DT244" s="56">
        <f>$BG244-$BG245</f>
        <v/>
      </c>
      <c r="DU244" s="56">
        <f>$BH244-$BH245</f>
        <v/>
      </c>
      <c r="DV244" s="56">
        <f>$BI244-$BI245</f>
        <v/>
      </c>
      <c r="DW244" s="56">
        <f>$BJ244-$BJ245</f>
        <v/>
      </c>
      <c r="DX244" s="56">
        <f>$BK244-$BK245</f>
        <v/>
      </c>
      <c r="DY244" s="56">
        <f>$BL244-$BL245</f>
        <v/>
      </c>
      <c r="DZ244" s="56">
        <f>$BM244-$BM245</f>
        <v/>
      </c>
      <c r="EA244" s="56">
        <f>$BN244-$BN245</f>
        <v/>
      </c>
      <c r="EB244" s="56">
        <f>$BO244-$BO245</f>
        <v/>
      </c>
      <c r="EC244" s="56">
        <f>$BP244-$BP245</f>
        <v/>
      </c>
      <c r="ED244" s="56">
        <f>$BQ244-$BQ245</f>
        <v/>
      </c>
      <c r="EE244" s="56">
        <f>$BR244-$BR245</f>
        <v/>
      </c>
      <c r="EF244" s="56">
        <f>$BS244-$BS245</f>
        <v/>
      </c>
      <c r="EG244" s="56">
        <f>$BT244-$BT245</f>
        <v/>
      </c>
      <c r="EH244" s="56">
        <f>$BU244-$BU245</f>
        <v/>
      </c>
    </row>
    <row r="245">
      <c r="BV245" s="56">
        <f>($D245-$D246)*100</f>
        <v/>
      </c>
      <c r="BW245" s="56">
        <f>($C245-$C246)*100</f>
        <v/>
      </c>
      <c r="BX245" s="57">
        <f>IFERROR($I245/$I246-1,"")</f>
        <v/>
      </c>
      <c r="BY245" s="56">
        <f>($AF245-$AF246)*100</f>
        <v/>
      </c>
      <c r="BZ245" s="56">
        <f>($AG245-$AG246)*100</f>
        <v/>
      </c>
      <c r="CA245" s="56">
        <f>($AH245-$AH246)*100</f>
        <v/>
      </c>
      <c r="CB245" s="56">
        <f>($AI245-$AI246)*100</f>
        <v/>
      </c>
      <c r="CC245" s="56">
        <f>($AJ245-$AJ246)*100</f>
        <v/>
      </c>
      <c r="CD245" s="56">
        <f>($AK245-$AK246)*100</f>
        <v/>
      </c>
      <c r="CE245" s="56">
        <f>($AL245-$AL246)*100</f>
        <v/>
      </c>
      <c r="CF245" s="56">
        <f>($AM245-$AM246)*100</f>
        <v/>
      </c>
      <c r="CG245" s="56">
        <f>($AN245-$AN246)*100</f>
        <v/>
      </c>
      <c r="CH245" s="56">
        <f>($AO245-$AO246)*100</f>
        <v/>
      </c>
      <c r="CI245" s="56">
        <f>($AP245-$AP246)*100</f>
        <v/>
      </c>
      <c r="CJ245" s="56">
        <f>($AQ245-$AQ246)*100</f>
        <v/>
      </c>
      <c r="CK245" s="56">
        <f>($AR245-$AR246)*100</f>
        <v/>
      </c>
      <c r="CL245" s="56">
        <f>($AS245-$AS246)*100</f>
        <v/>
      </c>
      <c r="CM245" s="56">
        <f>($AT245-$AT246)*100</f>
        <v/>
      </c>
      <c r="CN245" s="56">
        <f>($AU245-$AU246)*100</f>
        <v/>
      </c>
      <c r="CO245" s="56">
        <f>($AV245-$AV246)*100</f>
        <v/>
      </c>
      <c r="CP245" s="56">
        <f>($AW245-$AW246)*100</f>
        <v/>
      </c>
      <c r="CQ245" s="56">
        <f>($AX245-$AX246)*100</f>
        <v/>
      </c>
      <c r="CR245" s="56">
        <f>($AY245-$AY246)*100</f>
        <v/>
      </c>
      <c r="CS245" s="57">
        <f>IFERROR($L246/$L245-1,"")</f>
        <v/>
      </c>
      <c r="CT245" s="57">
        <f>IFERROR($M246/$M245-1,"")</f>
        <v/>
      </c>
      <c r="CU245" s="57">
        <f>IFERROR($N246/$N245-1,"")</f>
        <v/>
      </c>
      <c r="CV245" s="57">
        <f>IFERROR($O246/$O245-1,"")</f>
        <v/>
      </c>
      <c r="CW245" s="57">
        <f>IFERROR($P246/$P245-1,"")</f>
        <v/>
      </c>
      <c r="CX245" s="57">
        <f>IFERROR($Q246/$Q245-1,"")</f>
        <v/>
      </c>
      <c r="CY245" s="57">
        <f>IFERROR($R246/$R245-1,"")</f>
        <v/>
      </c>
      <c r="CZ245" s="57">
        <f>IFERROR($S246/$S245-1,"")</f>
        <v/>
      </c>
      <c r="DA245" s="57">
        <f>IFERROR($T246/$T245-1,"")</f>
        <v/>
      </c>
      <c r="DB245" s="57">
        <f>IFERROR($U246/$U245-1,"")</f>
        <v/>
      </c>
      <c r="DC245" s="57">
        <f>IFERROR($V246/$V245-1,"")</f>
        <v/>
      </c>
      <c r="DD245" s="57">
        <f>IFERROR($W246/$W245-1,"")</f>
        <v/>
      </c>
      <c r="DE245" s="57">
        <f>IFERROR($X246/$X245-1,"")</f>
        <v/>
      </c>
      <c r="DF245" s="57">
        <f>IFERROR($Y246/$Y245-1,"")</f>
        <v/>
      </c>
      <c r="DG245" s="57">
        <f>IFERROR($Z246/$Z245-1,"")</f>
        <v/>
      </c>
      <c r="DH245" s="57">
        <f>IFERROR($AA246/$AA245-1,"")</f>
        <v/>
      </c>
      <c r="DI245" s="57">
        <f>IFERROR($AB246/$AB245-1,"")</f>
        <v/>
      </c>
      <c r="DJ245" s="57">
        <f>IFERROR($AC246/$AC245-1,"")</f>
        <v/>
      </c>
      <c r="DK245" s="57">
        <f>IFERROR($AD246/$AD245-1,"")</f>
        <v/>
      </c>
      <c r="DL245" s="57">
        <f>IFERROR($AE246/$AE245-1,"")</f>
        <v/>
      </c>
      <c r="DM245" s="56">
        <f>$AZ245-$AZ246</f>
        <v/>
      </c>
      <c r="DN245" s="56">
        <f>$BA245-$BA246</f>
        <v/>
      </c>
      <c r="DO245" s="56">
        <f>$BB245-$BB246</f>
        <v/>
      </c>
      <c r="DP245" s="56">
        <f>$BC245-$BC246</f>
        <v/>
      </c>
      <c r="DQ245" s="56">
        <f>$BD245-$BD246</f>
        <v/>
      </c>
      <c r="DR245" s="56">
        <f>$BE245-$BE246</f>
        <v/>
      </c>
      <c r="DS245" s="56">
        <f>$BF245-$BF246</f>
        <v/>
      </c>
      <c r="DT245" s="56">
        <f>$BG245-$BG246</f>
        <v/>
      </c>
      <c r="DU245" s="56">
        <f>$BH245-$BH246</f>
        <v/>
      </c>
      <c r="DV245" s="56">
        <f>$BI245-$BI246</f>
        <v/>
      </c>
      <c r="DW245" s="56">
        <f>$BJ245-$BJ246</f>
        <v/>
      </c>
      <c r="DX245" s="56">
        <f>$BK245-$BK246</f>
        <v/>
      </c>
      <c r="DY245" s="56">
        <f>$BL245-$BL246</f>
        <v/>
      </c>
      <c r="DZ245" s="56">
        <f>$BM245-$BM246</f>
        <v/>
      </c>
      <c r="EA245" s="56">
        <f>$BN245-$BN246</f>
        <v/>
      </c>
      <c r="EB245" s="56">
        <f>$BO245-$BO246</f>
        <v/>
      </c>
      <c r="EC245" s="56">
        <f>$BP245-$BP246</f>
        <v/>
      </c>
      <c r="ED245" s="56">
        <f>$BQ245-$BQ246</f>
        <v/>
      </c>
      <c r="EE245" s="56">
        <f>$BR245-$BR246</f>
        <v/>
      </c>
      <c r="EF245" s="56">
        <f>$BS245-$BS246</f>
        <v/>
      </c>
      <c r="EG245" s="56">
        <f>$BT245-$BT246</f>
        <v/>
      </c>
      <c r="EH245" s="56">
        <f>$BU245-$BU246</f>
        <v/>
      </c>
    </row>
    <row r="246">
      <c r="BV246" s="56">
        <f>($D246-$D247)*100</f>
        <v/>
      </c>
      <c r="BW246" s="56">
        <f>($C246-$C247)*100</f>
        <v/>
      </c>
      <c r="BX246" s="57">
        <f>IFERROR($I246/$I247-1,"")</f>
        <v/>
      </c>
      <c r="BY246" s="56">
        <f>($AF246-$AF247)*100</f>
        <v/>
      </c>
      <c r="BZ246" s="56">
        <f>($AG246-$AG247)*100</f>
        <v/>
      </c>
      <c r="CA246" s="56">
        <f>($AH246-$AH247)*100</f>
        <v/>
      </c>
      <c r="CB246" s="56">
        <f>($AI246-$AI247)*100</f>
        <v/>
      </c>
      <c r="CC246" s="56">
        <f>($AJ246-$AJ247)*100</f>
        <v/>
      </c>
      <c r="CD246" s="56">
        <f>($AK246-$AK247)*100</f>
        <v/>
      </c>
      <c r="CE246" s="56">
        <f>($AL246-$AL247)*100</f>
        <v/>
      </c>
      <c r="CF246" s="56">
        <f>($AM246-$AM247)*100</f>
        <v/>
      </c>
      <c r="CG246" s="56">
        <f>($AN246-$AN247)*100</f>
        <v/>
      </c>
      <c r="CH246" s="56">
        <f>($AO246-$AO247)*100</f>
        <v/>
      </c>
      <c r="CI246" s="56">
        <f>($AP246-$AP247)*100</f>
        <v/>
      </c>
      <c r="CJ246" s="56">
        <f>($AQ246-$AQ247)*100</f>
        <v/>
      </c>
      <c r="CK246" s="56">
        <f>($AR246-$AR247)*100</f>
        <v/>
      </c>
      <c r="CL246" s="56">
        <f>($AS246-$AS247)*100</f>
        <v/>
      </c>
      <c r="CM246" s="56">
        <f>($AT246-$AT247)*100</f>
        <v/>
      </c>
      <c r="CN246" s="56">
        <f>($AU246-$AU247)*100</f>
        <v/>
      </c>
      <c r="CO246" s="56">
        <f>($AV246-$AV247)*100</f>
        <v/>
      </c>
      <c r="CP246" s="56">
        <f>($AW246-$AW247)*100</f>
        <v/>
      </c>
      <c r="CQ246" s="56">
        <f>($AX246-$AX247)*100</f>
        <v/>
      </c>
      <c r="CR246" s="56">
        <f>($AY246-$AY247)*100</f>
        <v/>
      </c>
      <c r="CS246" s="57">
        <f>IFERROR($L247/$L246-1,"")</f>
        <v/>
      </c>
      <c r="CT246" s="57">
        <f>IFERROR($M247/$M246-1,"")</f>
        <v/>
      </c>
      <c r="CU246" s="57">
        <f>IFERROR($N247/$N246-1,"")</f>
        <v/>
      </c>
      <c r="CV246" s="57">
        <f>IFERROR($O247/$O246-1,"")</f>
        <v/>
      </c>
      <c r="CW246" s="57">
        <f>IFERROR($P247/$P246-1,"")</f>
        <v/>
      </c>
      <c r="CX246" s="57">
        <f>IFERROR($Q247/$Q246-1,"")</f>
        <v/>
      </c>
      <c r="CY246" s="57">
        <f>IFERROR($R247/$R246-1,"")</f>
        <v/>
      </c>
      <c r="CZ246" s="57">
        <f>IFERROR($S247/$S246-1,"")</f>
        <v/>
      </c>
      <c r="DA246" s="57">
        <f>IFERROR($T247/$T246-1,"")</f>
        <v/>
      </c>
      <c r="DB246" s="57">
        <f>IFERROR($U247/$U246-1,"")</f>
        <v/>
      </c>
      <c r="DC246" s="57">
        <f>IFERROR($V247/$V246-1,"")</f>
        <v/>
      </c>
      <c r="DD246" s="57">
        <f>IFERROR($W247/$W246-1,"")</f>
        <v/>
      </c>
      <c r="DE246" s="57">
        <f>IFERROR($X247/$X246-1,"")</f>
        <v/>
      </c>
      <c r="DF246" s="57">
        <f>IFERROR($Y247/$Y246-1,"")</f>
        <v/>
      </c>
      <c r="DG246" s="57">
        <f>IFERROR($Z247/$Z246-1,"")</f>
        <v/>
      </c>
      <c r="DH246" s="57">
        <f>IFERROR($AA247/$AA246-1,"")</f>
        <v/>
      </c>
      <c r="DI246" s="57">
        <f>IFERROR($AB247/$AB246-1,"")</f>
        <v/>
      </c>
      <c r="DJ246" s="57">
        <f>IFERROR($AC247/$AC246-1,"")</f>
        <v/>
      </c>
      <c r="DK246" s="57">
        <f>IFERROR($AD247/$AD246-1,"")</f>
        <v/>
      </c>
      <c r="DL246" s="57">
        <f>IFERROR($AE247/$AE246-1,"")</f>
        <v/>
      </c>
      <c r="DM246" s="56">
        <f>$AZ246-$AZ247</f>
        <v/>
      </c>
      <c r="DN246" s="56">
        <f>$BA246-$BA247</f>
        <v/>
      </c>
      <c r="DO246" s="56">
        <f>$BB246-$BB247</f>
        <v/>
      </c>
      <c r="DP246" s="56">
        <f>$BC246-$BC247</f>
        <v/>
      </c>
      <c r="DQ246" s="56">
        <f>$BD246-$BD247</f>
        <v/>
      </c>
      <c r="DR246" s="56">
        <f>$BE246-$BE247</f>
        <v/>
      </c>
      <c r="DS246" s="56">
        <f>$BF246-$BF247</f>
        <v/>
      </c>
      <c r="DT246" s="56">
        <f>$BG246-$BG247</f>
        <v/>
      </c>
      <c r="DU246" s="56">
        <f>$BH246-$BH247</f>
        <v/>
      </c>
      <c r="DV246" s="56">
        <f>$BI246-$BI247</f>
        <v/>
      </c>
      <c r="DW246" s="56">
        <f>$BJ246-$BJ247</f>
        <v/>
      </c>
      <c r="DX246" s="56">
        <f>$BK246-$BK247</f>
        <v/>
      </c>
      <c r="DY246" s="56">
        <f>$BL246-$BL247</f>
        <v/>
      </c>
      <c r="DZ246" s="56">
        <f>$BM246-$BM247</f>
        <v/>
      </c>
      <c r="EA246" s="56">
        <f>$BN246-$BN247</f>
        <v/>
      </c>
      <c r="EB246" s="56">
        <f>$BO246-$BO247</f>
        <v/>
      </c>
      <c r="EC246" s="56">
        <f>$BP246-$BP247</f>
        <v/>
      </c>
      <c r="ED246" s="56">
        <f>$BQ246-$BQ247</f>
        <v/>
      </c>
      <c r="EE246" s="56">
        <f>$BR246-$BR247</f>
        <v/>
      </c>
      <c r="EF246" s="56">
        <f>$BS246-$BS247</f>
        <v/>
      </c>
      <c r="EG246" s="56">
        <f>$BT246-$BT247</f>
        <v/>
      </c>
      <c r="EH246" s="56">
        <f>$BU246-$BU247</f>
        <v/>
      </c>
    </row>
    <row r="247">
      <c r="BV247" s="56">
        <f>($D247-$D248)*100</f>
        <v/>
      </c>
      <c r="BW247" s="56">
        <f>($C247-$C248)*100</f>
        <v/>
      </c>
      <c r="BX247" s="57">
        <f>IFERROR($I247/$I248-1,"")</f>
        <v/>
      </c>
      <c r="BY247" s="56">
        <f>($AF247-$AF248)*100</f>
        <v/>
      </c>
      <c r="BZ247" s="56">
        <f>($AG247-$AG248)*100</f>
        <v/>
      </c>
      <c r="CA247" s="56">
        <f>($AH247-$AH248)*100</f>
        <v/>
      </c>
      <c r="CB247" s="56">
        <f>($AI247-$AI248)*100</f>
        <v/>
      </c>
      <c r="CC247" s="56">
        <f>($AJ247-$AJ248)*100</f>
        <v/>
      </c>
      <c r="CD247" s="56">
        <f>($AK247-$AK248)*100</f>
        <v/>
      </c>
      <c r="CE247" s="56">
        <f>($AL247-$AL248)*100</f>
        <v/>
      </c>
      <c r="CF247" s="56">
        <f>($AM247-$AM248)*100</f>
        <v/>
      </c>
      <c r="CG247" s="56">
        <f>($AN247-$AN248)*100</f>
        <v/>
      </c>
      <c r="CH247" s="56">
        <f>($AO247-$AO248)*100</f>
        <v/>
      </c>
      <c r="CI247" s="56">
        <f>($AP247-$AP248)*100</f>
        <v/>
      </c>
      <c r="CJ247" s="56">
        <f>($AQ247-$AQ248)*100</f>
        <v/>
      </c>
      <c r="CK247" s="56">
        <f>($AR247-$AR248)*100</f>
        <v/>
      </c>
      <c r="CL247" s="56">
        <f>($AS247-$AS248)*100</f>
        <v/>
      </c>
      <c r="CM247" s="56">
        <f>($AT247-$AT248)*100</f>
        <v/>
      </c>
      <c r="CN247" s="56">
        <f>($AU247-$AU248)*100</f>
        <v/>
      </c>
      <c r="CO247" s="56">
        <f>($AV247-$AV248)*100</f>
        <v/>
      </c>
      <c r="CP247" s="56">
        <f>($AW247-$AW248)*100</f>
        <v/>
      </c>
      <c r="CQ247" s="56">
        <f>($AX247-$AX248)*100</f>
        <v/>
      </c>
      <c r="CR247" s="56">
        <f>($AY247-$AY248)*100</f>
        <v/>
      </c>
      <c r="CS247" s="57">
        <f>IFERROR($L248/$L247-1,"")</f>
        <v/>
      </c>
      <c r="CT247" s="57">
        <f>IFERROR($M248/$M247-1,"")</f>
        <v/>
      </c>
      <c r="CU247" s="57">
        <f>IFERROR($N248/$N247-1,"")</f>
        <v/>
      </c>
      <c r="CV247" s="57">
        <f>IFERROR($O248/$O247-1,"")</f>
        <v/>
      </c>
      <c r="CW247" s="57">
        <f>IFERROR($P248/$P247-1,"")</f>
        <v/>
      </c>
      <c r="CX247" s="57">
        <f>IFERROR($Q248/$Q247-1,"")</f>
        <v/>
      </c>
      <c r="CY247" s="57">
        <f>IFERROR($R248/$R247-1,"")</f>
        <v/>
      </c>
      <c r="CZ247" s="57">
        <f>IFERROR($S248/$S247-1,"")</f>
        <v/>
      </c>
      <c r="DA247" s="57">
        <f>IFERROR($T248/$T247-1,"")</f>
        <v/>
      </c>
      <c r="DB247" s="57">
        <f>IFERROR($U248/$U247-1,"")</f>
        <v/>
      </c>
      <c r="DC247" s="57">
        <f>IFERROR($V248/$V247-1,"")</f>
        <v/>
      </c>
      <c r="DD247" s="57">
        <f>IFERROR($W248/$W247-1,"")</f>
        <v/>
      </c>
      <c r="DE247" s="57">
        <f>IFERROR($X248/$X247-1,"")</f>
        <v/>
      </c>
      <c r="DF247" s="57">
        <f>IFERROR($Y248/$Y247-1,"")</f>
        <v/>
      </c>
      <c r="DG247" s="57">
        <f>IFERROR($Z248/$Z247-1,"")</f>
        <v/>
      </c>
      <c r="DH247" s="57">
        <f>IFERROR($AA248/$AA247-1,"")</f>
        <v/>
      </c>
      <c r="DI247" s="57">
        <f>IFERROR($AB248/$AB247-1,"")</f>
        <v/>
      </c>
      <c r="DJ247" s="57">
        <f>IFERROR($AC248/$AC247-1,"")</f>
        <v/>
      </c>
      <c r="DK247" s="57">
        <f>IFERROR($AD248/$AD247-1,"")</f>
        <v/>
      </c>
      <c r="DL247" s="57">
        <f>IFERROR($AE248/$AE247-1,"")</f>
        <v/>
      </c>
      <c r="DM247" s="56">
        <f>$AZ247-$AZ248</f>
        <v/>
      </c>
      <c r="DN247" s="56">
        <f>$BA247-$BA248</f>
        <v/>
      </c>
      <c r="DO247" s="56">
        <f>$BB247-$BB248</f>
        <v/>
      </c>
      <c r="DP247" s="56">
        <f>$BC247-$BC248</f>
        <v/>
      </c>
      <c r="DQ247" s="56">
        <f>$BD247-$BD248</f>
        <v/>
      </c>
      <c r="DR247" s="56">
        <f>$BE247-$BE248</f>
        <v/>
      </c>
      <c r="DS247" s="56">
        <f>$BF247-$BF248</f>
        <v/>
      </c>
      <c r="DT247" s="56">
        <f>$BG247-$BG248</f>
        <v/>
      </c>
      <c r="DU247" s="56">
        <f>$BH247-$BH248</f>
        <v/>
      </c>
      <c r="DV247" s="56">
        <f>$BI247-$BI248</f>
        <v/>
      </c>
      <c r="DW247" s="56">
        <f>$BJ247-$BJ248</f>
        <v/>
      </c>
      <c r="DX247" s="56">
        <f>$BK247-$BK248</f>
        <v/>
      </c>
      <c r="DY247" s="56">
        <f>$BL247-$BL248</f>
        <v/>
      </c>
      <c r="DZ247" s="56">
        <f>$BM247-$BM248</f>
        <v/>
      </c>
      <c r="EA247" s="56">
        <f>$BN247-$BN248</f>
        <v/>
      </c>
      <c r="EB247" s="56">
        <f>$BO247-$BO248</f>
        <v/>
      </c>
      <c r="EC247" s="56">
        <f>$BP247-$BP248</f>
        <v/>
      </c>
      <c r="ED247" s="56">
        <f>$BQ247-$BQ248</f>
        <v/>
      </c>
      <c r="EE247" s="56">
        <f>$BR247-$BR248</f>
        <v/>
      </c>
      <c r="EF247" s="56">
        <f>$BS247-$BS248</f>
        <v/>
      </c>
      <c r="EG247" s="56">
        <f>$BT247-$BT248</f>
        <v/>
      </c>
      <c r="EH247" s="56">
        <f>$BU247-$BU248</f>
        <v/>
      </c>
    </row>
    <row r="248">
      <c r="BV248" s="56">
        <f>($D248-$D249)*100</f>
        <v/>
      </c>
      <c r="BW248" s="56">
        <f>($C248-$C249)*100</f>
        <v/>
      </c>
      <c r="BX248" s="57">
        <f>IFERROR($I248/$I249-1,"")</f>
        <v/>
      </c>
      <c r="BY248" s="56">
        <f>($AF248-$AF249)*100</f>
        <v/>
      </c>
      <c r="BZ248" s="56">
        <f>($AG248-$AG249)*100</f>
        <v/>
      </c>
      <c r="CA248" s="56">
        <f>($AH248-$AH249)*100</f>
        <v/>
      </c>
      <c r="CB248" s="56">
        <f>($AI248-$AI249)*100</f>
        <v/>
      </c>
      <c r="CC248" s="56">
        <f>($AJ248-$AJ249)*100</f>
        <v/>
      </c>
      <c r="CD248" s="56">
        <f>($AK248-$AK249)*100</f>
        <v/>
      </c>
      <c r="CE248" s="56">
        <f>($AL248-$AL249)*100</f>
        <v/>
      </c>
      <c r="CF248" s="56">
        <f>($AM248-$AM249)*100</f>
        <v/>
      </c>
      <c r="CG248" s="56">
        <f>($AN248-$AN249)*100</f>
        <v/>
      </c>
      <c r="CH248" s="56">
        <f>($AO248-$AO249)*100</f>
        <v/>
      </c>
      <c r="CI248" s="56">
        <f>($AP248-$AP249)*100</f>
        <v/>
      </c>
      <c r="CJ248" s="56">
        <f>($AQ248-$AQ249)*100</f>
        <v/>
      </c>
      <c r="CK248" s="56">
        <f>($AR248-$AR249)*100</f>
        <v/>
      </c>
      <c r="CL248" s="56">
        <f>($AS248-$AS249)*100</f>
        <v/>
      </c>
      <c r="CM248" s="56">
        <f>($AT248-$AT249)*100</f>
        <v/>
      </c>
      <c r="CN248" s="56">
        <f>($AU248-$AU249)*100</f>
        <v/>
      </c>
      <c r="CO248" s="56">
        <f>($AV248-$AV249)*100</f>
        <v/>
      </c>
      <c r="CP248" s="56">
        <f>($AW248-$AW249)*100</f>
        <v/>
      </c>
      <c r="CQ248" s="56">
        <f>($AX248-$AX249)*100</f>
        <v/>
      </c>
      <c r="CR248" s="56">
        <f>($AY248-$AY249)*100</f>
        <v/>
      </c>
      <c r="CS248" s="57">
        <f>IFERROR($L249/$L248-1,"")</f>
        <v/>
      </c>
      <c r="CT248" s="57">
        <f>IFERROR($M249/$M248-1,"")</f>
        <v/>
      </c>
      <c r="CU248" s="57">
        <f>IFERROR($N249/$N248-1,"")</f>
        <v/>
      </c>
      <c r="CV248" s="57">
        <f>IFERROR($O249/$O248-1,"")</f>
        <v/>
      </c>
      <c r="CW248" s="57">
        <f>IFERROR($P249/$P248-1,"")</f>
        <v/>
      </c>
      <c r="CX248" s="57">
        <f>IFERROR($Q249/$Q248-1,"")</f>
        <v/>
      </c>
      <c r="CY248" s="57">
        <f>IFERROR($R249/$R248-1,"")</f>
        <v/>
      </c>
      <c r="CZ248" s="57">
        <f>IFERROR($S249/$S248-1,"")</f>
        <v/>
      </c>
      <c r="DA248" s="57">
        <f>IFERROR($T249/$T248-1,"")</f>
        <v/>
      </c>
      <c r="DB248" s="57">
        <f>IFERROR($U249/$U248-1,"")</f>
        <v/>
      </c>
      <c r="DC248" s="57">
        <f>IFERROR($V249/$V248-1,"")</f>
        <v/>
      </c>
      <c r="DD248" s="57">
        <f>IFERROR($W249/$W248-1,"")</f>
        <v/>
      </c>
      <c r="DE248" s="57">
        <f>IFERROR($X249/$X248-1,"")</f>
        <v/>
      </c>
      <c r="DF248" s="57">
        <f>IFERROR($Y249/$Y248-1,"")</f>
        <v/>
      </c>
      <c r="DG248" s="57">
        <f>IFERROR($Z249/$Z248-1,"")</f>
        <v/>
      </c>
      <c r="DH248" s="57">
        <f>IFERROR($AA249/$AA248-1,"")</f>
        <v/>
      </c>
      <c r="DI248" s="57">
        <f>IFERROR($AB249/$AB248-1,"")</f>
        <v/>
      </c>
      <c r="DJ248" s="57">
        <f>IFERROR($AC249/$AC248-1,"")</f>
        <v/>
      </c>
      <c r="DK248" s="57">
        <f>IFERROR($AD249/$AD248-1,"")</f>
        <v/>
      </c>
      <c r="DL248" s="57">
        <f>IFERROR($AE249/$AE248-1,"")</f>
        <v/>
      </c>
      <c r="DM248" s="56">
        <f>$AZ248-$AZ249</f>
        <v/>
      </c>
      <c r="DN248" s="56">
        <f>$BA248-$BA249</f>
        <v/>
      </c>
      <c r="DO248" s="56">
        <f>$BB248-$BB249</f>
        <v/>
      </c>
      <c r="DP248" s="56">
        <f>$BC248-$BC249</f>
        <v/>
      </c>
      <c r="DQ248" s="56">
        <f>$BD248-$BD249</f>
        <v/>
      </c>
      <c r="DR248" s="56">
        <f>$BE248-$BE249</f>
        <v/>
      </c>
      <c r="DS248" s="56">
        <f>$BF248-$BF249</f>
        <v/>
      </c>
      <c r="DT248" s="56">
        <f>$BG248-$BG249</f>
        <v/>
      </c>
      <c r="DU248" s="56">
        <f>$BH248-$BH249</f>
        <v/>
      </c>
      <c r="DV248" s="56">
        <f>$BI248-$BI249</f>
        <v/>
      </c>
      <c r="DW248" s="56">
        <f>$BJ248-$BJ249</f>
        <v/>
      </c>
      <c r="DX248" s="56">
        <f>$BK248-$BK249</f>
        <v/>
      </c>
      <c r="DY248" s="56">
        <f>$BL248-$BL249</f>
        <v/>
      </c>
      <c r="DZ248" s="56">
        <f>$BM248-$BM249</f>
        <v/>
      </c>
      <c r="EA248" s="56">
        <f>$BN248-$BN249</f>
        <v/>
      </c>
      <c r="EB248" s="56">
        <f>$BO248-$BO249</f>
        <v/>
      </c>
      <c r="EC248" s="56">
        <f>$BP248-$BP249</f>
        <v/>
      </c>
      <c r="ED248" s="56">
        <f>$BQ248-$BQ249</f>
        <v/>
      </c>
      <c r="EE248" s="56">
        <f>$BR248-$BR249</f>
        <v/>
      </c>
      <c r="EF248" s="56">
        <f>$BS248-$BS249</f>
        <v/>
      </c>
      <c r="EG248" s="56">
        <f>$BT248-$BT249</f>
        <v/>
      </c>
      <c r="EH248" s="56">
        <f>$BU248-$BU249</f>
        <v/>
      </c>
    </row>
    <row r="249">
      <c r="BV249" s="56">
        <f>($D249-$D250)*100</f>
        <v/>
      </c>
      <c r="BW249" s="56">
        <f>($C249-$C250)*100</f>
        <v/>
      </c>
      <c r="BX249" s="57">
        <f>IFERROR($I249/$I250-1,"")</f>
        <v/>
      </c>
      <c r="BY249" s="56">
        <f>($AF249-$AF250)*100</f>
        <v/>
      </c>
      <c r="BZ249" s="56">
        <f>($AG249-$AG250)*100</f>
        <v/>
      </c>
      <c r="CA249" s="56">
        <f>($AH249-$AH250)*100</f>
        <v/>
      </c>
      <c r="CB249" s="56">
        <f>($AI249-$AI250)*100</f>
        <v/>
      </c>
      <c r="CC249" s="56">
        <f>($AJ249-$AJ250)*100</f>
        <v/>
      </c>
      <c r="CD249" s="56">
        <f>($AK249-$AK250)*100</f>
        <v/>
      </c>
      <c r="CE249" s="56">
        <f>($AL249-$AL250)*100</f>
        <v/>
      </c>
      <c r="CF249" s="56">
        <f>($AM249-$AM250)*100</f>
        <v/>
      </c>
      <c r="CG249" s="56">
        <f>($AN249-$AN250)*100</f>
        <v/>
      </c>
      <c r="CH249" s="56">
        <f>($AO249-$AO250)*100</f>
        <v/>
      </c>
      <c r="CI249" s="56">
        <f>($AP249-$AP250)*100</f>
        <v/>
      </c>
      <c r="CJ249" s="56">
        <f>($AQ249-$AQ250)*100</f>
        <v/>
      </c>
      <c r="CK249" s="56">
        <f>($AR249-$AR250)*100</f>
        <v/>
      </c>
      <c r="CL249" s="56">
        <f>($AS249-$AS250)*100</f>
        <v/>
      </c>
      <c r="CM249" s="56">
        <f>($AT249-$AT250)*100</f>
        <v/>
      </c>
      <c r="CN249" s="56">
        <f>($AU249-$AU250)*100</f>
        <v/>
      </c>
      <c r="CO249" s="56">
        <f>($AV249-$AV250)*100</f>
        <v/>
      </c>
      <c r="CP249" s="56">
        <f>($AW249-$AW250)*100</f>
        <v/>
      </c>
      <c r="CQ249" s="56">
        <f>($AX249-$AX250)*100</f>
        <v/>
      </c>
      <c r="CR249" s="56">
        <f>($AY249-$AY250)*100</f>
        <v/>
      </c>
      <c r="CS249" s="57">
        <f>IFERROR($L250/$L249-1,"")</f>
        <v/>
      </c>
      <c r="CT249" s="57">
        <f>IFERROR($M250/$M249-1,"")</f>
        <v/>
      </c>
      <c r="CU249" s="57">
        <f>IFERROR($N250/$N249-1,"")</f>
        <v/>
      </c>
      <c r="CV249" s="57">
        <f>IFERROR($O250/$O249-1,"")</f>
        <v/>
      </c>
      <c r="CW249" s="57">
        <f>IFERROR($P250/$P249-1,"")</f>
        <v/>
      </c>
      <c r="CX249" s="57">
        <f>IFERROR($Q250/$Q249-1,"")</f>
        <v/>
      </c>
      <c r="CY249" s="57">
        <f>IFERROR($R250/$R249-1,"")</f>
        <v/>
      </c>
      <c r="CZ249" s="57">
        <f>IFERROR($S250/$S249-1,"")</f>
        <v/>
      </c>
      <c r="DA249" s="57">
        <f>IFERROR($T250/$T249-1,"")</f>
        <v/>
      </c>
      <c r="DB249" s="57">
        <f>IFERROR($U250/$U249-1,"")</f>
        <v/>
      </c>
      <c r="DC249" s="57">
        <f>IFERROR($V250/$V249-1,"")</f>
        <v/>
      </c>
      <c r="DD249" s="57">
        <f>IFERROR($W250/$W249-1,"")</f>
        <v/>
      </c>
      <c r="DE249" s="57">
        <f>IFERROR($X250/$X249-1,"")</f>
        <v/>
      </c>
      <c r="DF249" s="57">
        <f>IFERROR($Y250/$Y249-1,"")</f>
        <v/>
      </c>
      <c r="DG249" s="57">
        <f>IFERROR($Z250/$Z249-1,"")</f>
        <v/>
      </c>
      <c r="DH249" s="57">
        <f>IFERROR($AA250/$AA249-1,"")</f>
        <v/>
      </c>
      <c r="DI249" s="57">
        <f>IFERROR($AB250/$AB249-1,"")</f>
        <v/>
      </c>
      <c r="DJ249" s="57">
        <f>IFERROR($AC250/$AC249-1,"")</f>
        <v/>
      </c>
      <c r="DK249" s="57">
        <f>IFERROR($AD250/$AD249-1,"")</f>
        <v/>
      </c>
      <c r="DL249" s="57">
        <f>IFERROR($AE250/$AE249-1,"")</f>
        <v/>
      </c>
      <c r="DM249" s="56">
        <f>$AZ249-$AZ250</f>
        <v/>
      </c>
      <c r="DN249" s="56">
        <f>$BA249-$BA250</f>
        <v/>
      </c>
      <c r="DO249" s="56">
        <f>$BB249-$BB250</f>
        <v/>
      </c>
      <c r="DP249" s="56">
        <f>$BC249-$BC250</f>
        <v/>
      </c>
      <c r="DQ249" s="56">
        <f>$BD249-$BD250</f>
        <v/>
      </c>
      <c r="DR249" s="56">
        <f>$BE249-$BE250</f>
        <v/>
      </c>
      <c r="DS249" s="56">
        <f>$BF249-$BF250</f>
        <v/>
      </c>
      <c r="DT249" s="56">
        <f>$BG249-$BG250</f>
        <v/>
      </c>
      <c r="DU249" s="56">
        <f>$BH249-$BH250</f>
        <v/>
      </c>
      <c r="DV249" s="56">
        <f>$BI249-$BI250</f>
        <v/>
      </c>
      <c r="DW249" s="56">
        <f>$BJ249-$BJ250</f>
        <v/>
      </c>
      <c r="DX249" s="56">
        <f>$BK249-$BK250</f>
        <v/>
      </c>
      <c r="DY249" s="56">
        <f>$BL249-$BL250</f>
        <v/>
      </c>
      <c r="DZ249" s="56">
        <f>$BM249-$BM250</f>
        <v/>
      </c>
      <c r="EA249" s="56">
        <f>$BN249-$BN250</f>
        <v/>
      </c>
      <c r="EB249" s="56">
        <f>$BO249-$BO250</f>
        <v/>
      </c>
      <c r="EC249" s="56">
        <f>$BP249-$BP250</f>
        <v/>
      </c>
      <c r="ED249" s="56">
        <f>$BQ249-$BQ250</f>
        <v/>
      </c>
      <c r="EE249" s="56">
        <f>$BR249-$BR250</f>
        <v/>
      </c>
      <c r="EF249" s="56">
        <f>$BS249-$BS250</f>
        <v/>
      </c>
      <c r="EG249" s="56">
        <f>$BT249-$BT250</f>
        <v/>
      </c>
      <c r="EH249" s="56">
        <f>$BU249-$BU250</f>
        <v/>
      </c>
    </row>
    <row r="250">
      <c r="BV250" s="56">
        <f>($D250-$D251)*100</f>
        <v/>
      </c>
      <c r="BW250" s="56">
        <f>($C250-$C251)*100</f>
        <v/>
      </c>
      <c r="BX250" s="57">
        <f>IFERROR($I250/$I251-1,"")</f>
        <v/>
      </c>
      <c r="BY250" s="56">
        <f>($AF250-$AF251)*100</f>
        <v/>
      </c>
      <c r="BZ250" s="56">
        <f>($AG250-$AG251)*100</f>
        <v/>
      </c>
      <c r="CA250" s="56">
        <f>($AH250-$AH251)*100</f>
        <v/>
      </c>
      <c r="CB250" s="56">
        <f>($AI250-$AI251)*100</f>
        <v/>
      </c>
      <c r="CC250" s="56">
        <f>($AJ250-$AJ251)*100</f>
        <v/>
      </c>
      <c r="CD250" s="56">
        <f>($AK250-$AK251)*100</f>
        <v/>
      </c>
      <c r="CE250" s="56">
        <f>($AL250-$AL251)*100</f>
        <v/>
      </c>
      <c r="CF250" s="56">
        <f>($AM250-$AM251)*100</f>
        <v/>
      </c>
      <c r="CG250" s="56">
        <f>($AN250-$AN251)*100</f>
        <v/>
      </c>
      <c r="CH250" s="56">
        <f>($AO250-$AO251)*100</f>
        <v/>
      </c>
      <c r="CI250" s="56">
        <f>($AP250-$AP251)*100</f>
        <v/>
      </c>
      <c r="CJ250" s="56">
        <f>($AQ250-$AQ251)*100</f>
        <v/>
      </c>
      <c r="CK250" s="56">
        <f>($AR250-$AR251)*100</f>
        <v/>
      </c>
      <c r="CL250" s="56">
        <f>($AS250-$AS251)*100</f>
        <v/>
      </c>
      <c r="CM250" s="56">
        <f>($AT250-$AT251)*100</f>
        <v/>
      </c>
      <c r="CN250" s="56">
        <f>($AU250-$AU251)*100</f>
        <v/>
      </c>
      <c r="CO250" s="56">
        <f>($AV250-$AV251)*100</f>
        <v/>
      </c>
      <c r="CP250" s="56">
        <f>($AW250-$AW251)*100</f>
        <v/>
      </c>
      <c r="CQ250" s="56">
        <f>($AX250-$AX251)*100</f>
        <v/>
      </c>
      <c r="CR250" s="56">
        <f>($AY250-$AY251)*100</f>
        <v/>
      </c>
      <c r="CS250" s="57">
        <f>IFERROR($L251/$L250-1,"")</f>
        <v/>
      </c>
      <c r="CT250" s="57">
        <f>IFERROR($M251/$M250-1,"")</f>
        <v/>
      </c>
      <c r="CU250" s="57">
        <f>IFERROR($N251/$N250-1,"")</f>
        <v/>
      </c>
      <c r="CV250" s="57">
        <f>IFERROR($O251/$O250-1,"")</f>
        <v/>
      </c>
      <c r="CW250" s="57">
        <f>IFERROR($P251/$P250-1,"")</f>
        <v/>
      </c>
      <c r="CX250" s="57">
        <f>IFERROR($Q251/$Q250-1,"")</f>
        <v/>
      </c>
      <c r="CY250" s="57">
        <f>IFERROR($R251/$R250-1,"")</f>
        <v/>
      </c>
      <c r="CZ250" s="57">
        <f>IFERROR($S251/$S250-1,"")</f>
        <v/>
      </c>
      <c r="DA250" s="57">
        <f>IFERROR($T251/$T250-1,"")</f>
        <v/>
      </c>
      <c r="DB250" s="57">
        <f>IFERROR($U251/$U250-1,"")</f>
        <v/>
      </c>
      <c r="DC250" s="57">
        <f>IFERROR($V251/$V250-1,"")</f>
        <v/>
      </c>
      <c r="DD250" s="57">
        <f>IFERROR($W251/$W250-1,"")</f>
        <v/>
      </c>
      <c r="DE250" s="57">
        <f>IFERROR($X251/$X250-1,"")</f>
        <v/>
      </c>
      <c r="DF250" s="57">
        <f>IFERROR($Y251/$Y250-1,"")</f>
        <v/>
      </c>
      <c r="DG250" s="57">
        <f>IFERROR($Z251/$Z250-1,"")</f>
        <v/>
      </c>
      <c r="DH250" s="57">
        <f>IFERROR($AA251/$AA250-1,"")</f>
        <v/>
      </c>
      <c r="DI250" s="57">
        <f>IFERROR($AB251/$AB250-1,"")</f>
        <v/>
      </c>
      <c r="DJ250" s="57">
        <f>IFERROR($AC251/$AC250-1,"")</f>
        <v/>
      </c>
      <c r="DK250" s="57">
        <f>IFERROR($AD251/$AD250-1,"")</f>
        <v/>
      </c>
      <c r="DL250" s="57">
        <f>IFERROR($AE251/$AE250-1,"")</f>
        <v/>
      </c>
      <c r="DM250" s="56">
        <f>$AZ250-$AZ251</f>
        <v/>
      </c>
      <c r="DN250" s="56">
        <f>$BA250-$BA251</f>
        <v/>
      </c>
      <c r="DO250" s="56">
        <f>$BB250-$BB251</f>
        <v/>
      </c>
      <c r="DP250" s="56">
        <f>$BC250-$BC251</f>
        <v/>
      </c>
      <c r="DQ250" s="56">
        <f>$BD250-$BD251</f>
        <v/>
      </c>
      <c r="DR250" s="56">
        <f>$BE250-$BE251</f>
        <v/>
      </c>
      <c r="DS250" s="56">
        <f>$BF250-$BF251</f>
        <v/>
      </c>
      <c r="DT250" s="56">
        <f>$BG250-$BG251</f>
        <v/>
      </c>
      <c r="DU250" s="56">
        <f>$BH250-$BH251</f>
        <v/>
      </c>
      <c r="DV250" s="56">
        <f>$BI250-$BI251</f>
        <v/>
      </c>
      <c r="DW250" s="56">
        <f>$BJ250-$BJ251</f>
        <v/>
      </c>
      <c r="DX250" s="56">
        <f>$BK250-$BK251</f>
        <v/>
      </c>
      <c r="DY250" s="56">
        <f>$BL250-$BL251</f>
        <v/>
      </c>
      <c r="DZ250" s="56">
        <f>$BM250-$BM251</f>
        <v/>
      </c>
      <c r="EA250" s="56">
        <f>$BN250-$BN251</f>
        <v/>
      </c>
      <c r="EB250" s="56">
        <f>$BO250-$BO251</f>
        <v/>
      </c>
      <c r="EC250" s="56">
        <f>$BP250-$BP251</f>
        <v/>
      </c>
      <c r="ED250" s="56">
        <f>$BQ250-$BQ251</f>
        <v/>
      </c>
      <c r="EE250" s="56">
        <f>$BR250-$BR251</f>
        <v/>
      </c>
      <c r="EF250" s="56">
        <f>$BS250-$BS251</f>
        <v/>
      </c>
      <c r="EG250" s="56">
        <f>$BT250-$BT251</f>
        <v/>
      </c>
      <c r="EH250" s="56">
        <f>$BU250-$BU251</f>
        <v/>
      </c>
    </row>
    <row r="251">
      <c r="BV251" s="56">
        <f>($D251-$D252)*100</f>
        <v/>
      </c>
      <c r="BW251" s="56">
        <f>($C251-$C252)*100</f>
        <v/>
      </c>
      <c r="BX251" s="57">
        <f>IFERROR($I251/$I252-1,"")</f>
        <v/>
      </c>
      <c r="BY251" s="56">
        <f>($AF251-$AF252)*100</f>
        <v/>
      </c>
      <c r="BZ251" s="56">
        <f>($AG251-$AG252)*100</f>
        <v/>
      </c>
      <c r="CA251" s="56">
        <f>($AH251-$AH252)*100</f>
        <v/>
      </c>
      <c r="CB251" s="56">
        <f>($AI251-$AI252)*100</f>
        <v/>
      </c>
      <c r="CC251" s="56">
        <f>($AJ251-$AJ252)*100</f>
        <v/>
      </c>
      <c r="CD251" s="56">
        <f>($AK251-$AK252)*100</f>
        <v/>
      </c>
      <c r="CE251" s="56">
        <f>($AL251-$AL252)*100</f>
        <v/>
      </c>
      <c r="CF251" s="56">
        <f>($AM251-$AM252)*100</f>
        <v/>
      </c>
      <c r="CG251" s="56">
        <f>($AN251-$AN252)*100</f>
        <v/>
      </c>
      <c r="CH251" s="56">
        <f>($AO251-$AO252)*100</f>
        <v/>
      </c>
      <c r="CI251" s="56">
        <f>($AP251-$AP252)*100</f>
        <v/>
      </c>
      <c r="CJ251" s="56">
        <f>($AQ251-$AQ252)*100</f>
        <v/>
      </c>
      <c r="CK251" s="56">
        <f>($AR251-$AR252)*100</f>
        <v/>
      </c>
      <c r="CL251" s="56">
        <f>($AS251-$AS252)*100</f>
        <v/>
      </c>
      <c r="CM251" s="56">
        <f>($AT251-$AT252)*100</f>
        <v/>
      </c>
      <c r="CN251" s="56">
        <f>($AU251-$AU252)*100</f>
        <v/>
      </c>
      <c r="CO251" s="56">
        <f>($AV251-$AV252)*100</f>
        <v/>
      </c>
      <c r="CP251" s="56">
        <f>($AW251-$AW252)*100</f>
        <v/>
      </c>
      <c r="CQ251" s="56">
        <f>($AX251-$AX252)*100</f>
        <v/>
      </c>
      <c r="CR251" s="56">
        <f>($AY251-$AY252)*100</f>
        <v/>
      </c>
      <c r="CS251" s="57">
        <f>IFERROR($L252/$L251-1,"")</f>
        <v/>
      </c>
      <c r="CT251" s="57">
        <f>IFERROR($M252/$M251-1,"")</f>
        <v/>
      </c>
      <c r="CU251" s="57">
        <f>IFERROR($N252/$N251-1,"")</f>
        <v/>
      </c>
      <c r="CV251" s="57">
        <f>IFERROR($O252/$O251-1,"")</f>
        <v/>
      </c>
      <c r="CW251" s="57">
        <f>IFERROR($P252/$P251-1,"")</f>
        <v/>
      </c>
      <c r="CX251" s="57">
        <f>IFERROR($Q252/$Q251-1,"")</f>
        <v/>
      </c>
      <c r="CY251" s="57">
        <f>IFERROR($R252/$R251-1,"")</f>
        <v/>
      </c>
      <c r="CZ251" s="57">
        <f>IFERROR($S252/$S251-1,"")</f>
        <v/>
      </c>
      <c r="DA251" s="57">
        <f>IFERROR($T252/$T251-1,"")</f>
        <v/>
      </c>
      <c r="DB251" s="57">
        <f>IFERROR($U252/$U251-1,"")</f>
        <v/>
      </c>
      <c r="DC251" s="57">
        <f>IFERROR($V252/$V251-1,"")</f>
        <v/>
      </c>
      <c r="DD251" s="57">
        <f>IFERROR($W252/$W251-1,"")</f>
        <v/>
      </c>
      <c r="DE251" s="57">
        <f>IFERROR($X252/$X251-1,"")</f>
        <v/>
      </c>
      <c r="DF251" s="57">
        <f>IFERROR($Y252/$Y251-1,"")</f>
        <v/>
      </c>
      <c r="DG251" s="57">
        <f>IFERROR($Z252/$Z251-1,"")</f>
        <v/>
      </c>
      <c r="DH251" s="57">
        <f>IFERROR($AA252/$AA251-1,"")</f>
        <v/>
      </c>
      <c r="DI251" s="57">
        <f>IFERROR($AB252/$AB251-1,"")</f>
        <v/>
      </c>
      <c r="DJ251" s="57">
        <f>IFERROR($AC252/$AC251-1,"")</f>
        <v/>
      </c>
      <c r="DK251" s="57">
        <f>IFERROR($AD252/$AD251-1,"")</f>
        <v/>
      </c>
      <c r="DL251" s="57">
        <f>IFERROR($AE252/$AE251-1,"")</f>
        <v/>
      </c>
      <c r="DM251" s="56">
        <f>$AZ251-$AZ252</f>
        <v/>
      </c>
      <c r="DN251" s="56">
        <f>$BA251-$BA252</f>
        <v/>
      </c>
      <c r="DO251" s="56">
        <f>$BB251-$BB252</f>
        <v/>
      </c>
      <c r="DP251" s="56">
        <f>$BC251-$BC252</f>
        <v/>
      </c>
      <c r="DQ251" s="56">
        <f>$BD251-$BD252</f>
        <v/>
      </c>
      <c r="DR251" s="56">
        <f>$BE251-$BE252</f>
        <v/>
      </c>
      <c r="DS251" s="56">
        <f>$BF251-$BF252</f>
        <v/>
      </c>
      <c r="DT251" s="56">
        <f>$BG251-$BG252</f>
        <v/>
      </c>
      <c r="DU251" s="56">
        <f>$BH251-$BH252</f>
        <v/>
      </c>
      <c r="DV251" s="56">
        <f>$BI251-$BI252</f>
        <v/>
      </c>
      <c r="DW251" s="56">
        <f>$BJ251-$BJ252</f>
        <v/>
      </c>
      <c r="DX251" s="56">
        <f>$BK251-$BK252</f>
        <v/>
      </c>
      <c r="DY251" s="56">
        <f>$BL251-$BL252</f>
        <v/>
      </c>
      <c r="DZ251" s="56">
        <f>$BM251-$BM252</f>
        <v/>
      </c>
      <c r="EA251" s="56">
        <f>$BN251-$BN252</f>
        <v/>
      </c>
      <c r="EB251" s="56">
        <f>$BO251-$BO252</f>
        <v/>
      </c>
      <c r="EC251" s="56">
        <f>$BP251-$BP252</f>
        <v/>
      </c>
      <c r="ED251" s="56">
        <f>$BQ251-$BQ252</f>
        <v/>
      </c>
      <c r="EE251" s="56">
        <f>$BR251-$BR252</f>
        <v/>
      </c>
      <c r="EF251" s="56">
        <f>$BS251-$BS252</f>
        <v/>
      </c>
      <c r="EG251" s="56">
        <f>$BT251-$BT252</f>
        <v/>
      </c>
      <c r="EH251" s="56">
        <f>$BU251-$BU252</f>
        <v/>
      </c>
    </row>
    <row r="252">
      <c r="BV252" s="56">
        <f>($D252-$D253)*100</f>
        <v/>
      </c>
      <c r="BW252" s="56">
        <f>($C252-$C253)*100</f>
        <v/>
      </c>
      <c r="BX252" s="57">
        <f>IFERROR($I252/$I253-1,"")</f>
        <v/>
      </c>
      <c r="BY252" s="56">
        <f>($AF252-$AF253)*100</f>
        <v/>
      </c>
      <c r="BZ252" s="56">
        <f>($AG252-$AG253)*100</f>
        <v/>
      </c>
      <c r="CA252" s="56">
        <f>($AH252-$AH253)*100</f>
        <v/>
      </c>
      <c r="CB252" s="56">
        <f>($AI252-$AI253)*100</f>
        <v/>
      </c>
      <c r="CC252" s="56">
        <f>($AJ252-$AJ253)*100</f>
        <v/>
      </c>
      <c r="CD252" s="56">
        <f>($AK252-$AK253)*100</f>
        <v/>
      </c>
      <c r="CE252" s="56">
        <f>($AL252-$AL253)*100</f>
        <v/>
      </c>
      <c r="CF252" s="56">
        <f>($AM252-$AM253)*100</f>
        <v/>
      </c>
      <c r="CG252" s="56">
        <f>($AN252-$AN253)*100</f>
        <v/>
      </c>
      <c r="CH252" s="56">
        <f>($AO252-$AO253)*100</f>
        <v/>
      </c>
      <c r="CI252" s="56">
        <f>($AP252-$AP253)*100</f>
        <v/>
      </c>
      <c r="CJ252" s="56">
        <f>($AQ252-$AQ253)*100</f>
        <v/>
      </c>
      <c r="CK252" s="56">
        <f>($AR252-$AR253)*100</f>
        <v/>
      </c>
      <c r="CL252" s="56">
        <f>($AS252-$AS253)*100</f>
        <v/>
      </c>
      <c r="CM252" s="56">
        <f>($AT252-$AT253)*100</f>
        <v/>
      </c>
      <c r="CN252" s="56">
        <f>($AU252-$AU253)*100</f>
        <v/>
      </c>
      <c r="CO252" s="56">
        <f>($AV252-$AV253)*100</f>
        <v/>
      </c>
      <c r="CP252" s="56">
        <f>($AW252-$AW253)*100</f>
        <v/>
      </c>
      <c r="CQ252" s="56">
        <f>($AX252-$AX253)*100</f>
        <v/>
      </c>
      <c r="CR252" s="56">
        <f>($AY252-$AY253)*100</f>
        <v/>
      </c>
      <c r="CS252" s="57">
        <f>IFERROR($L253/$L252-1,"")</f>
        <v/>
      </c>
      <c r="CT252" s="57">
        <f>IFERROR($M253/$M252-1,"")</f>
        <v/>
      </c>
      <c r="CU252" s="57">
        <f>IFERROR($N253/$N252-1,"")</f>
        <v/>
      </c>
      <c r="CV252" s="57">
        <f>IFERROR($O253/$O252-1,"")</f>
        <v/>
      </c>
      <c r="CW252" s="57">
        <f>IFERROR($P253/$P252-1,"")</f>
        <v/>
      </c>
      <c r="CX252" s="57">
        <f>IFERROR($Q253/$Q252-1,"")</f>
        <v/>
      </c>
      <c r="CY252" s="57">
        <f>IFERROR($R253/$R252-1,"")</f>
        <v/>
      </c>
      <c r="CZ252" s="57">
        <f>IFERROR($S253/$S252-1,"")</f>
        <v/>
      </c>
      <c r="DA252" s="57">
        <f>IFERROR($T253/$T252-1,"")</f>
        <v/>
      </c>
      <c r="DB252" s="57">
        <f>IFERROR($U253/$U252-1,"")</f>
        <v/>
      </c>
      <c r="DC252" s="57">
        <f>IFERROR($V253/$V252-1,"")</f>
        <v/>
      </c>
      <c r="DD252" s="57">
        <f>IFERROR($W253/$W252-1,"")</f>
        <v/>
      </c>
      <c r="DE252" s="57">
        <f>IFERROR($X253/$X252-1,"")</f>
        <v/>
      </c>
      <c r="DF252" s="57">
        <f>IFERROR($Y253/$Y252-1,"")</f>
        <v/>
      </c>
      <c r="DG252" s="57">
        <f>IFERROR($Z253/$Z252-1,"")</f>
        <v/>
      </c>
      <c r="DH252" s="57">
        <f>IFERROR($AA253/$AA252-1,"")</f>
        <v/>
      </c>
      <c r="DI252" s="57">
        <f>IFERROR($AB253/$AB252-1,"")</f>
        <v/>
      </c>
      <c r="DJ252" s="57">
        <f>IFERROR($AC253/$AC252-1,"")</f>
        <v/>
      </c>
      <c r="DK252" s="57">
        <f>IFERROR($AD253/$AD252-1,"")</f>
        <v/>
      </c>
      <c r="DL252" s="57">
        <f>IFERROR($AE253/$AE252-1,"")</f>
        <v/>
      </c>
      <c r="DM252" s="56">
        <f>$AZ252-$AZ253</f>
        <v/>
      </c>
      <c r="DN252" s="56">
        <f>$BA252-$BA253</f>
        <v/>
      </c>
      <c r="DO252" s="56">
        <f>$BB252-$BB253</f>
        <v/>
      </c>
      <c r="DP252" s="56">
        <f>$BC252-$BC253</f>
        <v/>
      </c>
      <c r="DQ252" s="56">
        <f>$BD252-$BD253</f>
        <v/>
      </c>
      <c r="DR252" s="56">
        <f>$BE252-$BE253</f>
        <v/>
      </c>
      <c r="DS252" s="56">
        <f>$BF252-$BF253</f>
        <v/>
      </c>
      <c r="DT252" s="56">
        <f>$BG252-$BG253</f>
        <v/>
      </c>
      <c r="DU252" s="56">
        <f>$BH252-$BH253</f>
        <v/>
      </c>
      <c r="DV252" s="56">
        <f>$BI252-$BI253</f>
        <v/>
      </c>
      <c r="DW252" s="56">
        <f>$BJ252-$BJ253</f>
        <v/>
      </c>
      <c r="DX252" s="56">
        <f>$BK252-$BK253</f>
        <v/>
      </c>
      <c r="DY252" s="56">
        <f>$BL252-$BL253</f>
        <v/>
      </c>
      <c r="DZ252" s="56">
        <f>$BM252-$BM253</f>
        <v/>
      </c>
      <c r="EA252" s="56">
        <f>$BN252-$BN253</f>
        <v/>
      </c>
      <c r="EB252" s="56">
        <f>$BO252-$BO253</f>
        <v/>
      </c>
      <c r="EC252" s="56">
        <f>$BP252-$BP253</f>
        <v/>
      </c>
      <c r="ED252" s="56">
        <f>$BQ252-$BQ253</f>
        <v/>
      </c>
      <c r="EE252" s="56">
        <f>$BR252-$BR253</f>
        <v/>
      </c>
      <c r="EF252" s="56">
        <f>$BS252-$BS253</f>
        <v/>
      </c>
      <c r="EG252" s="56">
        <f>$BT252-$BT253</f>
        <v/>
      </c>
      <c r="EH252" s="56">
        <f>$BU252-$BU253</f>
        <v/>
      </c>
    </row>
    <row r="253">
      <c r="BV253" s="56">
        <f>($D253-$D254)*100</f>
        <v/>
      </c>
      <c r="BW253" s="56">
        <f>($C253-$C254)*100</f>
        <v/>
      </c>
      <c r="BX253" s="57">
        <f>IFERROR($I253/$I254-1,"")</f>
        <v/>
      </c>
      <c r="BY253" s="56">
        <f>($AF253-$AF254)*100</f>
        <v/>
      </c>
      <c r="BZ253" s="56">
        <f>($AG253-$AG254)*100</f>
        <v/>
      </c>
      <c r="CA253" s="56">
        <f>($AH253-$AH254)*100</f>
        <v/>
      </c>
      <c r="CB253" s="56">
        <f>($AI253-$AI254)*100</f>
        <v/>
      </c>
      <c r="CC253" s="56">
        <f>($AJ253-$AJ254)*100</f>
        <v/>
      </c>
      <c r="CD253" s="56">
        <f>($AK253-$AK254)*100</f>
        <v/>
      </c>
      <c r="CE253" s="56">
        <f>($AL253-$AL254)*100</f>
        <v/>
      </c>
      <c r="CF253" s="56">
        <f>($AM253-$AM254)*100</f>
        <v/>
      </c>
      <c r="CG253" s="56">
        <f>($AN253-$AN254)*100</f>
        <v/>
      </c>
      <c r="CH253" s="56">
        <f>($AO253-$AO254)*100</f>
        <v/>
      </c>
      <c r="CI253" s="56">
        <f>($AP253-$AP254)*100</f>
        <v/>
      </c>
      <c r="CJ253" s="56">
        <f>($AQ253-$AQ254)*100</f>
        <v/>
      </c>
      <c r="CK253" s="56">
        <f>($AR253-$AR254)*100</f>
        <v/>
      </c>
      <c r="CL253" s="56">
        <f>($AS253-$AS254)*100</f>
        <v/>
      </c>
      <c r="CM253" s="56">
        <f>($AT253-$AT254)*100</f>
        <v/>
      </c>
      <c r="CN253" s="56">
        <f>($AU253-$AU254)*100</f>
        <v/>
      </c>
      <c r="CO253" s="56">
        <f>($AV253-$AV254)*100</f>
        <v/>
      </c>
      <c r="CP253" s="56">
        <f>($AW253-$AW254)*100</f>
        <v/>
      </c>
      <c r="CQ253" s="56">
        <f>($AX253-$AX254)*100</f>
        <v/>
      </c>
      <c r="CR253" s="56">
        <f>($AY253-$AY254)*100</f>
        <v/>
      </c>
      <c r="CS253" s="57">
        <f>IFERROR($L254/$L253-1,"")</f>
        <v/>
      </c>
      <c r="CT253" s="57">
        <f>IFERROR($M254/$M253-1,"")</f>
        <v/>
      </c>
      <c r="CU253" s="57">
        <f>IFERROR($N254/$N253-1,"")</f>
        <v/>
      </c>
      <c r="CV253" s="57">
        <f>IFERROR($O254/$O253-1,"")</f>
        <v/>
      </c>
      <c r="CW253" s="57">
        <f>IFERROR($P254/$P253-1,"")</f>
        <v/>
      </c>
      <c r="CX253" s="57">
        <f>IFERROR($Q254/$Q253-1,"")</f>
        <v/>
      </c>
      <c r="CY253" s="57">
        <f>IFERROR($R254/$R253-1,"")</f>
        <v/>
      </c>
      <c r="CZ253" s="57">
        <f>IFERROR($S254/$S253-1,"")</f>
        <v/>
      </c>
      <c r="DA253" s="57">
        <f>IFERROR($T254/$T253-1,"")</f>
        <v/>
      </c>
      <c r="DB253" s="57">
        <f>IFERROR($U254/$U253-1,"")</f>
        <v/>
      </c>
      <c r="DC253" s="57">
        <f>IFERROR($V254/$V253-1,"")</f>
        <v/>
      </c>
      <c r="DD253" s="57">
        <f>IFERROR($W254/$W253-1,"")</f>
        <v/>
      </c>
      <c r="DE253" s="57">
        <f>IFERROR($X254/$X253-1,"")</f>
        <v/>
      </c>
      <c r="DF253" s="57">
        <f>IFERROR($Y254/$Y253-1,"")</f>
        <v/>
      </c>
      <c r="DG253" s="57">
        <f>IFERROR($Z254/$Z253-1,"")</f>
        <v/>
      </c>
      <c r="DH253" s="57">
        <f>IFERROR($AA254/$AA253-1,"")</f>
        <v/>
      </c>
      <c r="DI253" s="57">
        <f>IFERROR($AB254/$AB253-1,"")</f>
        <v/>
      </c>
      <c r="DJ253" s="57">
        <f>IFERROR($AC254/$AC253-1,"")</f>
        <v/>
      </c>
      <c r="DK253" s="57">
        <f>IFERROR($AD254/$AD253-1,"")</f>
        <v/>
      </c>
      <c r="DL253" s="57">
        <f>IFERROR($AE254/$AE253-1,"")</f>
        <v/>
      </c>
      <c r="DM253" s="56">
        <f>$AZ253-$AZ254</f>
        <v/>
      </c>
      <c r="DN253" s="56">
        <f>$BA253-$BA254</f>
        <v/>
      </c>
      <c r="DO253" s="56">
        <f>$BB253-$BB254</f>
        <v/>
      </c>
      <c r="DP253" s="56">
        <f>$BC253-$BC254</f>
        <v/>
      </c>
      <c r="DQ253" s="56">
        <f>$BD253-$BD254</f>
        <v/>
      </c>
      <c r="DR253" s="56">
        <f>$BE253-$BE254</f>
        <v/>
      </c>
      <c r="DS253" s="56">
        <f>$BF253-$BF254</f>
        <v/>
      </c>
      <c r="DT253" s="56">
        <f>$BG253-$BG254</f>
        <v/>
      </c>
      <c r="DU253" s="56">
        <f>$BH253-$BH254</f>
        <v/>
      </c>
      <c r="DV253" s="56">
        <f>$BI253-$BI254</f>
        <v/>
      </c>
      <c r="DW253" s="56">
        <f>$BJ253-$BJ254</f>
        <v/>
      </c>
      <c r="DX253" s="56">
        <f>$BK253-$BK254</f>
        <v/>
      </c>
      <c r="DY253" s="56">
        <f>$BL253-$BL254</f>
        <v/>
      </c>
      <c r="DZ253" s="56">
        <f>$BM253-$BM254</f>
        <v/>
      </c>
      <c r="EA253" s="56">
        <f>$BN253-$BN254</f>
        <v/>
      </c>
      <c r="EB253" s="56">
        <f>$BO253-$BO254</f>
        <v/>
      </c>
      <c r="EC253" s="56">
        <f>$BP253-$BP254</f>
        <v/>
      </c>
      <c r="ED253" s="56">
        <f>$BQ253-$BQ254</f>
        <v/>
      </c>
      <c r="EE253" s="56">
        <f>$BR253-$BR254</f>
        <v/>
      </c>
      <c r="EF253" s="56">
        <f>$BS253-$BS254</f>
        <v/>
      </c>
      <c r="EG253" s="56">
        <f>$BT253-$BT254</f>
        <v/>
      </c>
      <c r="EH253" s="56">
        <f>$BU253-$BU254</f>
        <v/>
      </c>
    </row>
    <row r="254">
      <c r="BV254" s="56">
        <f>($D254-$D255)*100</f>
        <v/>
      </c>
      <c r="BW254" s="56">
        <f>($C254-$C255)*100</f>
        <v/>
      </c>
      <c r="BX254" s="57">
        <f>IFERROR($I254/$I255-1,"")</f>
        <v/>
      </c>
      <c r="BY254" s="56">
        <f>($AF254-$AF255)*100</f>
        <v/>
      </c>
      <c r="BZ254" s="56">
        <f>($AG254-$AG255)*100</f>
        <v/>
      </c>
      <c r="CA254" s="56">
        <f>($AH254-$AH255)*100</f>
        <v/>
      </c>
      <c r="CB254" s="56">
        <f>($AI254-$AI255)*100</f>
        <v/>
      </c>
      <c r="CC254" s="56">
        <f>($AJ254-$AJ255)*100</f>
        <v/>
      </c>
      <c r="CD254" s="56">
        <f>($AK254-$AK255)*100</f>
        <v/>
      </c>
      <c r="CE254" s="56">
        <f>($AL254-$AL255)*100</f>
        <v/>
      </c>
      <c r="CF254" s="56">
        <f>($AM254-$AM255)*100</f>
        <v/>
      </c>
      <c r="CG254" s="56">
        <f>($AN254-$AN255)*100</f>
        <v/>
      </c>
      <c r="CH254" s="56">
        <f>($AO254-$AO255)*100</f>
        <v/>
      </c>
      <c r="CI254" s="56">
        <f>($AP254-$AP255)*100</f>
        <v/>
      </c>
      <c r="CJ254" s="56">
        <f>($AQ254-$AQ255)*100</f>
        <v/>
      </c>
      <c r="CK254" s="56">
        <f>($AR254-$AR255)*100</f>
        <v/>
      </c>
      <c r="CL254" s="56">
        <f>($AS254-$AS255)*100</f>
        <v/>
      </c>
      <c r="CM254" s="56">
        <f>($AT254-$AT255)*100</f>
        <v/>
      </c>
      <c r="CN254" s="56">
        <f>($AU254-$AU255)*100</f>
        <v/>
      </c>
      <c r="CO254" s="56">
        <f>($AV254-$AV255)*100</f>
        <v/>
      </c>
      <c r="CP254" s="56">
        <f>($AW254-$AW255)*100</f>
        <v/>
      </c>
      <c r="CQ254" s="56">
        <f>($AX254-$AX255)*100</f>
        <v/>
      </c>
      <c r="CR254" s="56">
        <f>($AY254-$AY255)*100</f>
        <v/>
      </c>
      <c r="CS254" s="57">
        <f>IFERROR($L255/$L254-1,"")</f>
        <v/>
      </c>
      <c r="CT254" s="57">
        <f>IFERROR($M255/$M254-1,"")</f>
        <v/>
      </c>
      <c r="CU254" s="57">
        <f>IFERROR($N255/$N254-1,"")</f>
        <v/>
      </c>
      <c r="CV254" s="57">
        <f>IFERROR($O255/$O254-1,"")</f>
        <v/>
      </c>
      <c r="CW254" s="57">
        <f>IFERROR($P255/$P254-1,"")</f>
        <v/>
      </c>
      <c r="CX254" s="57">
        <f>IFERROR($Q255/$Q254-1,"")</f>
        <v/>
      </c>
      <c r="CY254" s="57">
        <f>IFERROR($R255/$R254-1,"")</f>
        <v/>
      </c>
      <c r="CZ254" s="57">
        <f>IFERROR($S255/$S254-1,"")</f>
        <v/>
      </c>
      <c r="DA254" s="57">
        <f>IFERROR($T255/$T254-1,"")</f>
        <v/>
      </c>
      <c r="DB254" s="57">
        <f>IFERROR($U255/$U254-1,"")</f>
        <v/>
      </c>
      <c r="DC254" s="57">
        <f>IFERROR($V255/$V254-1,"")</f>
        <v/>
      </c>
      <c r="DD254" s="57">
        <f>IFERROR($W255/$W254-1,"")</f>
        <v/>
      </c>
      <c r="DE254" s="57">
        <f>IFERROR($X255/$X254-1,"")</f>
        <v/>
      </c>
      <c r="DF254" s="57">
        <f>IFERROR($Y255/$Y254-1,"")</f>
        <v/>
      </c>
      <c r="DG254" s="57">
        <f>IFERROR($Z255/$Z254-1,"")</f>
        <v/>
      </c>
      <c r="DH254" s="57">
        <f>IFERROR($AA255/$AA254-1,"")</f>
        <v/>
      </c>
      <c r="DI254" s="57">
        <f>IFERROR($AB255/$AB254-1,"")</f>
        <v/>
      </c>
      <c r="DJ254" s="57">
        <f>IFERROR($AC255/$AC254-1,"")</f>
        <v/>
      </c>
      <c r="DK254" s="57">
        <f>IFERROR($AD255/$AD254-1,"")</f>
        <v/>
      </c>
      <c r="DL254" s="57">
        <f>IFERROR($AE255/$AE254-1,"")</f>
        <v/>
      </c>
      <c r="DM254" s="56">
        <f>$AZ254-$AZ255</f>
        <v/>
      </c>
      <c r="DN254" s="56">
        <f>$BA254-$BA255</f>
        <v/>
      </c>
      <c r="DO254" s="56">
        <f>$BB254-$BB255</f>
        <v/>
      </c>
      <c r="DP254" s="56">
        <f>$BC254-$BC255</f>
        <v/>
      </c>
      <c r="DQ254" s="56">
        <f>$BD254-$BD255</f>
        <v/>
      </c>
      <c r="DR254" s="56">
        <f>$BE254-$BE255</f>
        <v/>
      </c>
      <c r="DS254" s="56">
        <f>$BF254-$BF255</f>
        <v/>
      </c>
      <c r="DT254" s="56">
        <f>$BG254-$BG255</f>
        <v/>
      </c>
      <c r="DU254" s="56">
        <f>$BH254-$BH255</f>
        <v/>
      </c>
      <c r="DV254" s="56">
        <f>$BI254-$BI255</f>
        <v/>
      </c>
      <c r="DW254" s="56">
        <f>$BJ254-$BJ255</f>
        <v/>
      </c>
      <c r="DX254" s="56">
        <f>$BK254-$BK255</f>
        <v/>
      </c>
      <c r="DY254" s="56">
        <f>$BL254-$BL255</f>
        <v/>
      </c>
      <c r="DZ254" s="56">
        <f>$BM254-$BM255</f>
        <v/>
      </c>
      <c r="EA254" s="56">
        <f>$BN254-$BN255</f>
        <v/>
      </c>
      <c r="EB254" s="56">
        <f>$BO254-$BO255</f>
        <v/>
      </c>
      <c r="EC254" s="56">
        <f>$BP254-$BP255</f>
        <v/>
      </c>
      <c r="ED254" s="56">
        <f>$BQ254-$BQ255</f>
        <v/>
      </c>
      <c r="EE254" s="56">
        <f>$BR254-$BR255</f>
        <v/>
      </c>
      <c r="EF254" s="56">
        <f>$BS254-$BS255</f>
        <v/>
      </c>
      <c r="EG254" s="56">
        <f>$BT254-$BT255</f>
        <v/>
      </c>
      <c r="EH254" s="56">
        <f>$BU254-$BU255</f>
        <v/>
      </c>
    </row>
    <row r="255">
      <c r="BV255" s="56">
        <f>($D255-$D256)*100</f>
        <v/>
      </c>
      <c r="BW255" s="56">
        <f>($C255-$C256)*100</f>
        <v/>
      </c>
      <c r="BX255" s="57">
        <f>IFERROR($I255/$I256-1,"")</f>
        <v/>
      </c>
      <c r="BY255" s="56">
        <f>($AF255-$AF256)*100</f>
        <v/>
      </c>
      <c r="BZ255" s="56">
        <f>($AG255-$AG256)*100</f>
        <v/>
      </c>
      <c r="CA255" s="56">
        <f>($AH255-$AH256)*100</f>
        <v/>
      </c>
      <c r="CB255" s="56">
        <f>($AI255-$AI256)*100</f>
        <v/>
      </c>
      <c r="CC255" s="56">
        <f>($AJ255-$AJ256)*100</f>
        <v/>
      </c>
      <c r="CD255" s="56">
        <f>($AK255-$AK256)*100</f>
        <v/>
      </c>
      <c r="CE255" s="56">
        <f>($AL255-$AL256)*100</f>
        <v/>
      </c>
      <c r="CF255" s="56">
        <f>($AM255-$AM256)*100</f>
        <v/>
      </c>
      <c r="CG255" s="56">
        <f>($AN255-$AN256)*100</f>
        <v/>
      </c>
      <c r="CH255" s="56">
        <f>($AO255-$AO256)*100</f>
        <v/>
      </c>
      <c r="CI255" s="56">
        <f>($AP255-$AP256)*100</f>
        <v/>
      </c>
      <c r="CJ255" s="56">
        <f>($AQ255-$AQ256)*100</f>
        <v/>
      </c>
      <c r="CK255" s="56">
        <f>($AR255-$AR256)*100</f>
        <v/>
      </c>
      <c r="CL255" s="56">
        <f>($AS255-$AS256)*100</f>
        <v/>
      </c>
      <c r="CM255" s="56">
        <f>($AT255-$AT256)*100</f>
        <v/>
      </c>
      <c r="CN255" s="56">
        <f>($AU255-$AU256)*100</f>
        <v/>
      </c>
      <c r="CO255" s="56">
        <f>($AV255-$AV256)*100</f>
        <v/>
      </c>
      <c r="CP255" s="56">
        <f>($AW255-$AW256)*100</f>
        <v/>
      </c>
      <c r="CQ255" s="56">
        <f>($AX255-$AX256)*100</f>
        <v/>
      </c>
      <c r="CR255" s="56">
        <f>($AY255-$AY256)*100</f>
        <v/>
      </c>
      <c r="CS255" s="57">
        <f>IFERROR($L256/$L255-1,"")</f>
        <v/>
      </c>
      <c r="CT255" s="57">
        <f>IFERROR($M256/$M255-1,"")</f>
        <v/>
      </c>
      <c r="CU255" s="57">
        <f>IFERROR($N256/$N255-1,"")</f>
        <v/>
      </c>
      <c r="CV255" s="57">
        <f>IFERROR($O256/$O255-1,"")</f>
        <v/>
      </c>
      <c r="CW255" s="57">
        <f>IFERROR($P256/$P255-1,"")</f>
        <v/>
      </c>
      <c r="CX255" s="57">
        <f>IFERROR($Q256/$Q255-1,"")</f>
        <v/>
      </c>
      <c r="CY255" s="57">
        <f>IFERROR($R256/$R255-1,"")</f>
        <v/>
      </c>
      <c r="CZ255" s="57">
        <f>IFERROR($S256/$S255-1,"")</f>
        <v/>
      </c>
      <c r="DA255" s="57">
        <f>IFERROR($T256/$T255-1,"")</f>
        <v/>
      </c>
      <c r="DB255" s="57">
        <f>IFERROR($U256/$U255-1,"")</f>
        <v/>
      </c>
      <c r="DC255" s="57">
        <f>IFERROR($V256/$V255-1,"")</f>
        <v/>
      </c>
      <c r="DD255" s="57">
        <f>IFERROR($W256/$W255-1,"")</f>
        <v/>
      </c>
      <c r="DE255" s="57">
        <f>IFERROR($X256/$X255-1,"")</f>
        <v/>
      </c>
      <c r="DF255" s="57">
        <f>IFERROR($Y256/$Y255-1,"")</f>
        <v/>
      </c>
      <c r="DG255" s="57">
        <f>IFERROR($Z256/$Z255-1,"")</f>
        <v/>
      </c>
      <c r="DH255" s="57">
        <f>IFERROR($AA256/$AA255-1,"")</f>
        <v/>
      </c>
      <c r="DI255" s="57">
        <f>IFERROR($AB256/$AB255-1,"")</f>
        <v/>
      </c>
      <c r="DJ255" s="57">
        <f>IFERROR($AC256/$AC255-1,"")</f>
        <v/>
      </c>
      <c r="DK255" s="57">
        <f>IFERROR($AD256/$AD255-1,"")</f>
        <v/>
      </c>
      <c r="DL255" s="57">
        <f>IFERROR($AE256/$AE255-1,"")</f>
        <v/>
      </c>
      <c r="DM255" s="56">
        <f>$AZ255-$AZ256</f>
        <v/>
      </c>
      <c r="DN255" s="56">
        <f>$BA255-$BA256</f>
        <v/>
      </c>
      <c r="DO255" s="56">
        <f>$BB255-$BB256</f>
        <v/>
      </c>
      <c r="DP255" s="56">
        <f>$BC255-$BC256</f>
        <v/>
      </c>
      <c r="DQ255" s="56">
        <f>$BD255-$BD256</f>
        <v/>
      </c>
      <c r="DR255" s="56">
        <f>$BE255-$BE256</f>
        <v/>
      </c>
      <c r="DS255" s="56">
        <f>$BF255-$BF256</f>
        <v/>
      </c>
      <c r="DT255" s="56">
        <f>$BG255-$BG256</f>
        <v/>
      </c>
      <c r="DU255" s="56">
        <f>$BH255-$BH256</f>
        <v/>
      </c>
      <c r="DV255" s="56">
        <f>$BI255-$BI256</f>
        <v/>
      </c>
      <c r="DW255" s="56">
        <f>$BJ255-$BJ256</f>
        <v/>
      </c>
      <c r="DX255" s="56">
        <f>$BK255-$BK256</f>
        <v/>
      </c>
      <c r="DY255" s="56">
        <f>$BL255-$BL256</f>
        <v/>
      </c>
      <c r="DZ255" s="56">
        <f>$BM255-$BM256</f>
        <v/>
      </c>
      <c r="EA255" s="56">
        <f>$BN255-$BN256</f>
        <v/>
      </c>
      <c r="EB255" s="56">
        <f>$BO255-$BO256</f>
        <v/>
      </c>
      <c r="EC255" s="56">
        <f>$BP255-$BP256</f>
        <v/>
      </c>
      <c r="ED255" s="56">
        <f>$BQ255-$BQ256</f>
        <v/>
      </c>
      <c r="EE255" s="56">
        <f>$BR255-$BR256</f>
        <v/>
      </c>
      <c r="EF255" s="56">
        <f>$BS255-$BS256</f>
        <v/>
      </c>
      <c r="EG255" s="56">
        <f>$BT255-$BT256</f>
        <v/>
      </c>
      <c r="EH255" s="56">
        <f>$BU255-$BU256</f>
        <v/>
      </c>
    </row>
    <row r="256">
      <c r="BV256" s="56">
        <f>($D256-$D257)*100</f>
        <v/>
      </c>
      <c r="BW256" s="56">
        <f>($C256-$C257)*100</f>
        <v/>
      </c>
      <c r="BX256" s="57">
        <f>IFERROR($I256/$I257-1,"")</f>
        <v/>
      </c>
      <c r="BY256" s="56">
        <f>($AF256-$AF257)*100</f>
        <v/>
      </c>
      <c r="BZ256" s="56">
        <f>($AG256-$AG257)*100</f>
        <v/>
      </c>
      <c r="CA256" s="56">
        <f>($AH256-$AH257)*100</f>
        <v/>
      </c>
      <c r="CB256" s="56">
        <f>($AI256-$AI257)*100</f>
        <v/>
      </c>
      <c r="CC256" s="56">
        <f>($AJ256-$AJ257)*100</f>
        <v/>
      </c>
      <c r="CD256" s="56">
        <f>($AK256-$AK257)*100</f>
        <v/>
      </c>
      <c r="CE256" s="56">
        <f>($AL256-$AL257)*100</f>
        <v/>
      </c>
      <c r="CF256" s="56">
        <f>($AM256-$AM257)*100</f>
        <v/>
      </c>
      <c r="CG256" s="56">
        <f>($AN256-$AN257)*100</f>
        <v/>
      </c>
      <c r="CH256" s="56">
        <f>($AO256-$AO257)*100</f>
        <v/>
      </c>
      <c r="CI256" s="56">
        <f>($AP256-$AP257)*100</f>
        <v/>
      </c>
      <c r="CJ256" s="56">
        <f>($AQ256-$AQ257)*100</f>
        <v/>
      </c>
      <c r="CK256" s="56">
        <f>($AR256-$AR257)*100</f>
        <v/>
      </c>
      <c r="CL256" s="56">
        <f>($AS256-$AS257)*100</f>
        <v/>
      </c>
      <c r="CM256" s="56">
        <f>($AT256-$AT257)*100</f>
        <v/>
      </c>
      <c r="CN256" s="56">
        <f>($AU256-$AU257)*100</f>
        <v/>
      </c>
      <c r="CO256" s="56">
        <f>($AV256-$AV257)*100</f>
        <v/>
      </c>
      <c r="CP256" s="56">
        <f>($AW256-$AW257)*100</f>
        <v/>
      </c>
      <c r="CQ256" s="56">
        <f>($AX256-$AX257)*100</f>
        <v/>
      </c>
      <c r="CR256" s="56">
        <f>($AY256-$AY257)*100</f>
        <v/>
      </c>
      <c r="CS256" s="57">
        <f>IFERROR($L257/$L256-1,"")</f>
        <v/>
      </c>
      <c r="CT256" s="57">
        <f>IFERROR($M257/$M256-1,"")</f>
        <v/>
      </c>
      <c r="CU256" s="57">
        <f>IFERROR($N257/$N256-1,"")</f>
        <v/>
      </c>
      <c r="CV256" s="57">
        <f>IFERROR($O257/$O256-1,"")</f>
        <v/>
      </c>
      <c r="CW256" s="57">
        <f>IFERROR($P257/$P256-1,"")</f>
        <v/>
      </c>
      <c r="CX256" s="57">
        <f>IFERROR($Q257/$Q256-1,"")</f>
        <v/>
      </c>
      <c r="CY256" s="57">
        <f>IFERROR($R257/$R256-1,"")</f>
        <v/>
      </c>
      <c r="CZ256" s="57">
        <f>IFERROR($S257/$S256-1,"")</f>
        <v/>
      </c>
      <c r="DA256" s="57">
        <f>IFERROR($T257/$T256-1,"")</f>
        <v/>
      </c>
      <c r="DB256" s="57">
        <f>IFERROR($U257/$U256-1,"")</f>
        <v/>
      </c>
      <c r="DC256" s="57">
        <f>IFERROR($V257/$V256-1,"")</f>
        <v/>
      </c>
      <c r="DD256" s="57">
        <f>IFERROR($W257/$W256-1,"")</f>
        <v/>
      </c>
      <c r="DE256" s="57">
        <f>IFERROR($X257/$X256-1,"")</f>
        <v/>
      </c>
      <c r="DF256" s="57">
        <f>IFERROR($Y257/$Y256-1,"")</f>
        <v/>
      </c>
      <c r="DG256" s="57">
        <f>IFERROR($Z257/$Z256-1,"")</f>
        <v/>
      </c>
      <c r="DH256" s="57">
        <f>IFERROR($AA257/$AA256-1,"")</f>
        <v/>
      </c>
      <c r="DI256" s="57">
        <f>IFERROR($AB257/$AB256-1,"")</f>
        <v/>
      </c>
      <c r="DJ256" s="57">
        <f>IFERROR($AC257/$AC256-1,"")</f>
        <v/>
      </c>
      <c r="DK256" s="57">
        <f>IFERROR($AD257/$AD256-1,"")</f>
        <v/>
      </c>
      <c r="DL256" s="57">
        <f>IFERROR($AE257/$AE256-1,"")</f>
        <v/>
      </c>
      <c r="DM256" s="56">
        <f>$AZ256-$AZ257</f>
        <v/>
      </c>
      <c r="DN256" s="56">
        <f>$BA256-$BA257</f>
        <v/>
      </c>
      <c r="DO256" s="56">
        <f>$BB256-$BB257</f>
        <v/>
      </c>
      <c r="DP256" s="56">
        <f>$BC256-$BC257</f>
        <v/>
      </c>
      <c r="DQ256" s="56">
        <f>$BD256-$BD257</f>
        <v/>
      </c>
      <c r="DR256" s="56">
        <f>$BE256-$BE257</f>
        <v/>
      </c>
      <c r="DS256" s="56">
        <f>$BF256-$BF257</f>
        <v/>
      </c>
      <c r="DT256" s="56">
        <f>$BG256-$BG257</f>
        <v/>
      </c>
      <c r="DU256" s="56">
        <f>$BH256-$BH257</f>
        <v/>
      </c>
      <c r="DV256" s="56">
        <f>$BI256-$BI257</f>
        <v/>
      </c>
      <c r="DW256" s="56">
        <f>$BJ256-$BJ257</f>
        <v/>
      </c>
      <c r="DX256" s="56">
        <f>$BK256-$BK257</f>
        <v/>
      </c>
      <c r="DY256" s="56">
        <f>$BL256-$BL257</f>
        <v/>
      </c>
      <c r="DZ256" s="56">
        <f>$BM256-$BM257</f>
        <v/>
      </c>
      <c r="EA256" s="56">
        <f>$BN256-$BN257</f>
        <v/>
      </c>
      <c r="EB256" s="56">
        <f>$BO256-$BO257</f>
        <v/>
      </c>
      <c r="EC256" s="56">
        <f>$BP256-$BP257</f>
        <v/>
      </c>
      <c r="ED256" s="56">
        <f>$BQ256-$BQ257</f>
        <v/>
      </c>
      <c r="EE256" s="56">
        <f>$BR256-$BR257</f>
        <v/>
      </c>
      <c r="EF256" s="56">
        <f>$BS256-$BS257</f>
        <v/>
      </c>
      <c r="EG256" s="56">
        <f>$BT256-$BT257</f>
        <v/>
      </c>
      <c r="EH256" s="56">
        <f>$BU256-$BU257</f>
        <v/>
      </c>
    </row>
    <row r="257">
      <c r="BV257" s="56">
        <f>($D257-$D258)*100</f>
        <v/>
      </c>
      <c r="BW257" s="56">
        <f>($C257-$C258)*100</f>
        <v/>
      </c>
      <c r="BX257" s="57">
        <f>IFERROR($I257/$I258-1,"")</f>
        <v/>
      </c>
      <c r="BY257" s="56">
        <f>($AF257-$AF258)*100</f>
        <v/>
      </c>
      <c r="BZ257" s="56">
        <f>($AG257-$AG258)*100</f>
        <v/>
      </c>
      <c r="CA257" s="56">
        <f>($AH257-$AH258)*100</f>
        <v/>
      </c>
      <c r="CB257" s="56">
        <f>($AI257-$AI258)*100</f>
        <v/>
      </c>
      <c r="CC257" s="56">
        <f>($AJ257-$AJ258)*100</f>
        <v/>
      </c>
      <c r="CD257" s="56">
        <f>($AK257-$AK258)*100</f>
        <v/>
      </c>
      <c r="CE257" s="56">
        <f>($AL257-$AL258)*100</f>
        <v/>
      </c>
      <c r="CF257" s="56">
        <f>($AM257-$AM258)*100</f>
        <v/>
      </c>
      <c r="CG257" s="56">
        <f>($AN257-$AN258)*100</f>
        <v/>
      </c>
      <c r="CH257" s="56">
        <f>($AO257-$AO258)*100</f>
        <v/>
      </c>
      <c r="CI257" s="56">
        <f>($AP257-$AP258)*100</f>
        <v/>
      </c>
      <c r="CJ257" s="56">
        <f>($AQ257-$AQ258)*100</f>
        <v/>
      </c>
      <c r="CK257" s="56">
        <f>($AR257-$AR258)*100</f>
        <v/>
      </c>
      <c r="CL257" s="56">
        <f>($AS257-$AS258)*100</f>
        <v/>
      </c>
      <c r="CM257" s="56">
        <f>($AT257-$AT258)*100</f>
        <v/>
      </c>
      <c r="CN257" s="56">
        <f>($AU257-$AU258)*100</f>
        <v/>
      </c>
      <c r="CO257" s="56">
        <f>($AV257-$AV258)*100</f>
        <v/>
      </c>
      <c r="CP257" s="56">
        <f>($AW257-$AW258)*100</f>
        <v/>
      </c>
      <c r="CQ257" s="56">
        <f>($AX257-$AX258)*100</f>
        <v/>
      </c>
      <c r="CR257" s="56">
        <f>($AY257-$AY258)*100</f>
        <v/>
      </c>
      <c r="CS257" s="57">
        <f>IFERROR($L258/$L257-1,"")</f>
        <v/>
      </c>
      <c r="CT257" s="57">
        <f>IFERROR($M258/$M257-1,"")</f>
        <v/>
      </c>
      <c r="CU257" s="57">
        <f>IFERROR($N258/$N257-1,"")</f>
        <v/>
      </c>
      <c r="CV257" s="57">
        <f>IFERROR($O258/$O257-1,"")</f>
        <v/>
      </c>
      <c r="CW257" s="57">
        <f>IFERROR($P258/$P257-1,"")</f>
        <v/>
      </c>
      <c r="CX257" s="57">
        <f>IFERROR($Q258/$Q257-1,"")</f>
        <v/>
      </c>
      <c r="CY257" s="57">
        <f>IFERROR($R258/$R257-1,"")</f>
        <v/>
      </c>
      <c r="CZ257" s="57">
        <f>IFERROR($S258/$S257-1,"")</f>
        <v/>
      </c>
      <c r="DA257" s="57">
        <f>IFERROR($T258/$T257-1,"")</f>
        <v/>
      </c>
      <c r="DB257" s="57">
        <f>IFERROR($U258/$U257-1,"")</f>
        <v/>
      </c>
      <c r="DC257" s="57">
        <f>IFERROR($V258/$V257-1,"")</f>
        <v/>
      </c>
      <c r="DD257" s="57">
        <f>IFERROR($W258/$W257-1,"")</f>
        <v/>
      </c>
      <c r="DE257" s="57">
        <f>IFERROR($X258/$X257-1,"")</f>
        <v/>
      </c>
      <c r="DF257" s="57">
        <f>IFERROR($Y258/$Y257-1,"")</f>
        <v/>
      </c>
      <c r="DG257" s="57">
        <f>IFERROR($Z258/$Z257-1,"")</f>
        <v/>
      </c>
      <c r="DH257" s="57">
        <f>IFERROR($AA258/$AA257-1,"")</f>
        <v/>
      </c>
      <c r="DI257" s="57">
        <f>IFERROR($AB258/$AB257-1,"")</f>
        <v/>
      </c>
      <c r="DJ257" s="57">
        <f>IFERROR($AC258/$AC257-1,"")</f>
        <v/>
      </c>
      <c r="DK257" s="57">
        <f>IFERROR($AD258/$AD257-1,"")</f>
        <v/>
      </c>
      <c r="DL257" s="57">
        <f>IFERROR($AE258/$AE257-1,"")</f>
        <v/>
      </c>
      <c r="DM257" s="56">
        <f>$AZ257-$AZ258</f>
        <v/>
      </c>
      <c r="DN257" s="56">
        <f>$BA257-$BA258</f>
        <v/>
      </c>
      <c r="DO257" s="56">
        <f>$BB257-$BB258</f>
        <v/>
      </c>
      <c r="DP257" s="56">
        <f>$BC257-$BC258</f>
        <v/>
      </c>
      <c r="DQ257" s="56">
        <f>$BD257-$BD258</f>
        <v/>
      </c>
      <c r="DR257" s="56">
        <f>$BE257-$BE258</f>
        <v/>
      </c>
      <c r="DS257" s="56">
        <f>$BF257-$BF258</f>
        <v/>
      </c>
      <c r="DT257" s="56">
        <f>$BG257-$BG258</f>
        <v/>
      </c>
      <c r="DU257" s="56">
        <f>$BH257-$BH258</f>
        <v/>
      </c>
      <c r="DV257" s="56">
        <f>$BI257-$BI258</f>
        <v/>
      </c>
      <c r="DW257" s="56">
        <f>$BJ257-$BJ258</f>
        <v/>
      </c>
      <c r="DX257" s="56">
        <f>$BK257-$BK258</f>
        <v/>
      </c>
      <c r="DY257" s="56">
        <f>$BL257-$BL258</f>
        <v/>
      </c>
      <c r="DZ257" s="56">
        <f>$BM257-$BM258</f>
        <v/>
      </c>
      <c r="EA257" s="56">
        <f>$BN257-$BN258</f>
        <v/>
      </c>
      <c r="EB257" s="56">
        <f>$BO257-$BO258</f>
        <v/>
      </c>
      <c r="EC257" s="56">
        <f>$BP257-$BP258</f>
        <v/>
      </c>
      <c r="ED257" s="56">
        <f>$BQ257-$BQ258</f>
        <v/>
      </c>
      <c r="EE257" s="56">
        <f>$BR257-$BR258</f>
        <v/>
      </c>
      <c r="EF257" s="56">
        <f>$BS257-$BS258</f>
        <v/>
      </c>
      <c r="EG257" s="56">
        <f>$BT257-$BT258</f>
        <v/>
      </c>
      <c r="EH257" s="56">
        <f>$BU257-$BU258</f>
        <v/>
      </c>
    </row>
    <row r="258">
      <c r="BV258" s="56">
        <f>($D258-$D259)*100</f>
        <v/>
      </c>
      <c r="BW258" s="56">
        <f>($C258-$C259)*100</f>
        <v/>
      </c>
      <c r="BX258" s="57">
        <f>IFERROR($I258/$I259-1,"")</f>
        <v/>
      </c>
      <c r="BY258" s="56">
        <f>($AF258-$AF259)*100</f>
        <v/>
      </c>
      <c r="BZ258" s="56">
        <f>($AG258-$AG259)*100</f>
        <v/>
      </c>
      <c r="CA258" s="56">
        <f>($AH258-$AH259)*100</f>
        <v/>
      </c>
      <c r="CB258" s="56">
        <f>($AI258-$AI259)*100</f>
        <v/>
      </c>
      <c r="CC258" s="56">
        <f>($AJ258-$AJ259)*100</f>
        <v/>
      </c>
      <c r="CD258" s="56">
        <f>($AK258-$AK259)*100</f>
        <v/>
      </c>
      <c r="CE258" s="56">
        <f>($AL258-$AL259)*100</f>
        <v/>
      </c>
      <c r="CF258" s="56">
        <f>($AM258-$AM259)*100</f>
        <v/>
      </c>
      <c r="CG258" s="56">
        <f>($AN258-$AN259)*100</f>
        <v/>
      </c>
      <c r="CH258" s="56">
        <f>($AO258-$AO259)*100</f>
        <v/>
      </c>
      <c r="CI258" s="56">
        <f>($AP258-$AP259)*100</f>
        <v/>
      </c>
      <c r="CJ258" s="56">
        <f>($AQ258-$AQ259)*100</f>
        <v/>
      </c>
      <c r="CK258" s="56">
        <f>($AR258-$AR259)*100</f>
        <v/>
      </c>
      <c r="CL258" s="56">
        <f>($AS258-$AS259)*100</f>
        <v/>
      </c>
      <c r="CM258" s="56">
        <f>($AT258-$AT259)*100</f>
        <v/>
      </c>
      <c r="CN258" s="56">
        <f>($AU258-$AU259)*100</f>
        <v/>
      </c>
      <c r="CO258" s="56">
        <f>($AV258-$AV259)*100</f>
        <v/>
      </c>
      <c r="CP258" s="56">
        <f>($AW258-$AW259)*100</f>
        <v/>
      </c>
      <c r="CQ258" s="56">
        <f>($AX258-$AX259)*100</f>
        <v/>
      </c>
      <c r="CR258" s="56">
        <f>($AY258-$AY259)*100</f>
        <v/>
      </c>
      <c r="CS258" s="57">
        <f>IFERROR($L259/$L258-1,"")</f>
        <v/>
      </c>
      <c r="CT258" s="57">
        <f>IFERROR($M259/$M258-1,"")</f>
        <v/>
      </c>
      <c r="CU258" s="57">
        <f>IFERROR($N259/$N258-1,"")</f>
        <v/>
      </c>
      <c r="CV258" s="57">
        <f>IFERROR($O259/$O258-1,"")</f>
        <v/>
      </c>
      <c r="CW258" s="57">
        <f>IFERROR($P259/$P258-1,"")</f>
        <v/>
      </c>
      <c r="CX258" s="57">
        <f>IFERROR($Q259/$Q258-1,"")</f>
        <v/>
      </c>
      <c r="CY258" s="57">
        <f>IFERROR($R259/$R258-1,"")</f>
        <v/>
      </c>
      <c r="CZ258" s="57">
        <f>IFERROR($S259/$S258-1,"")</f>
        <v/>
      </c>
      <c r="DA258" s="57">
        <f>IFERROR($T259/$T258-1,"")</f>
        <v/>
      </c>
      <c r="DB258" s="57">
        <f>IFERROR($U259/$U258-1,"")</f>
        <v/>
      </c>
      <c r="DC258" s="57">
        <f>IFERROR($V259/$V258-1,"")</f>
        <v/>
      </c>
      <c r="DD258" s="57">
        <f>IFERROR($W259/$W258-1,"")</f>
        <v/>
      </c>
      <c r="DE258" s="57">
        <f>IFERROR($X259/$X258-1,"")</f>
        <v/>
      </c>
      <c r="DF258" s="57">
        <f>IFERROR($Y259/$Y258-1,"")</f>
        <v/>
      </c>
      <c r="DG258" s="57">
        <f>IFERROR($Z259/$Z258-1,"")</f>
        <v/>
      </c>
      <c r="DH258" s="57">
        <f>IFERROR($AA259/$AA258-1,"")</f>
        <v/>
      </c>
      <c r="DI258" s="57">
        <f>IFERROR($AB259/$AB258-1,"")</f>
        <v/>
      </c>
      <c r="DJ258" s="57">
        <f>IFERROR($AC259/$AC258-1,"")</f>
        <v/>
      </c>
      <c r="DK258" s="57">
        <f>IFERROR($AD259/$AD258-1,"")</f>
        <v/>
      </c>
      <c r="DL258" s="57">
        <f>IFERROR($AE259/$AE258-1,"")</f>
        <v/>
      </c>
      <c r="DM258" s="56">
        <f>$AZ258-$AZ259</f>
        <v/>
      </c>
      <c r="DN258" s="56">
        <f>$BA258-$BA259</f>
        <v/>
      </c>
      <c r="DO258" s="56">
        <f>$BB258-$BB259</f>
        <v/>
      </c>
      <c r="DP258" s="56">
        <f>$BC258-$BC259</f>
        <v/>
      </c>
      <c r="DQ258" s="56">
        <f>$BD258-$BD259</f>
        <v/>
      </c>
      <c r="DR258" s="56">
        <f>$BE258-$BE259</f>
        <v/>
      </c>
      <c r="DS258" s="56">
        <f>$BF258-$BF259</f>
        <v/>
      </c>
      <c r="DT258" s="56">
        <f>$BG258-$BG259</f>
        <v/>
      </c>
      <c r="DU258" s="56">
        <f>$BH258-$BH259</f>
        <v/>
      </c>
      <c r="DV258" s="56">
        <f>$BI258-$BI259</f>
        <v/>
      </c>
      <c r="DW258" s="56">
        <f>$BJ258-$BJ259</f>
        <v/>
      </c>
      <c r="DX258" s="56">
        <f>$BK258-$BK259</f>
        <v/>
      </c>
      <c r="DY258" s="56">
        <f>$BL258-$BL259</f>
        <v/>
      </c>
      <c r="DZ258" s="56">
        <f>$BM258-$BM259</f>
        <v/>
      </c>
      <c r="EA258" s="56">
        <f>$BN258-$BN259</f>
        <v/>
      </c>
      <c r="EB258" s="56">
        <f>$BO258-$BO259</f>
        <v/>
      </c>
      <c r="EC258" s="56">
        <f>$BP258-$BP259</f>
        <v/>
      </c>
      <c r="ED258" s="56">
        <f>$BQ258-$BQ259</f>
        <v/>
      </c>
      <c r="EE258" s="56">
        <f>$BR258-$BR259</f>
        <v/>
      </c>
      <c r="EF258" s="56">
        <f>$BS258-$BS259</f>
        <v/>
      </c>
      <c r="EG258" s="56">
        <f>$BT258-$BT259</f>
        <v/>
      </c>
      <c r="EH258" s="56">
        <f>$BU258-$BU259</f>
        <v/>
      </c>
    </row>
    <row r="259">
      <c r="BV259" s="56">
        <f>($D259-$D260)*100</f>
        <v/>
      </c>
      <c r="BW259" s="56">
        <f>($C259-$C260)*100</f>
        <v/>
      </c>
      <c r="BX259" s="57">
        <f>IFERROR($I259/$I260-1,"")</f>
        <v/>
      </c>
      <c r="BY259" s="56">
        <f>($AF259-$AF260)*100</f>
        <v/>
      </c>
      <c r="BZ259" s="56">
        <f>($AG259-$AG260)*100</f>
        <v/>
      </c>
      <c r="CA259" s="56">
        <f>($AH259-$AH260)*100</f>
        <v/>
      </c>
      <c r="CB259" s="56">
        <f>($AI259-$AI260)*100</f>
        <v/>
      </c>
      <c r="CC259" s="56">
        <f>($AJ259-$AJ260)*100</f>
        <v/>
      </c>
      <c r="CD259" s="56">
        <f>($AK259-$AK260)*100</f>
        <v/>
      </c>
      <c r="CE259" s="56">
        <f>($AL259-$AL260)*100</f>
        <v/>
      </c>
      <c r="CF259" s="56">
        <f>($AM259-$AM260)*100</f>
        <v/>
      </c>
      <c r="CG259" s="56">
        <f>($AN259-$AN260)*100</f>
        <v/>
      </c>
      <c r="CH259" s="56">
        <f>($AO259-$AO260)*100</f>
        <v/>
      </c>
      <c r="CI259" s="56">
        <f>($AP259-$AP260)*100</f>
        <v/>
      </c>
      <c r="CJ259" s="56">
        <f>($AQ259-$AQ260)*100</f>
        <v/>
      </c>
      <c r="CK259" s="56">
        <f>($AR259-$AR260)*100</f>
        <v/>
      </c>
      <c r="CL259" s="56">
        <f>($AS259-$AS260)*100</f>
        <v/>
      </c>
      <c r="CM259" s="56">
        <f>($AT259-$AT260)*100</f>
        <v/>
      </c>
      <c r="CN259" s="56">
        <f>($AU259-$AU260)*100</f>
        <v/>
      </c>
      <c r="CO259" s="56">
        <f>($AV259-$AV260)*100</f>
        <v/>
      </c>
      <c r="CP259" s="56">
        <f>($AW259-$AW260)*100</f>
        <v/>
      </c>
      <c r="CQ259" s="56">
        <f>($AX259-$AX260)*100</f>
        <v/>
      </c>
      <c r="CR259" s="56">
        <f>($AY259-$AY260)*100</f>
        <v/>
      </c>
      <c r="CS259" s="57">
        <f>IFERROR($L260/$L259-1,"")</f>
        <v/>
      </c>
      <c r="CT259" s="57">
        <f>IFERROR($M260/$M259-1,"")</f>
        <v/>
      </c>
      <c r="CU259" s="57">
        <f>IFERROR($N260/$N259-1,"")</f>
        <v/>
      </c>
      <c r="CV259" s="57">
        <f>IFERROR($O260/$O259-1,"")</f>
        <v/>
      </c>
      <c r="CW259" s="57">
        <f>IFERROR($P260/$P259-1,"")</f>
        <v/>
      </c>
      <c r="CX259" s="57">
        <f>IFERROR($Q260/$Q259-1,"")</f>
        <v/>
      </c>
      <c r="CY259" s="57">
        <f>IFERROR($R260/$R259-1,"")</f>
        <v/>
      </c>
      <c r="CZ259" s="57">
        <f>IFERROR($S260/$S259-1,"")</f>
        <v/>
      </c>
      <c r="DA259" s="57">
        <f>IFERROR($T260/$T259-1,"")</f>
        <v/>
      </c>
      <c r="DB259" s="57">
        <f>IFERROR($U260/$U259-1,"")</f>
        <v/>
      </c>
      <c r="DC259" s="57">
        <f>IFERROR($V260/$V259-1,"")</f>
        <v/>
      </c>
      <c r="DD259" s="57">
        <f>IFERROR($W260/$W259-1,"")</f>
        <v/>
      </c>
      <c r="DE259" s="57">
        <f>IFERROR($X260/$X259-1,"")</f>
        <v/>
      </c>
      <c r="DF259" s="57">
        <f>IFERROR($Y260/$Y259-1,"")</f>
        <v/>
      </c>
      <c r="DG259" s="57">
        <f>IFERROR($Z260/$Z259-1,"")</f>
        <v/>
      </c>
      <c r="DH259" s="57">
        <f>IFERROR($AA260/$AA259-1,"")</f>
        <v/>
      </c>
      <c r="DI259" s="57">
        <f>IFERROR($AB260/$AB259-1,"")</f>
        <v/>
      </c>
      <c r="DJ259" s="57">
        <f>IFERROR($AC260/$AC259-1,"")</f>
        <v/>
      </c>
      <c r="DK259" s="57">
        <f>IFERROR($AD260/$AD259-1,"")</f>
        <v/>
      </c>
      <c r="DL259" s="57">
        <f>IFERROR($AE260/$AE259-1,"")</f>
        <v/>
      </c>
      <c r="DM259" s="56">
        <f>$AZ259-$AZ260</f>
        <v/>
      </c>
      <c r="DN259" s="56">
        <f>$BA259-$BA260</f>
        <v/>
      </c>
      <c r="DO259" s="56">
        <f>$BB259-$BB260</f>
        <v/>
      </c>
      <c r="DP259" s="56">
        <f>$BC259-$BC260</f>
        <v/>
      </c>
      <c r="DQ259" s="56">
        <f>$BD259-$BD260</f>
        <v/>
      </c>
      <c r="DR259" s="56">
        <f>$BE259-$BE260</f>
        <v/>
      </c>
      <c r="DS259" s="56">
        <f>$BF259-$BF260</f>
        <v/>
      </c>
      <c r="DT259" s="56">
        <f>$BG259-$BG260</f>
        <v/>
      </c>
      <c r="DU259" s="56">
        <f>$BH259-$BH260</f>
        <v/>
      </c>
      <c r="DV259" s="56">
        <f>$BI259-$BI260</f>
        <v/>
      </c>
      <c r="DW259" s="56">
        <f>$BJ259-$BJ260</f>
        <v/>
      </c>
      <c r="DX259" s="56">
        <f>$BK259-$BK260</f>
        <v/>
      </c>
      <c r="DY259" s="56">
        <f>$BL259-$BL260</f>
        <v/>
      </c>
      <c r="DZ259" s="56">
        <f>$BM259-$BM260</f>
        <v/>
      </c>
      <c r="EA259" s="56">
        <f>$BN259-$BN260</f>
        <v/>
      </c>
      <c r="EB259" s="56">
        <f>$BO259-$BO260</f>
        <v/>
      </c>
      <c r="EC259" s="56">
        <f>$BP259-$BP260</f>
        <v/>
      </c>
      <c r="ED259" s="56">
        <f>$BQ259-$BQ260</f>
        <v/>
      </c>
      <c r="EE259" s="56">
        <f>$BR259-$BR260</f>
        <v/>
      </c>
      <c r="EF259" s="56">
        <f>$BS259-$BS260</f>
        <v/>
      </c>
      <c r="EG259" s="56">
        <f>$BT259-$BT260</f>
        <v/>
      </c>
      <c r="EH259" s="56">
        <f>$BU259-$BU260</f>
        <v/>
      </c>
    </row>
    <row r="260">
      <c r="BV260" s="56">
        <f>($D260-$D261)*100</f>
        <v/>
      </c>
      <c r="BW260" s="56">
        <f>($C260-$C261)*100</f>
        <v/>
      </c>
      <c r="BX260" s="57">
        <f>IFERROR($I260/$I261-1,"")</f>
        <v/>
      </c>
      <c r="BY260" s="56">
        <f>($AF260-$AF261)*100</f>
        <v/>
      </c>
      <c r="BZ260" s="56">
        <f>($AG260-$AG261)*100</f>
        <v/>
      </c>
      <c r="CA260" s="56">
        <f>($AH260-$AH261)*100</f>
        <v/>
      </c>
      <c r="CB260" s="56">
        <f>($AI260-$AI261)*100</f>
        <v/>
      </c>
      <c r="CC260" s="56">
        <f>($AJ260-$AJ261)*100</f>
        <v/>
      </c>
      <c r="CD260" s="56">
        <f>($AK260-$AK261)*100</f>
        <v/>
      </c>
      <c r="CE260" s="56">
        <f>($AL260-$AL261)*100</f>
        <v/>
      </c>
      <c r="CF260" s="56">
        <f>($AM260-$AM261)*100</f>
        <v/>
      </c>
      <c r="CG260" s="56">
        <f>($AN260-$AN261)*100</f>
        <v/>
      </c>
      <c r="CH260" s="56">
        <f>($AO260-$AO261)*100</f>
        <v/>
      </c>
      <c r="CI260" s="56">
        <f>($AP260-$AP261)*100</f>
        <v/>
      </c>
      <c r="CJ260" s="56">
        <f>($AQ260-$AQ261)*100</f>
        <v/>
      </c>
      <c r="CK260" s="56">
        <f>($AR260-$AR261)*100</f>
        <v/>
      </c>
      <c r="CL260" s="56">
        <f>($AS260-$AS261)*100</f>
        <v/>
      </c>
      <c r="CM260" s="56">
        <f>($AT260-$AT261)*100</f>
        <v/>
      </c>
      <c r="CN260" s="56">
        <f>($AU260-$AU261)*100</f>
        <v/>
      </c>
      <c r="CO260" s="56">
        <f>($AV260-$AV261)*100</f>
        <v/>
      </c>
      <c r="CP260" s="56">
        <f>($AW260-$AW261)*100</f>
        <v/>
      </c>
      <c r="CQ260" s="56">
        <f>($AX260-$AX261)*100</f>
        <v/>
      </c>
      <c r="CR260" s="56">
        <f>($AY260-$AY261)*100</f>
        <v/>
      </c>
      <c r="CS260" s="57">
        <f>IFERROR($L261/$L260-1,"")</f>
        <v/>
      </c>
      <c r="CT260" s="57">
        <f>IFERROR($M261/$M260-1,"")</f>
        <v/>
      </c>
      <c r="CU260" s="57">
        <f>IFERROR($N261/$N260-1,"")</f>
        <v/>
      </c>
      <c r="CV260" s="57">
        <f>IFERROR($O261/$O260-1,"")</f>
        <v/>
      </c>
      <c r="CW260" s="57">
        <f>IFERROR($P261/$P260-1,"")</f>
        <v/>
      </c>
      <c r="CX260" s="57">
        <f>IFERROR($Q261/$Q260-1,"")</f>
        <v/>
      </c>
      <c r="CY260" s="57">
        <f>IFERROR($R261/$R260-1,"")</f>
        <v/>
      </c>
      <c r="CZ260" s="57">
        <f>IFERROR($S261/$S260-1,"")</f>
        <v/>
      </c>
      <c r="DA260" s="57">
        <f>IFERROR($T261/$T260-1,"")</f>
        <v/>
      </c>
      <c r="DB260" s="57">
        <f>IFERROR($U261/$U260-1,"")</f>
        <v/>
      </c>
      <c r="DC260" s="57">
        <f>IFERROR($V261/$V260-1,"")</f>
        <v/>
      </c>
      <c r="DD260" s="57">
        <f>IFERROR($W261/$W260-1,"")</f>
        <v/>
      </c>
      <c r="DE260" s="57">
        <f>IFERROR($X261/$X260-1,"")</f>
        <v/>
      </c>
      <c r="DF260" s="57">
        <f>IFERROR($Y261/$Y260-1,"")</f>
        <v/>
      </c>
      <c r="DG260" s="57">
        <f>IFERROR($Z261/$Z260-1,"")</f>
        <v/>
      </c>
      <c r="DH260" s="57">
        <f>IFERROR($AA261/$AA260-1,"")</f>
        <v/>
      </c>
      <c r="DI260" s="57">
        <f>IFERROR($AB261/$AB260-1,"")</f>
        <v/>
      </c>
      <c r="DJ260" s="57">
        <f>IFERROR($AC261/$AC260-1,"")</f>
        <v/>
      </c>
      <c r="DK260" s="57">
        <f>IFERROR($AD261/$AD260-1,"")</f>
        <v/>
      </c>
      <c r="DL260" s="57">
        <f>IFERROR($AE261/$AE260-1,"")</f>
        <v/>
      </c>
      <c r="DM260" s="56">
        <f>$AZ260-$AZ261</f>
        <v/>
      </c>
      <c r="DN260" s="56">
        <f>$BA260-$BA261</f>
        <v/>
      </c>
      <c r="DO260" s="56">
        <f>$BB260-$BB261</f>
        <v/>
      </c>
      <c r="DP260" s="56">
        <f>$BC260-$BC261</f>
        <v/>
      </c>
      <c r="DQ260" s="56">
        <f>$BD260-$BD261</f>
        <v/>
      </c>
      <c r="DR260" s="56">
        <f>$BE260-$BE261</f>
        <v/>
      </c>
      <c r="DS260" s="56">
        <f>$BF260-$BF261</f>
        <v/>
      </c>
      <c r="DT260" s="56">
        <f>$BG260-$BG261</f>
        <v/>
      </c>
      <c r="DU260" s="56">
        <f>$BH260-$BH261</f>
        <v/>
      </c>
      <c r="DV260" s="56">
        <f>$BI260-$BI261</f>
        <v/>
      </c>
      <c r="DW260" s="56">
        <f>$BJ260-$BJ261</f>
        <v/>
      </c>
      <c r="DX260" s="56">
        <f>$BK260-$BK261</f>
        <v/>
      </c>
      <c r="DY260" s="56">
        <f>$BL260-$BL261</f>
        <v/>
      </c>
      <c r="DZ260" s="56">
        <f>$BM260-$BM261</f>
        <v/>
      </c>
      <c r="EA260" s="56">
        <f>$BN260-$BN261</f>
        <v/>
      </c>
      <c r="EB260" s="56">
        <f>$BO260-$BO261</f>
        <v/>
      </c>
      <c r="EC260" s="56">
        <f>$BP260-$BP261</f>
        <v/>
      </c>
      <c r="ED260" s="56">
        <f>$BQ260-$BQ261</f>
        <v/>
      </c>
      <c r="EE260" s="56">
        <f>$BR260-$BR261</f>
        <v/>
      </c>
      <c r="EF260" s="56">
        <f>$BS260-$BS261</f>
        <v/>
      </c>
      <c r="EG260" s="56">
        <f>$BT260-$BT261</f>
        <v/>
      </c>
      <c r="EH260" s="56">
        <f>$BU260-$BU261</f>
        <v/>
      </c>
    </row>
    <row r="261">
      <c r="BV261" s="56">
        <f>($D261-$D262)*100</f>
        <v/>
      </c>
      <c r="BW261" s="56">
        <f>($C261-$C262)*100</f>
        <v/>
      </c>
      <c r="BX261" s="57">
        <f>IFERROR($I261/$I262-1,"")</f>
        <v/>
      </c>
      <c r="BY261" s="56">
        <f>($AF261-$AF262)*100</f>
        <v/>
      </c>
      <c r="BZ261" s="56">
        <f>($AG261-$AG262)*100</f>
        <v/>
      </c>
      <c r="CA261" s="56">
        <f>($AH261-$AH262)*100</f>
        <v/>
      </c>
      <c r="CB261" s="56">
        <f>($AI261-$AI262)*100</f>
        <v/>
      </c>
      <c r="CC261" s="56">
        <f>($AJ261-$AJ262)*100</f>
        <v/>
      </c>
      <c r="CD261" s="56">
        <f>($AK261-$AK262)*100</f>
        <v/>
      </c>
      <c r="CE261" s="56">
        <f>($AL261-$AL262)*100</f>
        <v/>
      </c>
      <c r="CF261" s="56">
        <f>($AM261-$AM262)*100</f>
        <v/>
      </c>
      <c r="CG261" s="56">
        <f>($AN261-$AN262)*100</f>
        <v/>
      </c>
      <c r="CH261" s="56">
        <f>($AO261-$AO262)*100</f>
        <v/>
      </c>
      <c r="CI261" s="56">
        <f>($AP261-$AP262)*100</f>
        <v/>
      </c>
      <c r="CJ261" s="56">
        <f>($AQ261-$AQ262)*100</f>
        <v/>
      </c>
      <c r="CK261" s="56">
        <f>($AR261-$AR262)*100</f>
        <v/>
      </c>
      <c r="CL261" s="56">
        <f>($AS261-$AS262)*100</f>
        <v/>
      </c>
      <c r="CM261" s="56">
        <f>($AT261-$AT262)*100</f>
        <v/>
      </c>
      <c r="CN261" s="56">
        <f>($AU261-$AU262)*100</f>
        <v/>
      </c>
      <c r="CO261" s="56">
        <f>($AV261-$AV262)*100</f>
        <v/>
      </c>
      <c r="CP261" s="56">
        <f>($AW261-$AW262)*100</f>
        <v/>
      </c>
      <c r="CQ261" s="56">
        <f>($AX261-$AX262)*100</f>
        <v/>
      </c>
      <c r="CR261" s="56">
        <f>($AY261-$AY262)*100</f>
        <v/>
      </c>
      <c r="CS261" s="57">
        <f>IFERROR($L262/$L261-1,"")</f>
        <v/>
      </c>
      <c r="CT261" s="57">
        <f>IFERROR($M262/$M261-1,"")</f>
        <v/>
      </c>
      <c r="CU261" s="57">
        <f>IFERROR($N262/$N261-1,"")</f>
        <v/>
      </c>
      <c r="CV261" s="57">
        <f>IFERROR($O262/$O261-1,"")</f>
        <v/>
      </c>
      <c r="CW261" s="57">
        <f>IFERROR($P262/$P261-1,"")</f>
        <v/>
      </c>
      <c r="CX261" s="57">
        <f>IFERROR($Q262/$Q261-1,"")</f>
        <v/>
      </c>
      <c r="CY261" s="57">
        <f>IFERROR($R262/$R261-1,"")</f>
        <v/>
      </c>
      <c r="CZ261" s="57">
        <f>IFERROR($S262/$S261-1,"")</f>
        <v/>
      </c>
      <c r="DA261" s="57">
        <f>IFERROR($T262/$T261-1,"")</f>
        <v/>
      </c>
      <c r="DB261" s="57">
        <f>IFERROR($U262/$U261-1,"")</f>
        <v/>
      </c>
      <c r="DC261" s="57">
        <f>IFERROR($V262/$V261-1,"")</f>
        <v/>
      </c>
      <c r="DD261" s="57">
        <f>IFERROR($W262/$W261-1,"")</f>
        <v/>
      </c>
      <c r="DE261" s="57">
        <f>IFERROR($X262/$X261-1,"")</f>
        <v/>
      </c>
      <c r="DF261" s="57">
        <f>IFERROR($Y262/$Y261-1,"")</f>
        <v/>
      </c>
      <c r="DG261" s="57">
        <f>IFERROR($Z262/$Z261-1,"")</f>
        <v/>
      </c>
      <c r="DH261" s="57">
        <f>IFERROR($AA262/$AA261-1,"")</f>
        <v/>
      </c>
      <c r="DI261" s="57">
        <f>IFERROR($AB262/$AB261-1,"")</f>
        <v/>
      </c>
      <c r="DJ261" s="57">
        <f>IFERROR($AC262/$AC261-1,"")</f>
        <v/>
      </c>
      <c r="DK261" s="57">
        <f>IFERROR($AD262/$AD261-1,"")</f>
        <v/>
      </c>
      <c r="DL261" s="57">
        <f>IFERROR($AE262/$AE261-1,"")</f>
        <v/>
      </c>
      <c r="DM261" s="56">
        <f>$AZ261-$AZ262</f>
        <v/>
      </c>
      <c r="DN261" s="56">
        <f>$BA261-$BA262</f>
        <v/>
      </c>
      <c r="DO261" s="56">
        <f>$BB261-$BB262</f>
        <v/>
      </c>
      <c r="DP261" s="56">
        <f>$BC261-$BC262</f>
        <v/>
      </c>
      <c r="DQ261" s="56">
        <f>$BD261-$BD262</f>
        <v/>
      </c>
      <c r="DR261" s="56">
        <f>$BE261-$BE262</f>
        <v/>
      </c>
      <c r="DS261" s="56">
        <f>$BF261-$BF262</f>
        <v/>
      </c>
      <c r="DT261" s="56">
        <f>$BG261-$BG262</f>
        <v/>
      </c>
      <c r="DU261" s="56">
        <f>$BH261-$BH262</f>
        <v/>
      </c>
      <c r="DV261" s="56">
        <f>$BI261-$BI262</f>
        <v/>
      </c>
      <c r="DW261" s="56">
        <f>$BJ261-$BJ262</f>
        <v/>
      </c>
      <c r="DX261" s="56">
        <f>$BK261-$BK262</f>
        <v/>
      </c>
      <c r="DY261" s="56">
        <f>$BL261-$BL262</f>
        <v/>
      </c>
      <c r="DZ261" s="56">
        <f>$BM261-$BM262</f>
        <v/>
      </c>
      <c r="EA261" s="56">
        <f>$BN261-$BN262</f>
        <v/>
      </c>
      <c r="EB261" s="56">
        <f>$BO261-$BO262</f>
        <v/>
      </c>
      <c r="EC261" s="56">
        <f>$BP261-$BP262</f>
        <v/>
      </c>
      <c r="ED261" s="56">
        <f>$BQ261-$BQ262</f>
        <v/>
      </c>
      <c r="EE261" s="56">
        <f>$BR261-$BR262</f>
        <v/>
      </c>
      <c r="EF261" s="56">
        <f>$BS261-$BS262</f>
        <v/>
      </c>
      <c r="EG261" s="56">
        <f>$BT261-$BT262</f>
        <v/>
      </c>
      <c r="EH261" s="56">
        <f>$BU261-$BU262</f>
        <v/>
      </c>
    </row>
    <row r="262">
      <c r="BV262" s="56">
        <f>($D262-$D263)*100</f>
        <v/>
      </c>
      <c r="BW262" s="56">
        <f>($C262-$C263)*100</f>
        <v/>
      </c>
      <c r="BX262" s="57">
        <f>IFERROR($I262/$I263-1,"")</f>
        <v/>
      </c>
      <c r="BY262" s="56">
        <f>($AF262-$AF263)*100</f>
        <v/>
      </c>
      <c r="BZ262" s="56">
        <f>($AG262-$AG263)*100</f>
        <v/>
      </c>
      <c r="CA262" s="56">
        <f>($AH262-$AH263)*100</f>
        <v/>
      </c>
      <c r="CB262" s="56">
        <f>($AI262-$AI263)*100</f>
        <v/>
      </c>
      <c r="CC262" s="56">
        <f>($AJ262-$AJ263)*100</f>
        <v/>
      </c>
      <c r="CD262" s="56">
        <f>($AK262-$AK263)*100</f>
        <v/>
      </c>
      <c r="CE262" s="56">
        <f>($AL262-$AL263)*100</f>
        <v/>
      </c>
      <c r="CF262" s="56">
        <f>($AM262-$AM263)*100</f>
        <v/>
      </c>
      <c r="CG262" s="56">
        <f>($AN262-$AN263)*100</f>
        <v/>
      </c>
      <c r="CH262" s="56">
        <f>($AO262-$AO263)*100</f>
        <v/>
      </c>
      <c r="CI262" s="56">
        <f>($AP262-$AP263)*100</f>
        <v/>
      </c>
      <c r="CJ262" s="56">
        <f>($AQ262-$AQ263)*100</f>
        <v/>
      </c>
      <c r="CK262" s="56">
        <f>($AR262-$AR263)*100</f>
        <v/>
      </c>
      <c r="CL262" s="56">
        <f>($AS262-$AS263)*100</f>
        <v/>
      </c>
      <c r="CM262" s="56">
        <f>($AT262-$AT263)*100</f>
        <v/>
      </c>
      <c r="CN262" s="56">
        <f>($AU262-$AU263)*100</f>
        <v/>
      </c>
      <c r="CO262" s="56">
        <f>($AV262-$AV263)*100</f>
        <v/>
      </c>
      <c r="CP262" s="56">
        <f>($AW262-$AW263)*100</f>
        <v/>
      </c>
      <c r="CQ262" s="56">
        <f>($AX262-$AX263)*100</f>
        <v/>
      </c>
      <c r="CR262" s="56">
        <f>($AY262-$AY263)*100</f>
        <v/>
      </c>
      <c r="CS262" s="57">
        <f>IFERROR($L263/$L262-1,"")</f>
        <v/>
      </c>
      <c r="CT262" s="57">
        <f>IFERROR($M263/$M262-1,"")</f>
        <v/>
      </c>
      <c r="CU262" s="57">
        <f>IFERROR($N263/$N262-1,"")</f>
        <v/>
      </c>
      <c r="CV262" s="57">
        <f>IFERROR($O263/$O262-1,"")</f>
        <v/>
      </c>
      <c r="CW262" s="57">
        <f>IFERROR($P263/$P262-1,"")</f>
        <v/>
      </c>
      <c r="CX262" s="57">
        <f>IFERROR($Q263/$Q262-1,"")</f>
        <v/>
      </c>
      <c r="CY262" s="57">
        <f>IFERROR($R263/$R262-1,"")</f>
        <v/>
      </c>
      <c r="CZ262" s="57">
        <f>IFERROR($S263/$S262-1,"")</f>
        <v/>
      </c>
      <c r="DA262" s="57">
        <f>IFERROR($T263/$T262-1,"")</f>
        <v/>
      </c>
      <c r="DB262" s="57">
        <f>IFERROR($U263/$U262-1,"")</f>
        <v/>
      </c>
      <c r="DC262" s="57">
        <f>IFERROR($V263/$V262-1,"")</f>
        <v/>
      </c>
      <c r="DD262" s="57">
        <f>IFERROR($W263/$W262-1,"")</f>
        <v/>
      </c>
      <c r="DE262" s="57">
        <f>IFERROR($X263/$X262-1,"")</f>
        <v/>
      </c>
      <c r="DF262" s="57">
        <f>IFERROR($Y263/$Y262-1,"")</f>
        <v/>
      </c>
      <c r="DG262" s="57">
        <f>IFERROR($Z263/$Z262-1,"")</f>
        <v/>
      </c>
      <c r="DH262" s="57">
        <f>IFERROR($AA263/$AA262-1,"")</f>
        <v/>
      </c>
      <c r="DI262" s="57">
        <f>IFERROR($AB263/$AB262-1,"")</f>
        <v/>
      </c>
      <c r="DJ262" s="57">
        <f>IFERROR($AC263/$AC262-1,"")</f>
        <v/>
      </c>
      <c r="DK262" s="57">
        <f>IFERROR($AD263/$AD262-1,"")</f>
        <v/>
      </c>
      <c r="DL262" s="57">
        <f>IFERROR($AE263/$AE262-1,"")</f>
        <v/>
      </c>
      <c r="DM262" s="56">
        <f>$AZ262-$AZ263</f>
        <v/>
      </c>
      <c r="DN262" s="56">
        <f>$BA262-$BA263</f>
        <v/>
      </c>
      <c r="DO262" s="56">
        <f>$BB262-$BB263</f>
        <v/>
      </c>
      <c r="DP262" s="56">
        <f>$BC262-$BC263</f>
        <v/>
      </c>
      <c r="DQ262" s="56">
        <f>$BD262-$BD263</f>
        <v/>
      </c>
      <c r="DR262" s="56">
        <f>$BE262-$BE263</f>
        <v/>
      </c>
      <c r="DS262" s="56">
        <f>$BF262-$BF263</f>
        <v/>
      </c>
      <c r="DT262" s="56">
        <f>$BG262-$BG263</f>
        <v/>
      </c>
      <c r="DU262" s="56">
        <f>$BH262-$BH263</f>
        <v/>
      </c>
      <c r="DV262" s="56">
        <f>$BI262-$BI263</f>
        <v/>
      </c>
      <c r="DW262" s="56">
        <f>$BJ262-$BJ263</f>
        <v/>
      </c>
      <c r="DX262" s="56">
        <f>$BK262-$BK263</f>
        <v/>
      </c>
      <c r="DY262" s="56">
        <f>$BL262-$BL263</f>
        <v/>
      </c>
      <c r="DZ262" s="56">
        <f>$BM262-$BM263</f>
        <v/>
      </c>
      <c r="EA262" s="56">
        <f>$BN262-$BN263</f>
        <v/>
      </c>
      <c r="EB262" s="56">
        <f>$BO262-$BO263</f>
        <v/>
      </c>
      <c r="EC262" s="56">
        <f>$BP262-$BP263</f>
        <v/>
      </c>
      <c r="ED262" s="56">
        <f>$BQ262-$BQ263</f>
        <v/>
      </c>
      <c r="EE262" s="56">
        <f>$BR262-$BR263</f>
        <v/>
      </c>
      <c r="EF262" s="56">
        <f>$BS262-$BS263</f>
        <v/>
      </c>
      <c r="EG262" s="56">
        <f>$BT262-$BT263</f>
        <v/>
      </c>
      <c r="EH262" s="56">
        <f>$BU262-$BU263</f>
        <v/>
      </c>
    </row>
    <row r="263">
      <c r="BV263" s="56">
        <f>($D263-$D264)*100</f>
        <v/>
      </c>
      <c r="BW263" s="56">
        <f>($C263-$C264)*100</f>
        <v/>
      </c>
      <c r="BX263" s="57">
        <f>IFERROR($I263/$I264-1,"")</f>
        <v/>
      </c>
      <c r="BY263" s="56">
        <f>($AF263-$AF264)*100</f>
        <v/>
      </c>
      <c r="BZ263" s="56">
        <f>($AG263-$AG264)*100</f>
        <v/>
      </c>
      <c r="CA263" s="56">
        <f>($AH263-$AH264)*100</f>
        <v/>
      </c>
      <c r="CB263" s="56">
        <f>($AI263-$AI264)*100</f>
        <v/>
      </c>
      <c r="CC263" s="56">
        <f>($AJ263-$AJ264)*100</f>
        <v/>
      </c>
      <c r="CD263" s="56">
        <f>($AK263-$AK264)*100</f>
        <v/>
      </c>
      <c r="CE263" s="56">
        <f>($AL263-$AL264)*100</f>
        <v/>
      </c>
      <c r="CF263" s="56">
        <f>($AM263-$AM264)*100</f>
        <v/>
      </c>
      <c r="CG263" s="56">
        <f>($AN263-$AN264)*100</f>
        <v/>
      </c>
      <c r="CH263" s="56">
        <f>($AO263-$AO264)*100</f>
        <v/>
      </c>
      <c r="CI263" s="56">
        <f>($AP263-$AP264)*100</f>
        <v/>
      </c>
      <c r="CJ263" s="56">
        <f>($AQ263-$AQ264)*100</f>
        <v/>
      </c>
      <c r="CK263" s="56">
        <f>($AR263-$AR264)*100</f>
        <v/>
      </c>
      <c r="CL263" s="56">
        <f>($AS263-$AS264)*100</f>
        <v/>
      </c>
      <c r="CM263" s="56">
        <f>($AT263-$AT264)*100</f>
        <v/>
      </c>
      <c r="CN263" s="56">
        <f>($AU263-$AU264)*100</f>
        <v/>
      </c>
      <c r="CO263" s="56">
        <f>($AV263-$AV264)*100</f>
        <v/>
      </c>
      <c r="CP263" s="56">
        <f>($AW263-$AW264)*100</f>
        <v/>
      </c>
      <c r="CQ263" s="56">
        <f>($AX263-$AX264)*100</f>
        <v/>
      </c>
      <c r="CR263" s="56">
        <f>($AY263-$AY264)*100</f>
        <v/>
      </c>
      <c r="CS263" s="57">
        <f>IFERROR($L264/$L263-1,"")</f>
        <v/>
      </c>
      <c r="CT263" s="57">
        <f>IFERROR($M264/$M263-1,"")</f>
        <v/>
      </c>
      <c r="CU263" s="57">
        <f>IFERROR($N264/$N263-1,"")</f>
        <v/>
      </c>
      <c r="CV263" s="57">
        <f>IFERROR($O264/$O263-1,"")</f>
        <v/>
      </c>
      <c r="CW263" s="57">
        <f>IFERROR($P264/$P263-1,"")</f>
        <v/>
      </c>
      <c r="CX263" s="57">
        <f>IFERROR($Q264/$Q263-1,"")</f>
        <v/>
      </c>
      <c r="CY263" s="57">
        <f>IFERROR($R264/$R263-1,"")</f>
        <v/>
      </c>
      <c r="CZ263" s="57">
        <f>IFERROR($S264/$S263-1,"")</f>
        <v/>
      </c>
      <c r="DA263" s="57">
        <f>IFERROR($T264/$T263-1,"")</f>
        <v/>
      </c>
      <c r="DB263" s="57">
        <f>IFERROR($U264/$U263-1,"")</f>
        <v/>
      </c>
      <c r="DC263" s="57">
        <f>IFERROR($V264/$V263-1,"")</f>
        <v/>
      </c>
      <c r="DD263" s="57">
        <f>IFERROR($W264/$W263-1,"")</f>
        <v/>
      </c>
      <c r="DE263" s="57">
        <f>IFERROR($X264/$X263-1,"")</f>
        <v/>
      </c>
      <c r="DF263" s="57">
        <f>IFERROR($Y264/$Y263-1,"")</f>
        <v/>
      </c>
      <c r="DG263" s="57">
        <f>IFERROR($Z264/$Z263-1,"")</f>
        <v/>
      </c>
      <c r="DH263" s="57">
        <f>IFERROR($AA264/$AA263-1,"")</f>
        <v/>
      </c>
      <c r="DI263" s="57">
        <f>IFERROR($AB264/$AB263-1,"")</f>
        <v/>
      </c>
      <c r="DJ263" s="57">
        <f>IFERROR($AC264/$AC263-1,"")</f>
        <v/>
      </c>
      <c r="DK263" s="57">
        <f>IFERROR($AD264/$AD263-1,"")</f>
        <v/>
      </c>
      <c r="DL263" s="57">
        <f>IFERROR($AE264/$AE263-1,"")</f>
        <v/>
      </c>
      <c r="DM263" s="56">
        <f>$AZ263-$AZ264</f>
        <v/>
      </c>
      <c r="DN263" s="56">
        <f>$BA263-$BA264</f>
        <v/>
      </c>
      <c r="DO263" s="56">
        <f>$BB263-$BB264</f>
        <v/>
      </c>
      <c r="DP263" s="56">
        <f>$BC263-$BC264</f>
        <v/>
      </c>
      <c r="DQ263" s="56">
        <f>$BD263-$BD264</f>
        <v/>
      </c>
      <c r="DR263" s="56">
        <f>$BE263-$BE264</f>
        <v/>
      </c>
      <c r="DS263" s="56">
        <f>$BF263-$BF264</f>
        <v/>
      </c>
      <c r="DT263" s="56">
        <f>$BG263-$BG264</f>
        <v/>
      </c>
      <c r="DU263" s="56">
        <f>$BH263-$BH264</f>
        <v/>
      </c>
      <c r="DV263" s="56">
        <f>$BI263-$BI264</f>
        <v/>
      </c>
      <c r="DW263" s="56">
        <f>$BJ263-$BJ264</f>
        <v/>
      </c>
      <c r="DX263" s="56">
        <f>$BK263-$BK264</f>
        <v/>
      </c>
      <c r="DY263" s="56">
        <f>$BL263-$BL264</f>
        <v/>
      </c>
      <c r="DZ263" s="56">
        <f>$BM263-$BM264</f>
        <v/>
      </c>
      <c r="EA263" s="56">
        <f>$BN263-$BN264</f>
        <v/>
      </c>
      <c r="EB263" s="56">
        <f>$BO263-$BO264</f>
        <v/>
      </c>
      <c r="EC263" s="56">
        <f>$BP263-$BP264</f>
        <v/>
      </c>
      <c r="ED263" s="56">
        <f>$BQ263-$BQ264</f>
        <v/>
      </c>
      <c r="EE263" s="56">
        <f>$BR263-$BR264</f>
        <v/>
      </c>
      <c r="EF263" s="56">
        <f>$BS263-$BS264</f>
        <v/>
      </c>
      <c r="EG263" s="56">
        <f>$BT263-$BT264</f>
        <v/>
      </c>
      <c r="EH263" s="56">
        <f>$BU263-$BU264</f>
        <v/>
      </c>
    </row>
    <row r="264">
      <c r="BV264" s="56">
        <f>($D264-$D265)*100</f>
        <v/>
      </c>
      <c r="BW264" s="56">
        <f>($C264-$C265)*100</f>
        <v/>
      </c>
      <c r="BX264" s="57">
        <f>IFERROR($I264/$I265-1,"")</f>
        <v/>
      </c>
      <c r="BY264" s="56">
        <f>($AF264-$AF265)*100</f>
        <v/>
      </c>
      <c r="BZ264" s="56">
        <f>($AG264-$AG265)*100</f>
        <v/>
      </c>
      <c r="CA264" s="56">
        <f>($AH264-$AH265)*100</f>
        <v/>
      </c>
      <c r="CB264" s="56">
        <f>($AI264-$AI265)*100</f>
        <v/>
      </c>
      <c r="CC264" s="56">
        <f>($AJ264-$AJ265)*100</f>
        <v/>
      </c>
      <c r="CD264" s="56">
        <f>($AK264-$AK265)*100</f>
        <v/>
      </c>
      <c r="CE264" s="56">
        <f>($AL264-$AL265)*100</f>
        <v/>
      </c>
      <c r="CF264" s="56">
        <f>($AM264-$AM265)*100</f>
        <v/>
      </c>
      <c r="CG264" s="56">
        <f>($AN264-$AN265)*100</f>
        <v/>
      </c>
      <c r="CH264" s="56">
        <f>($AO264-$AO265)*100</f>
        <v/>
      </c>
      <c r="CI264" s="56">
        <f>($AP264-$AP265)*100</f>
        <v/>
      </c>
      <c r="CJ264" s="56">
        <f>($AQ264-$AQ265)*100</f>
        <v/>
      </c>
      <c r="CK264" s="56">
        <f>($AR264-$AR265)*100</f>
        <v/>
      </c>
      <c r="CL264" s="56">
        <f>($AS264-$AS265)*100</f>
        <v/>
      </c>
      <c r="CM264" s="56">
        <f>($AT264-$AT265)*100</f>
        <v/>
      </c>
      <c r="CN264" s="56">
        <f>($AU264-$AU265)*100</f>
        <v/>
      </c>
      <c r="CO264" s="56">
        <f>($AV264-$AV265)*100</f>
        <v/>
      </c>
      <c r="CP264" s="56">
        <f>($AW264-$AW265)*100</f>
        <v/>
      </c>
      <c r="CQ264" s="56">
        <f>($AX264-$AX265)*100</f>
        <v/>
      </c>
      <c r="CR264" s="56">
        <f>($AY264-$AY265)*100</f>
        <v/>
      </c>
      <c r="CS264" s="57">
        <f>IFERROR($L265/$L264-1,"")</f>
        <v/>
      </c>
      <c r="CT264" s="57">
        <f>IFERROR($M265/$M264-1,"")</f>
        <v/>
      </c>
      <c r="CU264" s="57">
        <f>IFERROR($N265/$N264-1,"")</f>
        <v/>
      </c>
      <c r="CV264" s="57">
        <f>IFERROR($O265/$O264-1,"")</f>
        <v/>
      </c>
      <c r="CW264" s="57">
        <f>IFERROR($P265/$P264-1,"")</f>
        <v/>
      </c>
      <c r="CX264" s="57">
        <f>IFERROR($Q265/$Q264-1,"")</f>
        <v/>
      </c>
      <c r="CY264" s="57">
        <f>IFERROR($R265/$R264-1,"")</f>
        <v/>
      </c>
      <c r="CZ264" s="57">
        <f>IFERROR($S265/$S264-1,"")</f>
        <v/>
      </c>
      <c r="DA264" s="57">
        <f>IFERROR($T265/$T264-1,"")</f>
        <v/>
      </c>
      <c r="DB264" s="57">
        <f>IFERROR($U265/$U264-1,"")</f>
        <v/>
      </c>
      <c r="DC264" s="57">
        <f>IFERROR($V265/$V264-1,"")</f>
        <v/>
      </c>
      <c r="DD264" s="57">
        <f>IFERROR($W265/$W264-1,"")</f>
        <v/>
      </c>
      <c r="DE264" s="57">
        <f>IFERROR($X265/$X264-1,"")</f>
        <v/>
      </c>
      <c r="DF264" s="57">
        <f>IFERROR($Y265/$Y264-1,"")</f>
        <v/>
      </c>
      <c r="DG264" s="57">
        <f>IFERROR($Z265/$Z264-1,"")</f>
        <v/>
      </c>
      <c r="DH264" s="57">
        <f>IFERROR($AA265/$AA264-1,"")</f>
        <v/>
      </c>
      <c r="DI264" s="57">
        <f>IFERROR($AB265/$AB264-1,"")</f>
        <v/>
      </c>
      <c r="DJ264" s="57">
        <f>IFERROR($AC265/$AC264-1,"")</f>
        <v/>
      </c>
      <c r="DK264" s="57">
        <f>IFERROR($AD265/$AD264-1,"")</f>
        <v/>
      </c>
      <c r="DL264" s="57">
        <f>IFERROR($AE265/$AE264-1,"")</f>
        <v/>
      </c>
      <c r="DM264" s="56">
        <f>$AZ264-$AZ265</f>
        <v/>
      </c>
      <c r="DN264" s="56">
        <f>$BA264-$BA265</f>
        <v/>
      </c>
      <c r="DO264" s="56">
        <f>$BB264-$BB265</f>
        <v/>
      </c>
      <c r="DP264" s="56">
        <f>$BC264-$BC265</f>
        <v/>
      </c>
      <c r="DQ264" s="56">
        <f>$BD264-$BD265</f>
        <v/>
      </c>
      <c r="DR264" s="56">
        <f>$BE264-$BE265</f>
        <v/>
      </c>
      <c r="DS264" s="56">
        <f>$BF264-$BF265</f>
        <v/>
      </c>
      <c r="DT264" s="56">
        <f>$BG264-$BG265</f>
        <v/>
      </c>
      <c r="DU264" s="56">
        <f>$BH264-$BH265</f>
        <v/>
      </c>
      <c r="DV264" s="56">
        <f>$BI264-$BI265</f>
        <v/>
      </c>
      <c r="DW264" s="56">
        <f>$BJ264-$BJ265</f>
        <v/>
      </c>
      <c r="DX264" s="56">
        <f>$BK264-$BK265</f>
        <v/>
      </c>
      <c r="DY264" s="56">
        <f>$BL264-$BL265</f>
        <v/>
      </c>
      <c r="DZ264" s="56">
        <f>$BM264-$BM265</f>
        <v/>
      </c>
      <c r="EA264" s="56">
        <f>$BN264-$BN265</f>
        <v/>
      </c>
      <c r="EB264" s="56">
        <f>$BO264-$BO265</f>
        <v/>
      </c>
      <c r="EC264" s="56">
        <f>$BP264-$BP265</f>
        <v/>
      </c>
      <c r="ED264" s="56">
        <f>$BQ264-$BQ265</f>
        <v/>
      </c>
      <c r="EE264" s="56">
        <f>$BR264-$BR265</f>
        <v/>
      </c>
      <c r="EF264" s="56">
        <f>$BS264-$BS265</f>
        <v/>
      </c>
      <c r="EG264" s="56">
        <f>$BT264-$BT265</f>
        <v/>
      </c>
      <c r="EH264" s="56">
        <f>$BU264-$BU265</f>
        <v/>
      </c>
    </row>
    <row r="265">
      <c r="BV265" s="56">
        <f>($D265-$D266)*100</f>
        <v/>
      </c>
      <c r="BW265" s="56">
        <f>($C265-$C266)*100</f>
        <v/>
      </c>
      <c r="BX265" s="57">
        <f>IFERROR($I265/$I266-1,"")</f>
        <v/>
      </c>
      <c r="BY265" s="56">
        <f>($AF265-$AF266)*100</f>
        <v/>
      </c>
      <c r="BZ265" s="56">
        <f>($AG265-$AG266)*100</f>
        <v/>
      </c>
      <c r="CA265" s="56">
        <f>($AH265-$AH266)*100</f>
        <v/>
      </c>
      <c r="CB265" s="56">
        <f>($AI265-$AI266)*100</f>
        <v/>
      </c>
      <c r="CC265" s="56">
        <f>($AJ265-$AJ266)*100</f>
        <v/>
      </c>
      <c r="CD265" s="56">
        <f>($AK265-$AK266)*100</f>
        <v/>
      </c>
      <c r="CE265" s="56">
        <f>($AL265-$AL266)*100</f>
        <v/>
      </c>
      <c r="CF265" s="56">
        <f>($AM265-$AM266)*100</f>
        <v/>
      </c>
      <c r="CG265" s="56">
        <f>($AN265-$AN266)*100</f>
        <v/>
      </c>
      <c r="CH265" s="56">
        <f>($AO265-$AO266)*100</f>
        <v/>
      </c>
      <c r="CI265" s="56">
        <f>($AP265-$AP266)*100</f>
        <v/>
      </c>
      <c r="CJ265" s="56">
        <f>($AQ265-$AQ266)*100</f>
        <v/>
      </c>
      <c r="CK265" s="56">
        <f>($AR265-$AR266)*100</f>
        <v/>
      </c>
      <c r="CL265" s="56">
        <f>($AS265-$AS266)*100</f>
        <v/>
      </c>
      <c r="CM265" s="56">
        <f>($AT265-$AT266)*100</f>
        <v/>
      </c>
      <c r="CN265" s="56">
        <f>($AU265-$AU266)*100</f>
        <v/>
      </c>
      <c r="CO265" s="56">
        <f>($AV265-$AV266)*100</f>
        <v/>
      </c>
      <c r="CP265" s="56">
        <f>($AW265-$AW266)*100</f>
        <v/>
      </c>
      <c r="CQ265" s="56">
        <f>($AX265-$AX266)*100</f>
        <v/>
      </c>
      <c r="CR265" s="56">
        <f>($AY265-$AY266)*100</f>
        <v/>
      </c>
      <c r="CS265" s="57">
        <f>IFERROR($L266/$L265-1,"")</f>
        <v/>
      </c>
      <c r="CT265" s="57">
        <f>IFERROR($M266/$M265-1,"")</f>
        <v/>
      </c>
      <c r="CU265" s="57">
        <f>IFERROR($N266/$N265-1,"")</f>
        <v/>
      </c>
      <c r="CV265" s="57">
        <f>IFERROR($O266/$O265-1,"")</f>
        <v/>
      </c>
      <c r="CW265" s="57">
        <f>IFERROR($P266/$P265-1,"")</f>
        <v/>
      </c>
      <c r="CX265" s="57">
        <f>IFERROR($Q266/$Q265-1,"")</f>
        <v/>
      </c>
      <c r="CY265" s="57">
        <f>IFERROR($R266/$R265-1,"")</f>
        <v/>
      </c>
      <c r="CZ265" s="57">
        <f>IFERROR($S266/$S265-1,"")</f>
        <v/>
      </c>
      <c r="DA265" s="57">
        <f>IFERROR($T266/$T265-1,"")</f>
        <v/>
      </c>
      <c r="DB265" s="57">
        <f>IFERROR($U266/$U265-1,"")</f>
        <v/>
      </c>
      <c r="DC265" s="57">
        <f>IFERROR($V266/$V265-1,"")</f>
        <v/>
      </c>
      <c r="DD265" s="57">
        <f>IFERROR($W266/$W265-1,"")</f>
        <v/>
      </c>
      <c r="DE265" s="57">
        <f>IFERROR($X266/$X265-1,"")</f>
        <v/>
      </c>
      <c r="DF265" s="57">
        <f>IFERROR($Y266/$Y265-1,"")</f>
        <v/>
      </c>
      <c r="DG265" s="57">
        <f>IFERROR($Z266/$Z265-1,"")</f>
        <v/>
      </c>
      <c r="DH265" s="57">
        <f>IFERROR($AA266/$AA265-1,"")</f>
        <v/>
      </c>
      <c r="DI265" s="57">
        <f>IFERROR($AB266/$AB265-1,"")</f>
        <v/>
      </c>
      <c r="DJ265" s="57">
        <f>IFERROR($AC266/$AC265-1,"")</f>
        <v/>
      </c>
      <c r="DK265" s="57">
        <f>IFERROR($AD266/$AD265-1,"")</f>
        <v/>
      </c>
      <c r="DL265" s="57">
        <f>IFERROR($AE266/$AE265-1,"")</f>
        <v/>
      </c>
      <c r="DM265" s="56">
        <f>$AZ265-$AZ266</f>
        <v/>
      </c>
      <c r="DN265" s="56">
        <f>$BA265-$BA266</f>
        <v/>
      </c>
      <c r="DO265" s="56">
        <f>$BB265-$BB266</f>
        <v/>
      </c>
      <c r="DP265" s="56">
        <f>$BC265-$BC266</f>
        <v/>
      </c>
      <c r="DQ265" s="56">
        <f>$BD265-$BD266</f>
        <v/>
      </c>
      <c r="DR265" s="56">
        <f>$BE265-$BE266</f>
        <v/>
      </c>
      <c r="DS265" s="56">
        <f>$BF265-$BF266</f>
        <v/>
      </c>
      <c r="DT265" s="56">
        <f>$BG265-$BG266</f>
        <v/>
      </c>
      <c r="DU265" s="56">
        <f>$BH265-$BH266</f>
        <v/>
      </c>
      <c r="DV265" s="56">
        <f>$BI265-$BI266</f>
        <v/>
      </c>
      <c r="DW265" s="56">
        <f>$BJ265-$BJ266</f>
        <v/>
      </c>
      <c r="DX265" s="56">
        <f>$BK265-$BK266</f>
        <v/>
      </c>
      <c r="DY265" s="56">
        <f>$BL265-$BL266</f>
        <v/>
      </c>
      <c r="DZ265" s="56">
        <f>$BM265-$BM266</f>
        <v/>
      </c>
      <c r="EA265" s="56">
        <f>$BN265-$BN266</f>
        <v/>
      </c>
      <c r="EB265" s="56">
        <f>$BO265-$BO266</f>
        <v/>
      </c>
      <c r="EC265" s="56">
        <f>$BP265-$BP266</f>
        <v/>
      </c>
      <c r="ED265" s="56">
        <f>$BQ265-$BQ266</f>
        <v/>
      </c>
      <c r="EE265" s="56">
        <f>$BR265-$BR266</f>
        <v/>
      </c>
      <c r="EF265" s="56">
        <f>$BS265-$BS266</f>
        <v/>
      </c>
      <c r="EG265" s="56">
        <f>$BT265-$BT266</f>
        <v/>
      </c>
      <c r="EH265" s="56">
        <f>$BU265-$BU266</f>
        <v/>
      </c>
    </row>
    <row r="266">
      <c r="BV266" s="56">
        <f>($D266-$D267)*100</f>
        <v/>
      </c>
      <c r="BW266" s="56">
        <f>($C266-$C267)*100</f>
        <v/>
      </c>
      <c r="BX266" s="57">
        <f>IFERROR($I266/$I267-1,"")</f>
        <v/>
      </c>
      <c r="BY266" s="56">
        <f>($AF266-$AF267)*100</f>
        <v/>
      </c>
      <c r="BZ266" s="56">
        <f>($AG266-$AG267)*100</f>
        <v/>
      </c>
      <c r="CA266" s="56">
        <f>($AH266-$AH267)*100</f>
        <v/>
      </c>
      <c r="CB266" s="56">
        <f>($AI266-$AI267)*100</f>
        <v/>
      </c>
      <c r="CC266" s="56">
        <f>($AJ266-$AJ267)*100</f>
        <v/>
      </c>
      <c r="CD266" s="56">
        <f>($AK266-$AK267)*100</f>
        <v/>
      </c>
      <c r="CE266" s="56">
        <f>($AL266-$AL267)*100</f>
        <v/>
      </c>
      <c r="CF266" s="56">
        <f>($AM266-$AM267)*100</f>
        <v/>
      </c>
      <c r="CG266" s="56">
        <f>($AN266-$AN267)*100</f>
        <v/>
      </c>
      <c r="CH266" s="56">
        <f>($AO266-$AO267)*100</f>
        <v/>
      </c>
      <c r="CI266" s="56">
        <f>($AP266-$AP267)*100</f>
        <v/>
      </c>
      <c r="CJ266" s="56">
        <f>($AQ266-$AQ267)*100</f>
        <v/>
      </c>
      <c r="CK266" s="56">
        <f>($AR266-$AR267)*100</f>
        <v/>
      </c>
      <c r="CL266" s="56">
        <f>($AS266-$AS267)*100</f>
        <v/>
      </c>
      <c r="CM266" s="56">
        <f>($AT266-$AT267)*100</f>
        <v/>
      </c>
      <c r="CN266" s="56">
        <f>($AU266-$AU267)*100</f>
        <v/>
      </c>
      <c r="CO266" s="56">
        <f>($AV266-$AV267)*100</f>
        <v/>
      </c>
      <c r="CP266" s="56">
        <f>($AW266-$AW267)*100</f>
        <v/>
      </c>
      <c r="CQ266" s="56">
        <f>($AX266-$AX267)*100</f>
        <v/>
      </c>
      <c r="CR266" s="56">
        <f>($AY266-$AY267)*100</f>
        <v/>
      </c>
      <c r="CS266" s="57">
        <f>IFERROR($L267/$L266-1,"")</f>
        <v/>
      </c>
      <c r="CT266" s="57">
        <f>IFERROR($M267/$M266-1,"")</f>
        <v/>
      </c>
      <c r="CU266" s="57">
        <f>IFERROR($N267/$N266-1,"")</f>
        <v/>
      </c>
      <c r="CV266" s="57">
        <f>IFERROR($O267/$O266-1,"")</f>
        <v/>
      </c>
      <c r="CW266" s="57">
        <f>IFERROR($P267/$P266-1,"")</f>
        <v/>
      </c>
      <c r="CX266" s="57">
        <f>IFERROR($Q267/$Q266-1,"")</f>
        <v/>
      </c>
      <c r="CY266" s="57">
        <f>IFERROR($R267/$R266-1,"")</f>
        <v/>
      </c>
      <c r="CZ266" s="57">
        <f>IFERROR($S267/$S266-1,"")</f>
        <v/>
      </c>
      <c r="DA266" s="57">
        <f>IFERROR($T267/$T266-1,"")</f>
        <v/>
      </c>
      <c r="DB266" s="57">
        <f>IFERROR($U267/$U266-1,"")</f>
        <v/>
      </c>
      <c r="DC266" s="57">
        <f>IFERROR($V267/$V266-1,"")</f>
        <v/>
      </c>
      <c r="DD266" s="57">
        <f>IFERROR($W267/$W266-1,"")</f>
        <v/>
      </c>
      <c r="DE266" s="57">
        <f>IFERROR($X267/$X266-1,"")</f>
        <v/>
      </c>
      <c r="DF266" s="57">
        <f>IFERROR($Y267/$Y266-1,"")</f>
        <v/>
      </c>
      <c r="DG266" s="57">
        <f>IFERROR($Z267/$Z266-1,"")</f>
        <v/>
      </c>
      <c r="DH266" s="57">
        <f>IFERROR($AA267/$AA266-1,"")</f>
        <v/>
      </c>
      <c r="DI266" s="57">
        <f>IFERROR($AB267/$AB266-1,"")</f>
        <v/>
      </c>
      <c r="DJ266" s="57">
        <f>IFERROR($AC267/$AC266-1,"")</f>
        <v/>
      </c>
      <c r="DK266" s="57">
        <f>IFERROR($AD267/$AD266-1,"")</f>
        <v/>
      </c>
      <c r="DL266" s="57">
        <f>IFERROR($AE267/$AE266-1,"")</f>
        <v/>
      </c>
      <c r="DM266" s="56">
        <f>$AZ266-$AZ267</f>
        <v/>
      </c>
      <c r="DN266" s="56">
        <f>$BA266-$BA267</f>
        <v/>
      </c>
      <c r="DO266" s="56">
        <f>$BB266-$BB267</f>
        <v/>
      </c>
      <c r="DP266" s="56">
        <f>$BC266-$BC267</f>
        <v/>
      </c>
      <c r="DQ266" s="56">
        <f>$BD266-$BD267</f>
        <v/>
      </c>
      <c r="DR266" s="56">
        <f>$BE266-$BE267</f>
        <v/>
      </c>
      <c r="DS266" s="56">
        <f>$BF266-$BF267</f>
        <v/>
      </c>
      <c r="DT266" s="56">
        <f>$BG266-$BG267</f>
        <v/>
      </c>
      <c r="DU266" s="56">
        <f>$BH266-$BH267</f>
        <v/>
      </c>
      <c r="DV266" s="56">
        <f>$BI266-$BI267</f>
        <v/>
      </c>
      <c r="DW266" s="56">
        <f>$BJ266-$BJ267</f>
        <v/>
      </c>
      <c r="DX266" s="56">
        <f>$BK266-$BK267</f>
        <v/>
      </c>
      <c r="DY266" s="56">
        <f>$BL266-$BL267</f>
        <v/>
      </c>
      <c r="DZ266" s="56">
        <f>$BM266-$BM267</f>
        <v/>
      </c>
      <c r="EA266" s="56">
        <f>$BN266-$BN267</f>
        <v/>
      </c>
      <c r="EB266" s="56">
        <f>$BO266-$BO267</f>
        <v/>
      </c>
      <c r="EC266" s="56">
        <f>$BP266-$BP267</f>
        <v/>
      </c>
      <c r="ED266" s="56">
        <f>$BQ266-$BQ267</f>
        <v/>
      </c>
      <c r="EE266" s="56">
        <f>$BR266-$BR267</f>
        <v/>
      </c>
      <c r="EF266" s="56">
        <f>$BS266-$BS267</f>
        <v/>
      </c>
      <c r="EG266" s="56">
        <f>$BT266-$BT267</f>
        <v/>
      </c>
      <c r="EH266" s="56">
        <f>$BU266-$BU267</f>
        <v/>
      </c>
    </row>
    <row r="267">
      <c r="BV267" s="56">
        <f>($D267-$D268)*100</f>
        <v/>
      </c>
      <c r="BW267" s="56">
        <f>($C267-$C268)*100</f>
        <v/>
      </c>
      <c r="BX267" s="57">
        <f>IFERROR($I267/$I268-1,"")</f>
        <v/>
      </c>
      <c r="BY267" s="56">
        <f>($AF267-$AF268)*100</f>
        <v/>
      </c>
      <c r="BZ267" s="56">
        <f>($AG267-$AG268)*100</f>
        <v/>
      </c>
      <c r="CA267" s="56">
        <f>($AH267-$AH268)*100</f>
        <v/>
      </c>
      <c r="CB267" s="56">
        <f>($AI267-$AI268)*100</f>
        <v/>
      </c>
      <c r="CC267" s="56">
        <f>($AJ267-$AJ268)*100</f>
        <v/>
      </c>
      <c r="CD267" s="56">
        <f>($AK267-$AK268)*100</f>
        <v/>
      </c>
      <c r="CE267" s="56">
        <f>($AL267-$AL268)*100</f>
        <v/>
      </c>
      <c r="CF267" s="56">
        <f>($AM267-$AM268)*100</f>
        <v/>
      </c>
      <c r="CG267" s="56">
        <f>($AN267-$AN268)*100</f>
        <v/>
      </c>
      <c r="CH267" s="56">
        <f>($AO267-$AO268)*100</f>
        <v/>
      </c>
      <c r="CI267" s="56">
        <f>($AP267-$AP268)*100</f>
        <v/>
      </c>
      <c r="CJ267" s="56">
        <f>($AQ267-$AQ268)*100</f>
        <v/>
      </c>
      <c r="CK267" s="56">
        <f>($AR267-$AR268)*100</f>
        <v/>
      </c>
      <c r="CL267" s="56">
        <f>($AS267-$AS268)*100</f>
        <v/>
      </c>
      <c r="CM267" s="56">
        <f>($AT267-$AT268)*100</f>
        <v/>
      </c>
      <c r="CN267" s="56">
        <f>($AU267-$AU268)*100</f>
        <v/>
      </c>
      <c r="CO267" s="56">
        <f>($AV267-$AV268)*100</f>
        <v/>
      </c>
      <c r="CP267" s="56">
        <f>($AW267-$AW268)*100</f>
        <v/>
      </c>
      <c r="CQ267" s="56">
        <f>($AX267-$AX268)*100</f>
        <v/>
      </c>
      <c r="CR267" s="56">
        <f>($AY267-$AY268)*100</f>
        <v/>
      </c>
      <c r="CS267" s="57">
        <f>IFERROR($L268/$L267-1,"")</f>
        <v/>
      </c>
      <c r="CT267" s="57">
        <f>IFERROR($M268/$M267-1,"")</f>
        <v/>
      </c>
      <c r="CU267" s="57">
        <f>IFERROR($N268/$N267-1,"")</f>
        <v/>
      </c>
      <c r="CV267" s="57">
        <f>IFERROR($O268/$O267-1,"")</f>
        <v/>
      </c>
      <c r="CW267" s="57">
        <f>IFERROR($P268/$P267-1,"")</f>
        <v/>
      </c>
      <c r="CX267" s="57">
        <f>IFERROR($Q268/$Q267-1,"")</f>
        <v/>
      </c>
      <c r="CY267" s="57">
        <f>IFERROR($R268/$R267-1,"")</f>
        <v/>
      </c>
      <c r="CZ267" s="57">
        <f>IFERROR($S268/$S267-1,"")</f>
        <v/>
      </c>
      <c r="DA267" s="57">
        <f>IFERROR($T268/$T267-1,"")</f>
        <v/>
      </c>
      <c r="DB267" s="57">
        <f>IFERROR($U268/$U267-1,"")</f>
        <v/>
      </c>
      <c r="DC267" s="57">
        <f>IFERROR($V268/$V267-1,"")</f>
        <v/>
      </c>
      <c r="DD267" s="57">
        <f>IFERROR($W268/$W267-1,"")</f>
        <v/>
      </c>
      <c r="DE267" s="57">
        <f>IFERROR($X268/$X267-1,"")</f>
        <v/>
      </c>
      <c r="DF267" s="57">
        <f>IFERROR($Y268/$Y267-1,"")</f>
        <v/>
      </c>
      <c r="DG267" s="57">
        <f>IFERROR($Z268/$Z267-1,"")</f>
        <v/>
      </c>
      <c r="DH267" s="57">
        <f>IFERROR($AA268/$AA267-1,"")</f>
        <v/>
      </c>
      <c r="DI267" s="57">
        <f>IFERROR($AB268/$AB267-1,"")</f>
        <v/>
      </c>
      <c r="DJ267" s="57">
        <f>IFERROR($AC268/$AC267-1,"")</f>
        <v/>
      </c>
      <c r="DK267" s="57">
        <f>IFERROR($AD268/$AD267-1,"")</f>
        <v/>
      </c>
      <c r="DL267" s="57">
        <f>IFERROR($AE268/$AE267-1,"")</f>
        <v/>
      </c>
      <c r="DM267" s="56">
        <f>$AZ267-$AZ268</f>
        <v/>
      </c>
      <c r="DN267" s="56">
        <f>$BA267-$BA268</f>
        <v/>
      </c>
      <c r="DO267" s="56">
        <f>$BB267-$BB268</f>
        <v/>
      </c>
      <c r="DP267" s="56">
        <f>$BC267-$BC268</f>
        <v/>
      </c>
      <c r="DQ267" s="56">
        <f>$BD267-$BD268</f>
        <v/>
      </c>
      <c r="DR267" s="56">
        <f>$BE267-$BE268</f>
        <v/>
      </c>
      <c r="DS267" s="56">
        <f>$BF267-$BF268</f>
        <v/>
      </c>
      <c r="DT267" s="56">
        <f>$BG267-$BG268</f>
        <v/>
      </c>
      <c r="DU267" s="56">
        <f>$BH267-$BH268</f>
        <v/>
      </c>
      <c r="DV267" s="56">
        <f>$BI267-$BI268</f>
        <v/>
      </c>
      <c r="DW267" s="56">
        <f>$BJ267-$BJ268</f>
        <v/>
      </c>
      <c r="DX267" s="56">
        <f>$BK267-$BK268</f>
        <v/>
      </c>
      <c r="DY267" s="56">
        <f>$BL267-$BL268</f>
        <v/>
      </c>
      <c r="DZ267" s="56">
        <f>$BM267-$BM268</f>
        <v/>
      </c>
      <c r="EA267" s="56">
        <f>$BN267-$BN268</f>
        <v/>
      </c>
      <c r="EB267" s="56">
        <f>$BO267-$BO268</f>
        <v/>
      </c>
      <c r="EC267" s="56">
        <f>$BP267-$BP268</f>
        <v/>
      </c>
      <c r="ED267" s="56">
        <f>$BQ267-$BQ268</f>
        <v/>
      </c>
      <c r="EE267" s="56">
        <f>$BR267-$BR268</f>
        <v/>
      </c>
      <c r="EF267" s="56">
        <f>$BS267-$BS268</f>
        <v/>
      </c>
      <c r="EG267" s="56">
        <f>$BT267-$BT268</f>
        <v/>
      </c>
      <c r="EH267" s="56">
        <f>$BU267-$BU268</f>
        <v/>
      </c>
    </row>
    <row r="268">
      <c r="BV268" s="56">
        <f>($D268-$D269)*100</f>
        <v/>
      </c>
      <c r="BW268" s="56">
        <f>($C268-$C269)*100</f>
        <v/>
      </c>
      <c r="BX268" s="57">
        <f>IFERROR($I268/$I269-1,"")</f>
        <v/>
      </c>
      <c r="BY268" s="56">
        <f>($AF268-$AF269)*100</f>
        <v/>
      </c>
      <c r="BZ268" s="56">
        <f>($AG268-$AG269)*100</f>
        <v/>
      </c>
      <c r="CA268" s="56">
        <f>($AH268-$AH269)*100</f>
        <v/>
      </c>
      <c r="CB268" s="56">
        <f>($AI268-$AI269)*100</f>
        <v/>
      </c>
      <c r="CC268" s="56">
        <f>($AJ268-$AJ269)*100</f>
        <v/>
      </c>
      <c r="CD268" s="56">
        <f>($AK268-$AK269)*100</f>
        <v/>
      </c>
      <c r="CE268" s="56">
        <f>($AL268-$AL269)*100</f>
        <v/>
      </c>
      <c r="CF268" s="56">
        <f>($AM268-$AM269)*100</f>
        <v/>
      </c>
      <c r="CG268" s="56">
        <f>($AN268-$AN269)*100</f>
        <v/>
      </c>
      <c r="CH268" s="56">
        <f>($AO268-$AO269)*100</f>
        <v/>
      </c>
      <c r="CI268" s="56">
        <f>($AP268-$AP269)*100</f>
        <v/>
      </c>
      <c r="CJ268" s="56">
        <f>($AQ268-$AQ269)*100</f>
        <v/>
      </c>
      <c r="CK268" s="56">
        <f>($AR268-$AR269)*100</f>
        <v/>
      </c>
      <c r="CL268" s="56">
        <f>($AS268-$AS269)*100</f>
        <v/>
      </c>
      <c r="CM268" s="56">
        <f>($AT268-$AT269)*100</f>
        <v/>
      </c>
      <c r="CN268" s="56">
        <f>($AU268-$AU269)*100</f>
        <v/>
      </c>
      <c r="CO268" s="56">
        <f>($AV268-$AV269)*100</f>
        <v/>
      </c>
      <c r="CP268" s="56">
        <f>($AW268-$AW269)*100</f>
        <v/>
      </c>
      <c r="CQ268" s="56">
        <f>($AX268-$AX269)*100</f>
        <v/>
      </c>
      <c r="CR268" s="56">
        <f>($AY268-$AY269)*100</f>
        <v/>
      </c>
      <c r="CS268" s="57">
        <f>IFERROR($L269/$L268-1,"")</f>
        <v/>
      </c>
      <c r="CT268" s="57">
        <f>IFERROR($M269/$M268-1,"")</f>
        <v/>
      </c>
      <c r="CU268" s="57">
        <f>IFERROR($N269/$N268-1,"")</f>
        <v/>
      </c>
      <c r="CV268" s="57">
        <f>IFERROR($O269/$O268-1,"")</f>
        <v/>
      </c>
      <c r="CW268" s="57">
        <f>IFERROR($P269/$P268-1,"")</f>
        <v/>
      </c>
      <c r="CX268" s="57">
        <f>IFERROR($Q269/$Q268-1,"")</f>
        <v/>
      </c>
      <c r="CY268" s="57">
        <f>IFERROR($R269/$R268-1,"")</f>
        <v/>
      </c>
      <c r="CZ268" s="57">
        <f>IFERROR($S269/$S268-1,"")</f>
        <v/>
      </c>
      <c r="DA268" s="57">
        <f>IFERROR($T269/$T268-1,"")</f>
        <v/>
      </c>
      <c r="DB268" s="57">
        <f>IFERROR($U269/$U268-1,"")</f>
        <v/>
      </c>
      <c r="DC268" s="57">
        <f>IFERROR($V269/$V268-1,"")</f>
        <v/>
      </c>
      <c r="DD268" s="57">
        <f>IFERROR($W269/$W268-1,"")</f>
        <v/>
      </c>
      <c r="DE268" s="57">
        <f>IFERROR($X269/$X268-1,"")</f>
        <v/>
      </c>
      <c r="DF268" s="57">
        <f>IFERROR($Y269/$Y268-1,"")</f>
        <v/>
      </c>
      <c r="DG268" s="57">
        <f>IFERROR($Z269/$Z268-1,"")</f>
        <v/>
      </c>
      <c r="DH268" s="57">
        <f>IFERROR($AA269/$AA268-1,"")</f>
        <v/>
      </c>
      <c r="DI268" s="57">
        <f>IFERROR($AB269/$AB268-1,"")</f>
        <v/>
      </c>
      <c r="DJ268" s="57">
        <f>IFERROR($AC269/$AC268-1,"")</f>
        <v/>
      </c>
      <c r="DK268" s="57">
        <f>IFERROR($AD269/$AD268-1,"")</f>
        <v/>
      </c>
      <c r="DL268" s="57">
        <f>IFERROR($AE269/$AE268-1,"")</f>
        <v/>
      </c>
      <c r="DM268" s="56">
        <f>$AZ268-$AZ269</f>
        <v/>
      </c>
      <c r="DN268" s="56">
        <f>$BA268-$BA269</f>
        <v/>
      </c>
      <c r="DO268" s="56">
        <f>$BB268-$BB269</f>
        <v/>
      </c>
      <c r="DP268" s="56">
        <f>$BC268-$BC269</f>
        <v/>
      </c>
      <c r="DQ268" s="56">
        <f>$BD268-$BD269</f>
        <v/>
      </c>
      <c r="DR268" s="56">
        <f>$BE268-$BE269</f>
        <v/>
      </c>
      <c r="DS268" s="56">
        <f>$BF268-$BF269</f>
        <v/>
      </c>
      <c r="DT268" s="56">
        <f>$BG268-$BG269</f>
        <v/>
      </c>
      <c r="DU268" s="56">
        <f>$BH268-$BH269</f>
        <v/>
      </c>
      <c r="DV268" s="56">
        <f>$BI268-$BI269</f>
        <v/>
      </c>
      <c r="DW268" s="56">
        <f>$BJ268-$BJ269</f>
        <v/>
      </c>
      <c r="DX268" s="56">
        <f>$BK268-$BK269</f>
        <v/>
      </c>
      <c r="DY268" s="56">
        <f>$BL268-$BL269</f>
        <v/>
      </c>
      <c r="DZ268" s="56">
        <f>$BM268-$BM269</f>
        <v/>
      </c>
      <c r="EA268" s="56">
        <f>$BN268-$BN269</f>
        <v/>
      </c>
      <c r="EB268" s="56">
        <f>$BO268-$BO269</f>
        <v/>
      </c>
      <c r="EC268" s="56">
        <f>$BP268-$BP269</f>
        <v/>
      </c>
      <c r="ED268" s="56">
        <f>$BQ268-$BQ269</f>
        <v/>
      </c>
      <c r="EE268" s="56">
        <f>$BR268-$BR269</f>
        <v/>
      </c>
      <c r="EF268" s="56">
        <f>$BS268-$BS269</f>
        <v/>
      </c>
      <c r="EG268" s="56">
        <f>$BT268-$BT269</f>
        <v/>
      </c>
      <c r="EH268" s="56">
        <f>$BU268-$BU269</f>
        <v/>
      </c>
    </row>
    <row r="269">
      <c r="BV269" s="56">
        <f>($D269-$D270)*100</f>
        <v/>
      </c>
      <c r="BW269" s="56">
        <f>($C269-$C270)*100</f>
        <v/>
      </c>
      <c r="BX269" s="57">
        <f>IFERROR($I269/$I270-1,"")</f>
        <v/>
      </c>
      <c r="BY269" s="56">
        <f>($AF269-$AF270)*100</f>
        <v/>
      </c>
      <c r="BZ269" s="56">
        <f>($AG269-$AG270)*100</f>
        <v/>
      </c>
      <c r="CA269" s="56">
        <f>($AH269-$AH270)*100</f>
        <v/>
      </c>
      <c r="CB269" s="56">
        <f>($AI269-$AI270)*100</f>
        <v/>
      </c>
      <c r="CC269" s="56">
        <f>($AJ269-$AJ270)*100</f>
        <v/>
      </c>
      <c r="CD269" s="56">
        <f>($AK269-$AK270)*100</f>
        <v/>
      </c>
      <c r="CE269" s="56">
        <f>($AL269-$AL270)*100</f>
        <v/>
      </c>
      <c r="CF269" s="56">
        <f>($AM269-$AM270)*100</f>
        <v/>
      </c>
      <c r="CG269" s="56">
        <f>($AN269-$AN270)*100</f>
        <v/>
      </c>
      <c r="CH269" s="56">
        <f>($AO269-$AO270)*100</f>
        <v/>
      </c>
      <c r="CI269" s="56">
        <f>($AP269-$AP270)*100</f>
        <v/>
      </c>
      <c r="CJ269" s="56">
        <f>($AQ269-$AQ270)*100</f>
        <v/>
      </c>
      <c r="CK269" s="56">
        <f>($AR269-$AR270)*100</f>
        <v/>
      </c>
      <c r="CL269" s="56">
        <f>($AS269-$AS270)*100</f>
        <v/>
      </c>
      <c r="CM269" s="56">
        <f>($AT269-$AT270)*100</f>
        <v/>
      </c>
      <c r="CN269" s="56">
        <f>($AU269-$AU270)*100</f>
        <v/>
      </c>
      <c r="CO269" s="56">
        <f>($AV269-$AV270)*100</f>
        <v/>
      </c>
      <c r="CP269" s="56">
        <f>($AW269-$AW270)*100</f>
        <v/>
      </c>
      <c r="CQ269" s="56">
        <f>($AX269-$AX270)*100</f>
        <v/>
      </c>
      <c r="CR269" s="56">
        <f>($AY269-$AY270)*100</f>
        <v/>
      </c>
      <c r="CS269" s="57">
        <f>IFERROR($L270/$L269-1,"")</f>
        <v/>
      </c>
      <c r="CT269" s="57">
        <f>IFERROR($M270/$M269-1,"")</f>
        <v/>
      </c>
      <c r="CU269" s="57">
        <f>IFERROR($N270/$N269-1,"")</f>
        <v/>
      </c>
      <c r="CV269" s="57">
        <f>IFERROR($O270/$O269-1,"")</f>
        <v/>
      </c>
      <c r="CW269" s="57">
        <f>IFERROR($P270/$P269-1,"")</f>
        <v/>
      </c>
      <c r="CX269" s="57">
        <f>IFERROR($Q270/$Q269-1,"")</f>
        <v/>
      </c>
      <c r="CY269" s="57">
        <f>IFERROR($R270/$R269-1,"")</f>
        <v/>
      </c>
      <c r="CZ269" s="57">
        <f>IFERROR($S270/$S269-1,"")</f>
        <v/>
      </c>
      <c r="DA269" s="57">
        <f>IFERROR($T270/$T269-1,"")</f>
        <v/>
      </c>
      <c r="DB269" s="57">
        <f>IFERROR($U270/$U269-1,"")</f>
        <v/>
      </c>
      <c r="DC269" s="57">
        <f>IFERROR($V270/$V269-1,"")</f>
        <v/>
      </c>
      <c r="DD269" s="57">
        <f>IFERROR($W270/$W269-1,"")</f>
        <v/>
      </c>
      <c r="DE269" s="57">
        <f>IFERROR($X270/$X269-1,"")</f>
        <v/>
      </c>
      <c r="DF269" s="57">
        <f>IFERROR($Y270/$Y269-1,"")</f>
        <v/>
      </c>
      <c r="DG269" s="57">
        <f>IFERROR($Z270/$Z269-1,"")</f>
        <v/>
      </c>
      <c r="DH269" s="57">
        <f>IFERROR($AA270/$AA269-1,"")</f>
        <v/>
      </c>
      <c r="DI269" s="57">
        <f>IFERROR($AB270/$AB269-1,"")</f>
        <v/>
      </c>
      <c r="DJ269" s="57">
        <f>IFERROR($AC270/$AC269-1,"")</f>
        <v/>
      </c>
      <c r="DK269" s="57">
        <f>IFERROR($AD270/$AD269-1,"")</f>
        <v/>
      </c>
      <c r="DL269" s="57">
        <f>IFERROR($AE270/$AE269-1,"")</f>
        <v/>
      </c>
      <c r="DM269" s="56">
        <f>$AZ269-$AZ270</f>
        <v/>
      </c>
      <c r="DN269" s="56">
        <f>$BA269-$BA270</f>
        <v/>
      </c>
      <c r="DO269" s="56">
        <f>$BB269-$BB270</f>
        <v/>
      </c>
      <c r="DP269" s="56">
        <f>$BC269-$BC270</f>
        <v/>
      </c>
      <c r="DQ269" s="56">
        <f>$BD269-$BD270</f>
        <v/>
      </c>
      <c r="DR269" s="56">
        <f>$BE269-$BE270</f>
        <v/>
      </c>
      <c r="DS269" s="56">
        <f>$BF269-$BF270</f>
        <v/>
      </c>
      <c r="DT269" s="56">
        <f>$BG269-$BG270</f>
        <v/>
      </c>
      <c r="DU269" s="56">
        <f>$BH269-$BH270</f>
        <v/>
      </c>
      <c r="DV269" s="56">
        <f>$BI269-$BI270</f>
        <v/>
      </c>
      <c r="DW269" s="56">
        <f>$BJ269-$BJ270</f>
        <v/>
      </c>
      <c r="DX269" s="56">
        <f>$BK269-$BK270</f>
        <v/>
      </c>
      <c r="DY269" s="56">
        <f>$BL269-$BL270</f>
        <v/>
      </c>
      <c r="DZ269" s="56">
        <f>$BM269-$BM270</f>
        <v/>
      </c>
      <c r="EA269" s="56">
        <f>$BN269-$BN270</f>
        <v/>
      </c>
      <c r="EB269" s="56">
        <f>$BO269-$BO270</f>
        <v/>
      </c>
      <c r="EC269" s="56">
        <f>$BP269-$BP270</f>
        <v/>
      </c>
      <c r="ED269" s="56">
        <f>$BQ269-$BQ270</f>
        <v/>
      </c>
      <c r="EE269" s="56">
        <f>$BR269-$BR270</f>
        <v/>
      </c>
      <c r="EF269" s="56">
        <f>$BS269-$BS270</f>
        <v/>
      </c>
      <c r="EG269" s="56">
        <f>$BT269-$BT270</f>
        <v/>
      </c>
      <c r="EH269" s="56">
        <f>$BU269-$BU270</f>
        <v/>
      </c>
    </row>
    <row r="270">
      <c r="BV270" s="56">
        <f>($D270-$D271)*100</f>
        <v/>
      </c>
      <c r="BW270" s="56">
        <f>($C270-$C271)*100</f>
        <v/>
      </c>
      <c r="BX270" s="57">
        <f>IFERROR($I270/$I271-1,"")</f>
        <v/>
      </c>
      <c r="BY270" s="56">
        <f>($AF270-$AF271)*100</f>
        <v/>
      </c>
      <c r="BZ270" s="56">
        <f>($AG270-$AG271)*100</f>
        <v/>
      </c>
      <c r="CA270" s="56">
        <f>($AH270-$AH271)*100</f>
        <v/>
      </c>
      <c r="CB270" s="56">
        <f>($AI270-$AI271)*100</f>
        <v/>
      </c>
      <c r="CC270" s="56">
        <f>($AJ270-$AJ271)*100</f>
        <v/>
      </c>
      <c r="CD270" s="56">
        <f>($AK270-$AK271)*100</f>
        <v/>
      </c>
      <c r="CE270" s="56">
        <f>($AL270-$AL271)*100</f>
        <v/>
      </c>
      <c r="CF270" s="56">
        <f>($AM270-$AM271)*100</f>
        <v/>
      </c>
      <c r="CG270" s="56">
        <f>($AN270-$AN271)*100</f>
        <v/>
      </c>
      <c r="CH270" s="56">
        <f>($AO270-$AO271)*100</f>
        <v/>
      </c>
      <c r="CI270" s="56">
        <f>($AP270-$AP271)*100</f>
        <v/>
      </c>
      <c r="CJ270" s="56">
        <f>($AQ270-$AQ271)*100</f>
        <v/>
      </c>
      <c r="CK270" s="56">
        <f>($AR270-$AR271)*100</f>
        <v/>
      </c>
      <c r="CL270" s="56">
        <f>($AS270-$AS271)*100</f>
        <v/>
      </c>
      <c r="CM270" s="56">
        <f>($AT270-$AT271)*100</f>
        <v/>
      </c>
      <c r="CN270" s="56">
        <f>($AU270-$AU271)*100</f>
        <v/>
      </c>
      <c r="CO270" s="56">
        <f>($AV270-$AV271)*100</f>
        <v/>
      </c>
      <c r="CP270" s="56">
        <f>($AW270-$AW271)*100</f>
        <v/>
      </c>
      <c r="CQ270" s="56">
        <f>($AX270-$AX271)*100</f>
        <v/>
      </c>
      <c r="CR270" s="56">
        <f>($AY270-$AY271)*100</f>
        <v/>
      </c>
      <c r="CS270" s="57">
        <f>IFERROR($L271/$L270-1,"")</f>
        <v/>
      </c>
      <c r="CT270" s="57">
        <f>IFERROR($M271/$M270-1,"")</f>
        <v/>
      </c>
      <c r="CU270" s="57">
        <f>IFERROR($N271/$N270-1,"")</f>
        <v/>
      </c>
      <c r="CV270" s="57">
        <f>IFERROR($O271/$O270-1,"")</f>
        <v/>
      </c>
      <c r="CW270" s="57">
        <f>IFERROR($P271/$P270-1,"")</f>
        <v/>
      </c>
      <c r="CX270" s="57">
        <f>IFERROR($Q271/$Q270-1,"")</f>
        <v/>
      </c>
      <c r="CY270" s="57">
        <f>IFERROR($R271/$R270-1,"")</f>
        <v/>
      </c>
      <c r="CZ270" s="57">
        <f>IFERROR($S271/$S270-1,"")</f>
        <v/>
      </c>
      <c r="DA270" s="57">
        <f>IFERROR($T271/$T270-1,"")</f>
        <v/>
      </c>
      <c r="DB270" s="57">
        <f>IFERROR($U271/$U270-1,"")</f>
        <v/>
      </c>
      <c r="DC270" s="57">
        <f>IFERROR($V271/$V270-1,"")</f>
        <v/>
      </c>
      <c r="DD270" s="57">
        <f>IFERROR($W271/$W270-1,"")</f>
        <v/>
      </c>
      <c r="DE270" s="57">
        <f>IFERROR($X271/$X270-1,"")</f>
        <v/>
      </c>
      <c r="DF270" s="57">
        <f>IFERROR($Y271/$Y270-1,"")</f>
        <v/>
      </c>
      <c r="DG270" s="57">
        <f>IFERROR($Z271/$Z270-1,"")</f>
        <v/>
      </c>
      <c r="DH270" s="57">
        <f>IFERROR($AA271/$AA270-1,"")</f>
        <v/>
      </c>
      <c r="DI270" s="57">
        <f>IFERROR($AB271/$AB270-1,"")</f>
        <v/>
      </c>
      <c r="DJ270" s="57">
        <f>IFERROR($AC271/$AC270-1,"")</f>
        <v/>
      </c>
      <c r="DK270" s="57">
        <f>IFERROR($AD271/$AD270-1,"")</f>
        <v/>
      </c>
      <c r="DL270" s="57">
        <f>IFERROR($AE271/$AE270-1,"")</f>
        <v/>
      </c>
      <c r="DM270" s="56">
        <f>$AZ270-$AZ271</f>
        <v/>
      </c>
      <c r="DN270" s="56">
        <f>$BA270-$BA271</f>
        <v/>
      </c>
      <c r="DO270" s="56">
        <f>$BB270-$BB271</f>
        <v/>
      </c>
      <c r="DP270" s="56">
        <f>$BC270-$BC271</f>
        <v/>
      </c>
      <c r="DQ270" s="56">
        <f>$BD270-$BD271</f>
        <v/>
      </c>
      <c r="DR270" s="56">
        <f>$BE270-$BE271</f>
        <v/>
      </c>
      <c r="DS270" s="56">
        <f>$BF270-$BF271</f>
        <v/>
      </c>
      <c r="DT270" s="56">
        <f>$BG270-$BG271</f>
        <v/>
      </c>
      <c r="DU270" s="56">
        <f>$BH270-$BH271</f>
        <v/>
      </c>
      <c r="DV270" s="56">
        <f>$BI270-$BI271</f>
        <v/>
      </c>
      <c r="DW270" s="56">
        <f>$BJ270-$BJ271</f>
        <v/>
      </c>
      <c r="DX270" s="56">
        <f>$BK270-$BK271</f>
        <v/>
      </c>
      <c r="DY270" s="56">
        <f>$BL270-$BL271</f>
        <v/>
      </c>
      <c r="DZ270" s="56">
        <f>$BM270-$BM271</f>
        <v/>
      </c>
      <c r="EA270" s="56">
        <f>$BN270-$BN271</f>
        <v/>
      </c>
      <c r="EB270" s="56">
        <f>$BO270-$BO271</f>
        <v/>
      </c>
      <c r="EC270" s="56">
        <f>$BP270-$BP271</f>
        <v/>
      </c>
      <c r="ED270" s="56">
        <f>$BQ270-$BQ271</f>
        <v/>
      </c>
      <c r="EE270" s="56">
        <f>$BR270-$BR271</f>
        <v/>
      </c>
      <c r="EF270" s="56">
        <f>$BS270-$BS271</f>
        <v/>
      </c>
      <c r="EG270" s="56">
        <f>$BT270-$BT271</f>
        <v/>
      </c>
      <c r="EH270" s="56">
        <f>$BU270-$BU271</f>
        <v/>
      </c>
    </row>
    <row r="271">
      <c r="BV271" s="56">
        <f>($D271-$D272)*100</f>
        <v/>
      </c>
      <c r="BW271" s="56">
        <f>($C271-$C272)*100</f>
        <v/>
      </c>
      <c r="BX271" s="57">
        <f>IFERROR($I271/$I272-1,"")</f>
        <v/>
      </c>
      <c r="BY271" s="56">
        <f>($AF271-$AF272)*100</f>
        <v/>
      </c>
      <c r="BZ271" s="56">
        <f>($AG271-$AG272)*100</f>
        <v/>
      </c>
      <c r="CA271" s="56">
        <f>($AH271-$AH272)*100</f>
        <v/>
      </c>
      <c r="CB271" s="56">
        <f>($AI271-$AI272)*100</f>
        <v/>
      </c>
      <c r="CC271" s="56">
        <f>($AJ271-$AJ272)*100</f>
        <v/>
      </c>
      <c r="CD271" s="56">
        <f>($AK271-$AK272)*100</f>
        <v/>
      </c>
      <c r="CE271" s="56">
        <f>($AL271-$AL272)*100</f>
        <v/>
      </c>
      <c r="CF271" s="56">
        <f>($AM271-$AM272)*100</f>
        <v/>
      </c>
      <c r="CG271" s="56">
        <f>($AN271-$AN272)*100</f>
        <v/>
      </c>
      <c r="CH271" s="56">
        <f>($AO271-$AO272)*100</f>
        <v/>
      </c>
      <c r="CI271" s="56">
        <f>($AP271-$AP272)*100</f>
        <v/>
      </c>
      <c r="CJ271" s="56">
        <f>($AQ271-$AQ272)*100</f>
        <v/>
      </c>
      <c r="CK271" s="56">
        <f>($AR271-$AR272)*100</f>
        <v/>
      </c>
      <c r="CL271" s="56">
        <f>($AS271-$AS272)*100</f>
        <v/>
      </c>
      <c r="CM271" s="56">
        <f>($AT271-$AT272)*100</f>
        <v/>
      </c>
      <c r="CN271" s="56">
        <f>($AU271-$AU272)*100</f>
        <v/>
      </c>
      <c r="CO271" s="56">
        <f>($AV271-$AV272)*100</f>
        <v/>
      </c>
      <c r="CP271" s="56">
        <f>($AW271-$AW272)*100</f>
        <v/>
      </c>
      <c r="CQ271" s="56">
        <f>($AX271-$AX272)*100</f>
        <v/>
      </c>
      <c r="CR271" s="56">
        <f>($AY271-$AY272)*100</f>
        <v/>
      </c>
      <c r="CS271" s="57">
        <f>IFERROR($L272/$L271-1,"")</f>
        <v/>
      </c>
      <c r="CT271" s="57">
        <f>IFERROR($M272/$M271-1,"")</f>
        <v/>
      </c>
      <c r="CU271" s="57">
        <f>IFERROR($N272/$N271-1,"")</f>
        <v/>
      </c>
      <c r="CV271" s="57">
        <f>IFERROR($O272/$O271-1,"")</f>
        <v/>
      </c>
      <c r="CW271" s="57">
        <f>IFERROR($P272/$P271-1,"")</f>
        <v/>
      </c>
      <c r="CX271" s="57">
        <f>IFERROR($Q272/$Q271-1,"")</f>
        <v/>
      </c>
      <c r="CY271" s="57">
        <f>IFERROR($R272/$R271-1,"")</f>
        <v/>
      </c>
      <c r="CZ271" s="57">
        <f>IFERROR($S272/$S271-1,"")</f>
        <v/>
      </c>
      <c r="DA271" s="57">
        <f>IFERROR($T272/$T271-1,"")</f>
        <v/>
      </c>
      <c r="DB271" s="57">
        <f>IFERROR($U272/$U271-1,"")</f>
        <v/>
      </c>
      <c r="DC271" s="57">
        <f>IFERROR($V272/$V271-1,"")</f>
        <v/>
      </c>
      <c r="DD271" s="57">
        <f>IFERROR($W272/$W271-1,"")</f>
        <v/>
      </c>
      <c r="DE271" s="57">
        <f>IFERROR($X272/$X271-1,"")</f>
        <v/>
      </c>
      <c r="DF271" s="57">
        <f>IFERROR($Y272/$Y271-1,"")</f>
        <v/>
      </c>
      <c r="DG271" s="57">
        <f>IFERROR($Z272/$Z271-1,"")</f>
        <v/>
      </c>
      <c r="DH271" s="57">
        <f>IFERROR($AA272/$AA271-1,"")</f>
        <v/>
      </c>
      <c r="DI271" s="57">
        <f>IFERROR($AB272/$AB271-1,"")</f>
        <v/>
      </c>
      <c r="DJ271" s="57">
        <f>IFERROR($AC272/$AC271-1,"")</f>
        <v/>
      </c>
      <c r="DK271" s="57">
        <f>IFERROR($AD272/$AD271-1,"")</f>
        <v/>
      </c>
      <c r="DL271" s="57">
        <f>IFERROR($AE272/$AE271-1,"")</f>
        <v/>
      </c>
      <c r="DM271" s="56">
        <f>$AZ271-$AZ272</f>
        <v/>
      </c>
      <c r="DN271" s="56">
        <f>$BA271-$BA272</f>
        <v/>
      </c>
      <c r="DO271" s="56">
        <f>$BB271-$BB272</f>
        <v/>
      </c>
      <c r="DP271" s="56">
        <f>$BC271-$BC272</f>
        <v/>
      </c>
      <c r="DQ271" s="56">
        <f>$BD271-$BD272</f>
        <v/>
      </c>
      <c r="DR271" s="56">
        <f>$BE271-$BE272</f>
        <v/>
      </c>
      <c r="DS271" s="56">
        <f>$BF271-$BF272</f>
        <v/>
      </c>
      <c r="DT271" s="56">
        <f>$BG271-$BG272</f>
        <v/>
      </c>
      <c r="DU271" s="56">
        <f>$BH271-$BH272</f>
        <v/>
      </c>
      <c r="DV271" s="56">
        <f>$BI271-$BI272</f>
        <v/>
      </c>
      <c r="DW271" s="56">
        <f>$BJ271-$BJ272</f>
        <v/>
      </c>
      <c r="DX271" s="56">
        <f>$BK271-$BK272</f>
        <v/>
      </c>
      <c r="DY271" s="56">
        <f>$BL271-$BL272</f>
        <v/>
      </c>
      <c r="DZ271" s="56">
        <f>$BM271-$BM272</f>
        <v/>
      </c>
      <c r="EA271" s="56">
        <f>$BN271-$BN272</f>
        <v/>
      </c>
      <c r="EB271" s="56">
        <f>$BO271-$BO272</f>
        <v/>
      </c>
      <c r="EC271" s="56">
        <f>$BP271-$BP272</f>
        <v/>
      </c>
      <c r="ED271" s="56">
        <f>$BQ271-$BQ272</f>
        <v/>
      </c>
      <c r="EE271" s="56">
        <f>$BR271-$BR272</f>
        <v/>
      </c>
      <c r="EF271" s="56">
        <f>$BS271-$BS272</f>
        <v/>
      </c>
      <c r="EG271" s="56">
        <f>$BT271-$BT272</f>
        <v/>
      </c>
      <c r="EH271" s="56">
        <f>$BU271-$BU272</f>
        <v/>
      </c>
    </row>
    <row r="272">
      <c r="BV272" s="56">
        <f>($D272-$D273)*100</f>
        <v/>
      </c>
      <c r="BW272" s="56">
        <f>($C272-$C273)*100</f>
        <v/>
      </c>
      <c r="BX272" s="57">
        <f>IFERROR($I272/$I273-1,"")</f>
        <v/>
      </c>
      <c r="BY272" s="56">
        <f>($AF272-$AF273)*100</f>
        <v/>
      </c>
      <c r="BZ272" s="56">
        <f>($AG272-$AG273)*100</f>
        <v/>
      </c>
      <c r="CA272" s="56">
        <f>($AH272-$AH273)*100</f>
        <v/>
      </c>
      <c r="CB272" s="56">
        <f>($AI272-$AI273)*100</f>
        <v/>
      </c>
      <c r="CC272" s="56">
        <f>($AJ272-$AJ273)*100</f>
        <v/>
      </c>
      <c r="CD272" s="56">
        <f>($AK272-$AK273)*100</f>
        <v/>
      </c>
      <c r="CE272" s="56">
        <f>($AL272-$AL273)*100</f>
        <v/>
      </c>
      <c r="CF272" s="56">
        <f>($AM272-$AM273)*100</f>
        <v/>
      </c>
      <c r="CG272" s="56">
        <f>($AN272-$AN273)*100</f>
        <v/>
      </c>
      <c r="CH272" s="56">
        <f>($AO272-$AO273)*100</f>
        <v/>
      </c>
      <c r="CI272" s="56">
        <f>($AP272-$AP273)*100</f>
        <v/>
      </c>
      <c r="CJ272" s="56">
        <f>($AQ272-$AQ273)*100</f>
        <v/>
      </c>
      <c r="CK272" s="56">
        <f>($AR272-$AR273)*100</f>
        <v/>
      </c>
      <c r="CL272" s="56">
        <f>($AS272-$AS273)*100</f>
        <v/>
      </c>
      <c r="CM272" s="56">
        <f>($AT272-$AT273)*100</f>
        <v/>
      </c>
      <c r="CN272" s="56">
        <f>($AU272-$AU273)*100</f>
        <v/>
      </c>
      <c r="CO272" s="56">
        <f>($AV272-$AV273)*100</f>
        <v/>
      </c>
      <c r="CP272" s="56">
        <f>($AW272-$AW273)*100</f>
        <v/>
      </c>
      <c r="CQ272" s="56">
        <f>($AX272-$AX273)*100</f>
        <v/>
      </c>
      <c r="CR272" s="56">
        <f>($AY272-$AY273)*100</f>
        <v/>
      </c>
      <c r="CS272" s="57">
        <f>IFERROR($L273/$L272-1,"")</f>
        <v/>
      </c>
      <c r="CT272" s="57">
        <f>IFERROR($M273/$M272-1,"")</f>
        <v/>
      </c>
      <c r="CU272" s="57">
        <f>IFERROR($N273/$N272-1,"")</f>
        <v/>
      </c>
      <c r="CV272" s="57">
        <f>IFERROR($O273/$O272-1,"")</f>
        <v/>
      </c>
      <c r="CW272" s="57">
        <f>IFERROR($P273/$P272-1,"")</f>
        <v/>
      </c>
      <c r="CX272" s="57">
        <f>IFERROR($Q273/$Q272-1,"")</f>
        <v/>
      </c>
      <c r="CY272" s="57">
        <f>IFERROR($R273/$R272-1,"")</f>
        <v/>
      </c>
      <c r="CZ272" s="57">
        <f>IFERROR($S273/$S272-1,"")</f>
        <v/>
      </c>
      <c r="DA272" s="57">
        <f>IFERROR($T273/$T272-1,"")</f>
        <v/>
      </c>
      <c r="DB272" s="57">
        <f>IFERROR($U273/$U272-1,"")</f>
        <v/>
      </c>
      <c r="DC272" s="57">
        <f>IFERROR($V273/$V272-1,"")</f>
        <v/>
      </c>
      <c r="DD272" s="57">
        <f>IFERROR($W273/$W272-1,"")</f>
        <v/>
      </c>
      <c r="DE272" s="57">
        <f>IFERROR($X273/$X272-1,"")</f>
        <v/>
      </c>
      <c r="DF272" s="57">
        <f>IFERROR($Y273/$Y272-1,"")</f>
        <v/>
      </c>
      <c r="DG272" s="57">
        <f>IFERROR($Z273/$Z272-1,"")</f>
        <v/>
      </c>
      <c r="DH272" s="57">
        <f>IFERROR($AA273/$AA272-1,"")</f>
        <v/>
      </c>
      <c r="DI272" s="57">
        <f>IFERROR($AB273/$AB272-1,"")</f>
        <v/>
      </c>
      <c r="DJ272" s="57">
        <f>IFERROR($AC273/$AC272-1,"")</f>
        <v/>
      </c>
      <c r="DK272" s="57">
        <f>IFERROR($AD273/$AD272-1,"")</f>
        <v/>
      </c>
      <c r="DL272" s="57">
        <f>IFERROR($AE273/$AE272-1,"")</f>
        <v/>
      </c>
      <c r="DM272" s="56">
        <f>$AZ272-$AZ273</f>
        <v/>
      </c>
      <c r="DN272" s="56">
        <f>$BA272-$BA273</f>
        <v/>
      </c>
      <c r="DO272" s="56">
        <f>$BB272-$BB273</f>
        <v/>
      </c>
      <c r="DP272" s="56">
        <f>$BC272-$BC273</f>
        <v/>
      </c>
      <c r="DQ272" s="56">
        <f>$BD272-$BD273</f>
        <v/>
      </c>
      <c r="DR272" s="56">
        <f>$BE272-$BE273</f>
        <v/>
      </c>
      <c r="DS272" s="56">
        <f>$BF272-$BF273</f>
        <v/>
      </c>
      <c r="DT272" s="56">
        <f>$BG272-$BG273</f>
        <v/>
      </c>
      <c r="DU272" s="56">
        <f>$BH272-$BH273</f>
        <v/>
      </c>
      <c r="DV272" s="56">
        <f>$BI272-$BI273</f>
        <v/>
      </c>
      <c r="DW272" s="56">
        <f>$BJ272-$BJ273</f>
        <v/>
      </c>
      <c r="DX272" s="56">
        <f>$BK272-$BK273</f>
        <v/>
      </c>
      <c r="DY272" s="56">
        <f>$BL272-$BL273</f>
        <v/>
      </c>
      <c r="DZ272" s="56">
        <f>$BM272-$BM273</f>
        <v/>
      </c>
      <c r="EA272" s="56">
        <f>$BN272-$BN273</f>
        <v/>
      </c>
      <c r="EB272" s="56">
        <f>$BO272-$BO273</f>
        <v/>
      </c>
      <c r="EC272" s="56">
        <f>$BP272-$BP273</f>
        <v/>
      </c>
      <c r="ED272" s="56">
        <f>$BQ272-$BQ273</f>
        <v/>
      </c>
      <c r="EE272" s="56">
        <f>$BR272-$BR273</f>
        <v/>
      </c>
      <c r="EF272" s="56">
        <f>$BS272-$BS273</f>
        <v/>
      </c>
      <c r="EG272" s="56">
        <f>$BT272-$BT273</f>
        <v/>
      </c>
      <c r="EH272" s="56">
        <f>$BU272-$BU273</f>
        <v/>
      </c>
    </row>
    <row r="273">
      <c r="BV273" s="56">
        <f>($D273-$D274)*100</f>
        <v/>
      </c>
      <c r="BW273" s="56">
        <f>($C273-$C274)*100</f>
        <v/>
      </c>
      <c r="BX273" s="57">
        <f>IFERROR($I273/$I274-1,"")</f>
        <v/>
      </c>
      <c r="BY273" s="56">
        <f>($AF273-$AF274)*100</f>
        <v/>
      </c>
      <c r="BZ273" s="56">
        <f>($AG273-$AG274)*100</f>
        <v/>
      </c>
      <c r="CA273" s="56">
        <f>($AH273-$AH274)*100</f>
        <v/>
      </c>
      <c r="CB273" s="56">
        <f>($AI273-$AI274)*100</f>
        <v/>
      </c>
      <c r="CC273" s="56">
        <f>($AJ273-$AJ274)*100</f>
        <v/>
      </c>
      <c r="CD273" s="56">
        <f>($AK273-$AK274)*100</f>
        <v/>
      </c>
      <c r="CE273" s="56">
        <f>($AL273-$AL274)*100</f>
        <v/>
      </c>
      <c r="CF273" s="56">
        <f>($AM273-$AM274)*100</f>
        <v/>
      </c>
      <c r="CG273" s="56">
        <f>($AN273-$AN274)*100</f>
        <v/>
      </c>
      <c r="CH273" s="56">
        <f>($AO273-$AO274)*100</f>
        <v/>
      </c>
      <c r="CI273" s="56">
        <f>($AP273-$AP274)*100</f>
        <v/>
      </c>
      <c r="CJ273" s="56">
        <f>($AQ273-$AQ274)*100</f>
        <v/>
      </c>
      <c r="CK273" s="56">
        <f>($AR273-$AR274)*100</f>
        <v/>
      </c>
      <c r="CL273" s="56">
        <f>($AS273-$AS274)*100</f>
        <v/>
      </c>
      <c r="CM273" s="56">
        <f>($AT273-$AT274)*100</f>
        <v/>
      </c>
      <c r="CN273" s="56">
        <f>($AU273-$AU274)*100</f>
        <v/>
      </c>
      <c r="CO273" s="56">
        <f>($AV273-$AV274)*100</f>
        <v/>
      </c>
      <c r="CP273" s="56">
        <f>($AW273-$AW274)*100</f>
        <v/>
      </c>
      <c r="CQ273" s="56">
        <f>($AX273-$AX274)*100</f>
        <v/>
      </c>
      <c r="CR273" s="56">
        <f>($AY273-$AY274)*100</f>
        <v/>
      </c>
      <c r="CS273" s="57">
        <f>IFERROR($L274/$L273-1,"")</f>
        <v/>
      </c>
      <c r="CT273" s="57">
        <f>IFERROR($M274/$M273-1,"")</f>
        <v/>
      </c>
      <c r="CU273" s="57">
        <f>IFERROR($N274/$N273-1,"")</f>
        <v/>
      </c>
      <c r="CV273" s="57">
        <f>IFERROR($O274/$O273-1,"")</f>
        <v/>
      </c>
      <c r="CW273" s="57">
        <f>IFERROR($P274/$P273-1,"")</f>
        <v/>
      </c>
      <c r="CX273" s="57">
        <f>IFERROR($Q274/$Q273-1,"")</f>
        <v/>
      </c>
      <c r="CY273" s="57">
        <f>IFERROR($R274/$R273-1,"")</f>
        <v/>
      </c>
      <c r="CZ273" s="57">
        <f>IFERROR($S274/$S273-1,"")</f>
        <v/>
      </c>
      <c r="DA273" s="57">
        <f>IFERROR($T274/$T273-1,"")</f>
        <v/>
      </c>
      <c r="DB273" s="57">
        <f>IFERROR($U274/$U273-1,"")</f>
        <v/>
      </c>
      <c r="DC273" s="57">
        <f>IFERROR($V274/$V273-1,"")</f>
        <v/>
      </c>
      <c r="DD273" s="57">
        <f>IFERROR($W274/$W273-1,"")</f>
        <v/>
      </c>
      <c r="DE273" s="57">
        <f>IFERROR($X274/$X273-1,"")</f>
        <v/>
      </c>
      <c r="DF273" s="57">
        <f>IFERROR($Y274/$Y273-1,"")</f>
        <v/>
      </c>
      <c r="DG273" s="57">
        <f>IFERROR($Z274/$Z273-1,"")</f>
        <v/>
      </c>
      <c r="DH273" s="57">
        <f>IFERROR($AA274/$AA273-1,"")</f>
        <v/>
      </c>
      <c r="DI273" s="57">
        <f>IFERROR($AB274/$AB273-1,"")</f>
        <v/>
      </c>
      <c r="DJ273" s="57">
        <f>IFERROR($AC274/$AC273-1,"")</f>
        <v/>
      </c>
      <c r="DK273" s="57">
        <f>IFERROR($AD274/$AD273-1,"")</f>
        <v/>
      </c>
      <c r="DL273" s="57">
        <f>IFERROR($AE274/$AE273-1,"")</f>
        <v/>
      </c>
      <c r="DM273" s="56">
        <f>$AZ273-$AZ274</f>
        <v/>
      </c>
      <c r="DN273" s="56">
        <f>$BA273-$BA274</f>
        <v/>
      </c>
      <c r="DO273" s="56">
        <f>$BB273-$BB274</f>
        <v/>
      </c>
      <c r="DP273" s="56">
        <f>$BC273-$BC274</f>
        <v/>
      </c>
      <c r="DQ273" s="56">
        <f>$BD273-$BD274</f>
        <v/>
      </c>
      <c r="DR273" s="56">
        <f>$BE273-$BE274</f>
        <v/>
      </c>
      <c r="DS273" s="56">
        <f>$BF273-$BF274</f>
        <v/>
      </c>
      <c r="DT273" s="56">
        <f>$BG273-$BG274</f>
        <v/>
      </c>
      <c r="DU273" s="56">
        <f>$BH273-$BH274</f>
        <v/>
      </c>
      <c r="DV273" s="56">
        <f>$BI273-$BI274</f>
        <v/>
      </c>
      <c r="DW273" s="56">
        <f>$BJ273-$BJ274</f>
        <v/>
      </c>
      <c r="DX273" s="56">
        <f>$BK273-$BK274</f>
        <v/>
      </c>
      <c r="DY273" s="56">
        <f>$BL273-$BL274</f>
        <v/>
      </c>
      <c r="DZ273" s="56">
        <f>$BM273-$BM274</f>
        <v/>
      </c>
      <c r="EA273" s="56">
        <f>$BN273-$BN274</f>
        <v/>
      </c>
      <c r="EB273" s="56">
        <f>$BO273-$BO274</f>
        <v/>
      </c>
      <c r="EC273" s="56">
        <f>$BP273-$BP274</f>
        <v/>
      </c>
      <c r="ED273" s="56">
        <f>$BQ273-$BQ274</f>
        <v/>
      </c>
      <c r="EE273" s="56">
        <f>$BR273-$BR274</f>
        <v/>
      </c>
      <c r="EF273" s="56">
        <f>$BS273-$BS274</f>
        <v/>
      </c>
      <c r="EG273" s="56">
        <f>$BT273-$BT274</f>
        <v/>
      </c>
      <c r="EH273" s="56">
        <f>$BU273-$BU274</f>
        <v/>
      </c>
    </row>
    <row r="274">
      <c r="BV274" s="56">
        <f>($D274-$D275)*100</f>
        <v/>
      </c>
      <c r="BW274" s="56">
        <f>($C274-$C275)*100</f>
        <v/>
      </c>
      <c r="BX274" s="57">
        <f>IFERROR($I274/$I275-1,"")</f>
        <v/>
      </c>
      <c r="BY274" s="56">
        <f>($AF274-$AF275)*100</f>
        <v/>
      </c>
      <c r="BZ274" s="56">
        <f>($AG274-$AG275)*100</f>
        <v/>
      </c>
      <c r="CA274" s="56">
        <f>($AH274-$AH275)*100</f>
        <v/>
      </c>
      <c r="CB274" s="56">
        <f>($AI274-$AI275)*100</f>
        <v/>
      </c>
      <c r="CC274" s="56">
        <f>($AJ274-$AJ275)*100</f>
        <v/>
      </c>
      <c r="CD274" s="56">
        <f>($AK274-$AK275)*100</f>
        <v/>
      </c>
      <c r="CE274" s="56">
        <f>($AL274-$AL275)*100</f>
        <v/>
      </c>
      <c r="CF274" s="56">
        <f>($AM274-$AM275)*100</f>
        <v/>
      </c>
      <c r="CG274" s="56">
        <f>($AN274-$AN275)*100</f>
        <v/>
      </c>
      <c r="CH274" s="56">
        <f>($AO274-$AO275)*100</f>
        <v/>
      </c>
      <c r="CI274" s="56">
        <f>($AP274-$AP275)*100</f>
        <v/>
      </c>
      <c r="CJ274" s="56">
        <f>($AQ274-$AQ275)*100</f>
        <v/>
      </c>
      <c r="CK274" s="56">
        <f>($AR274-$AR275)*100</f>
        <v/>
      </c>
      <c r="CL274" s="56">
        <f>($AS274-$AS275)*100</f>
        <v/>
      </c>
      <c r="CM274" s="56">
        <f>($AT274-$AT275)*100</f>
        <v/>
      </c>
      <c r="CN274" s="56">
        <f>($AU274-$AU275)*100</f>
        <v/>
      </c>
      <c r="CO274" s="56">
        <f>($AV274-$AV275)*100</f>
        <v/>
      </c>
      <c r="CP274" s="56">
        <f>($AW274-$AW275)*100</f>
        <v/>
      </c>
      <c r="CQ274" s="56">
        <f>($AX274-$AX275)*100</f>
        <v/>
      </c>
      <c r="CR274" s="56">
        <f>($AY274-$AY275)*100</f>
        <v/>
      </c>
      <c r="CS274" s="57">
        <f>IFERROR($L275/$L274-1,"")</f>
        <v/>
      </c>
      <c r="CT274" s="57">
        <f>IFERROR($M275/$M274-1,"")</f>
        <v/>
      </c>
      <c r="CU274" s="57">
        <f>IFERROR($N275/$N274-1,"")</f>
        <v/>
      </c>
      <c r="CV274" s="57">
        <f>IFERROR($O275/$O274-1,"")</f>
        <v/>
      </c>
      <c r="CW274" s="57">
        <f>IFERROR($P275/$P274-1,"")</f>
        <v/>
      </c>
      <c r="CX274" s="57">
        <f>IFERROR($Q275/$Q274-1,"")</f>
        <v/>
      </c>
      <c r="CY274" s="57">
        <f>IFERROR($R275/$R274-1,"")</f>
        <v/>
      </c>
      <c r="CZ274" s="57">
        <f>IFERROR($S275/$S274-1,"")</f>
        <v/>
      </c>
      <c r="DA274" s="57">
        <f>IFERROR($T275/$T274-1,"")</f>
        <v/>
      </c>
      <c r="DB274" s="57">
        <f>IFERROR($U275/$U274-1,"")</f>
        <v/>
      </c>
      <c r="DC274" s="57">
        <f>IFERROR($V275/$V274-1,"")</f>
        <v/>
      </c>
      <c r="DD274" s="57">
        <f>IFERROR($W275/$W274-1,"")</f>
        <v/>
      </c>
      <c r="DE274" s="57">
        <f>IFERROR($X275/$X274-1,"")</f>
        <v/>
      </c>
      <c r="DF274" s="57">
        <f>IFERROR($Y275/$Y274-1,"")</f>
        <v/>
      </c>
      <c r="DG274" s="57">
        <f>IFERROR($Z275/$Z274-1,"")</f>
        <v/>
      </c>
      <c r="DH274" s="57">
        <f>IFERROR($AA275/$AA274-1,"")</f>
        <v/>
      </c>
      <c r="DI274" s="57">
        <f>IFERROR($AB275/$AB274-1,"")</f>
        <v/>
      </c>
      <c r="DJ274" s="57">
        <f>IFERROR($AC275/$AC274-1,"")</f>
        <v/>
      </c>
      <c r="DK274" s="57">
        <f>IFERROR($AD275/$AD274-1,"")</f>
        <v/>
      </c>
      <c r="DL274" s="57">
        <f>IFERROR($AE275/$AE274-1,"")</f>
        <v/>
      </c>
      <c r="DM274" s="56">
        <f>$AZ274-$AZ275</f>
        <v/>
      </c>
      <c r="DN274" s="56">
        <f>$BA274-$BA275</f>
        <v/>
      </c>
      <c r="DO274" s="56">
        <f>$BB274-$BB275</f>
        <v/>
      </c>
      <c r="DP274" s="56">
        <f>$BC274-$BC275</f>
        <v/>
      </c>
      <c r="DQ274" s="56">
        <f>$BD274-$BD275</f>
        <v/>
      </c>
      <c r="DR274" s="56">
        <f>$BE274-$BE275</f>
        <v/>
      </c>
      <c r="DS274" s="56">
        <f>$BF274-$BF275</f>
        <v/>
      </c>
      <c r="DT274" s="56">
        <f>$BG274-$BG275</f>
        <v/>
      </c>
      <c r="DU274" s="56">
        <f>$BH274-$BH275</f>
        <v/>
      </c>
      <c r="DV274" s="56">
        <f>$BI274-$BI275</f>
        <v/>
      </c>
      <c r="DW274" s="56">
        <f>$BJ274-$BJ275</f>
        <v/>
      </c>
      <c r="DX274" s="56">
        <f>$BK274-$BK275</f>
        <v/>
      </c>
      <c r="DY274" s="56">
        <f>$BL274-$BL275</f>
        <v/>
      </c>
      <c r="DZ274" s="56">
        <f>$BM274-$BM275</f>
        <v/>
      </c>
      <c r="EA274" s="56">
        <f>$BN274-$BN275</f>
        <v/>
      </c>
      <c r="EB274" s="56">
        <f>$BO274-$BO275</f>
        <v/>
      </c>
      <c r="EC274" s="56">
        <f>$BP274-$BP275</f>
        <v/>
      </c>
      <c r="ED274" s="56">
        <f>$BQ274-$BQ275</f>
        <v/>
      </c>
      <c r="EE274" s="56">
        <f>$BR274-$BR275</f>
        <v/>
      </c>
      <c r="EF274" s="56">
        <f>$BS274-$BS275</f>
        <v/>
      </c>
      <c r="EG274" s="56">
        <f>$BT274-$BT275</f>
        <v/>
      </c>
      <c r="EH274" s="56">
        <f>$BU274-$BU275</f>
        <v/>
      </c>
    </row>
    <row r="275">
      <c r="BV275" s="56">
        <f>($D275-$D276)*100</f>
        <v/>
      </c>
      <c r="BW275" s="56">
        <f>($C275-$C276)*100</f>
        <v/>
      </c>
      <c r="BX275" s="57">
        <f>IFERROR($I275/$I276-1,"")</f>
        <v/>
      </c>
      <c r="BY275" s="56">
        <f>($AF275-$AF276)*100</f>
        <v/>
      </c>
      <c r="BZ275" s="56">
        <f>($AG275-$AG276)*100</f>
        <v/>
      </c>
      <c r="CA275" s="56">
        <f>($AH275-$AH276)*100</f>
        <v/>
      </c>
      <c r="CB275" s="56">
        <f>($AI275-$AI276)*100</f>
        <v/>
      </c>
      <c r="CC275" s="56">
        <f>($AJ275-$AJ276)*100</f>
        <v/>
      </c>
      <c r="CD275" s="56">
        <f>($AK275-$AK276)*100</f>
        <v/>
      </c>
      <c r="CE275" s="56">
        <f>($AL275-$AL276)*100</f>
        <v/>
      </c>
      <c r="CF275" s="56">
        <f>($AM275-$AM276)*100</f>
        <v/>
      </c>
      <c r="CG275" s="56">
        <f>($AN275-$AN276)*100</f>
        <v/>
      </c>
      <c r="CH275" s="56">
        <f>($AO275-$AO276)*100</f>
        <v/>
      </c>
      <c r="CI275" s="56">
        <f>($AP275-$AP276)*100</f>
        <v/>
      </c>
      <c r="CJ275" s="56">
        <f>($AQ275-$AQ276)*100</f>
        <v/>
      </c>
      <c r="CK275" s="56">
        <f>($AR275-$AR276)*100</f>
        <v/>
      </c>
      <c r="CL275" s="56">
        <f>($AS275-$AS276)*100</f>
        <v/>
      </c>
      <c r="CM275" s="56">
        <f>($AT275-$AT276)*100</f>
        <v/>
      </c>
      <c r="CN275" s="56">
        <f>($AU275-$AU276)*100</f>
        <v/>
      </c>
      <c r="CO275" s="56">
        <f>($AV275-$AV276)*100</f>
        <v/>
      </c>
      <c r="CP275" s="56">
        <f>($AW275-$AW276)*100</f>
        <v/>
      </c>
      <c r="CQ275" s="56">
        <f>($AX275-$AX276)*100</f>
        <v/>
      </c>
      <c r="CR275" s="56">
        <f>($AY275-$AY276)*100</f>
        <v/>
      </c>
      <c r="CS275" s="57">
        <f>IFERROR($L276/$L275-1,"")</f>
        <v/>
      </c>
      <c r="CT275" s="57">
        <f>IFERROR($M276/$M275-1,"")</f>
        <v/>
      </c>
      <c r="CU275" s="57">
        <f>IFERROR($N276/$N275-1,"")</f>
        <v/>
      </c>
      <c r="CV275" s="57">
        <f>IFERROR($O276/$O275-1,"")</f>
        <v/>
      </c>
      <c r="CW275" s="57">
        <f>IFERROR($P276/$P275-1,"")</f>
        <v/>
      </c>
      <c r="CX275" s="57">
        <f>IFERROR($Q276/$Q275-1,"")</f>
        <v/>
      </c>
      <c r="CY275" s="57">
        <f>IFERROR($R276/$R275-1,"")</f>
        <v/>
      </c>
      <c r="CZ275" s="57">
        <f>IFERROR($S276/$S275-1,"")</f>
        <v/>
      </c>
      <c r="DA275" s="57">
        <f>IFERROR($T276/$T275-1,"")</f>
        <v/>
      </c>
      <c r="DB275" s="57">
        <f>IFERROR($U276/$U275-1,"")</f>
        <v/>
      </c>
      <c r="DC275" s="57">
        <f>IFERROR($V276/$V275-1,"")</f>
        <v/>
      </c>
      <c r="DD275" s="57">
        <f>IFERROR($W276/$W275-1,"")</f>
        <v/>
      </c>
      <c r="DE275" s="57">
        <f>IFERROR($X276/$X275-1,"")</f>
        <v/>
      </c>
      <c r="DF275" s="57">
        <f>IFERROR($Y276/$Y275-1,"")</f>
        <v/>
      </c>
      <c r="DG275" s="57">
        <f>IFERROR($Z276/$Z275-1,"")</f>
        <v/>
      </c>
      <c r="DH275" s="57">
        <f>IFERROR($AA276/$AA275-1,"")</f>
        <v/>
      </c>
      <c r="DI275" s="57">
        <f>IFERROR($AB276/$AB275-1,"")</f>
        <v/>
      </c>
      <c r="DJ275" s="57">
        <f>IFERROR($AC276/$AC275-1,"")</f>
        <v/>
      </c>
      <c r="DK275" s="57">
        <f>IFERROR($AD276/$AD275-1,"")</f>
        <v/>
      </c>
      <c r="DL275" s="57">
        <f>IFERROR($AE276/$AE275-1,"")</f>
        <v/>
      </c>
      <c r="DM275" s="56">
        <f>$AZ275-$AZ276</f>
        <v/>
      </c>
      <c r="DN275" s="56">
        <f>$BA275-$BA276</f>
        <v/>
      </c>
      <c r="DO275" s="56">
        <f>$BB275-$BB276</f>
        <v/>
      </c>
      <c r="DP275" s="56">
        <f>$BC275-$BC276</f>
        <v/>
      </c>
      <c r="DQ275" s="56">
        <f>$BD275-$BD276</f>
        <v/>
      </c>
      <c r="DR275" s="56">
        <f>$BE275-$BE276</f>
        <v/>
      </c>
      <c r="DS275" s="56">
        <f>$BF275-$BF276</f>
        <v/>
      </c>
      <c r="DT275" s="56">
        <f>$BG275-$BG276</f>
        <v/>
      </c>
      <c r="DU275" s="56">
        <f>$BH275-$BH276</f>
        <v/>
      </c>
      <c r="DV275" s="56">
        <f>$BI275-$BI276</f>
        <v/>
      </c>
      <c r="DW275" s="56">
        <f>$BJ275-$BJ276</f>
        <v/>
      </c>
      <c r="DX275" s="56">
        <f>$BK275-$BK276</f>
        <v/>
      </c>
      <c r="DY275" s="56">
        <f>$BL275-$BL276</f>
        <v/>
      </c>
      <c r="DZ275" s="56">
        <f>$BM275-$BM276</f>
        <v/>
      </c>
      <c r="EA275" s="56">
        <f>$BN275-$BN276</f>
        <v/>
      </c>
      <c r="EB275" s="56">
        <f>$BO275-$BO276</f>
        <v/>
      </c>
      <c r="EC275" s="56">
        <f>$BP275-$BP276</f>
        <v/>
      </c>
      <c r="ED275" s="56">
        <f>$BQ275-$BQ276</f>
        <v/>
      </c>
      <c r="EE275" s="56">
        <f>$BR275-$BR276</f>
        <v/>
      </c>
      <c r="EF275" s="56">
        <f>$BS275-$BS276</f>
        <v/>
      </c>
      <c r="EG275" s="56">
        <f>$BT275-$BT276</f>
        <v/>
      </c>
      <c r="EH275" s="56">
        <f>$BU275-$BU276</f>
        <v/>
      </c>
    </row>
    <row r="276">
      <c r="BV276" s="56">
        <f>($D276-$D277)*100</f>
        <v/>
      </c>
      <c r="BW276" s="56">
        <f>($C276-$C277)*100</f>
        <v/>
      </c>
      <c r="BX276" s="57">
        <f>IFERROR($I276/$I277-1,"")</f>
        <v/>
      </c>
      <c r="BY276" s="56">
        <f>($AF276-$AF277)*100</f>
        <v/>
      </c>
      <c r="BZ276" s="56">
        <f>($AG276-$AG277)*100</f>
        <v/>
      </c>
      <c r="CA276" s="56">
        <f>($AH276-$AH277)*100</f>
        <v/>
      </c>
      <c r="CB276" s="56">
        <f>($AI276-$AI277)*100</f>
        <v/>
      </c>
      <c r="CC276" s="56">
        <f>($AJ276-$AJ277)*100</f>
        <v/>
      </c>
      <c r="CD276" s="56">
        <f>($AK276-$AK277)*100</f>
        <v/>
      </c>
      <c r="CE276" s="56">
        <f>($AL276-$AL277)*100</f>
        <v/>
      </c>
      <c r="CF276" s="56">
        <f>($AM276-$AM277)*100</f>
        <v/>
      </c>
      <c r="CG276" s="56">
        <f>($AN276-$AN277)*100</f>
        <v/>
      </c>
      <c r="CH276" s="56">
        <f>($AO276-$AO277)*100</f>
        <v/>
      </c>
      <c r="CI276" s="56">
        <f>($AP276-$AP277)*100</f>
        <v/>
      </c>
      <c r="CJ276" s="56">
        <f>($AQ276-$AQ277)*100</f>
        <v/>
      </c>
      <c r="CK276" s="56">
        <f>($AR276-$AR277)*100</f>
        <v/>
      </c>
      <c r="CL276" s="56">
        <f>($AS276-$AS277)*100</f>
        <v/>
      </c>
      <c r="CM276" s="56">
        <f>($AT276-$AT277)*100</f>
        <v/>
      </c>
      <c r="CN276" s="56">
        <f>($AU276-$AU277)*100</f>
        <v/>
      </c>
      <c r="CO276" s="56">
        <f>($AV276-$AV277)*100</f>
        <v/>
      </c>
      <c r="CP276" s="56">
        <f>($AW276-$AW277)*100</f>
        <v/>
      </c>
      <c r="CQ276" s="56">
        <f>($AX276-$AX277)*100</f>
        <v/>
      </c>
      <c r="CR276" s="56">
        <f>($AY276-$AY277)*100</f>
        <v/>
      </c>
      <c r="CS276" s="57">
        <f>IFERROR($L277/$L276-1,"")</f>
        <v/>
      </c>
      <c r="CT276" s="57">
        <f>IFERROR($M277/$M276-1,"")</f>
        <v/>
      </c>
      <c r="CU276" s="57">
        <f>IFERROR($N277/$N276-1,"")</f>
        <v/>
      </c>
      <c r="CV276" s="57">
        <f>IFERROR($O277/$O276-1,"")</f>
        <v/>
      </c>
      <c r="CW276" s="57">
        <f>IFERROR($P277/$P276-1,"")</f>
        <v/>
      </c>
      <c r="CX276" s="57">
        <f>IFERROR($Q277/$Q276-1,"")</f>
        <v/>
      </c>
      <c r="CY276" s="57">
        <f>IFERROR($R277/$R276-1,"")</f>
        <v/>
      </c>
      <c r="CZ276" s="57">
        <f>IFERROR($S277/$S276-1,"")</f>
        <v/>
      </c>
      <c r="DA276" s="57">
        <f>IFERROR($T277/$T276-1,"")</f>
        <v/>
      </c>
      <c r="DB276" s="57">
        <f>IFERROR($U277/$U276-1,"")</f>
        <v/>
      </c>
      <c r="DC276" s="57">
        <f>IFERROR($V277/$V276-1,"")</f>
        <v/>
      </c>
      <c r="DD276" s="57">
        <f>IFERROR($W277/$W276-1,"")</f>
        <v/>
      </c>
      <c r="DE276" s="57">
        <f>IFERROR($X277/$X276-1,"")</f>
        <v/>
      </c>
      <c r="DF276" s="57">
        <f>IFERROR($Y277/$Y276-1,"")</f>
        <v/>
      </c>
      <c r="DG276" s="57">
        <f>IFERROR($Z277/$Z276-1,"")</f>
        <v/>
      </c>
      <c r="DH276" s="57">
        <f>IFERROR($AA277/$AA276-1,"")</f>
        <v/>
      </c>
      <c r="DI276" s="57">
        <f>IFERROR($AB277/$AB276-1,"")</f>
        <v/>
      </c>
      <c r="DJ276" s="57">
        <f>IFERROR($AC277/$AC276-1,"")</f>
        <v/>
      </c>
      <c r="DK276" s="57">
        <f>IFERROR($AD277/$AD276-1,"")</f>
        <v/>
      </c>
      <c r="DL276" s="57">
        <f>IFERROR($AE277/$AE276-1,"")</f>
        <v/>
      </c>
      <c r="DM276" s="56">
        <f>$AZ276-$AZ277</f>
        <v/>
      </c>
      <c r="DN276" s="56">
        <f>$BA276-$BA277</f>
        <v/>
      </c>
      <c r="DO276" s="56">
        <f>$BB276-$BB277</f>
        <v/>
      </c>
      <c r="DP276" s="56">
        <f>$BC276-$BC277</f>
        <v/>
      </c>
      <c r="DQ276" s="56">
        <f>$BD276-$BD277</f>
        <v/>
      </c>
      <c r="DR276" s="56">
        <f>$BE276-$BE277</f>
        <v/>
      </c>
      <c r="DS276" s="56">
        <f>$BF276-$BF277</f>
        <v/>
      </c>
      <c r="DT276" s="56">
        <f>$BG276-$BG277</f>
        <v/>
      </c>
      <c r="DU276" s="56">
        <f>$BH276-$BH277</f>
        <v/>
      </c>
      <c r="DV276" s="56">
        <f>$BI276-$BI277</f>
        <v/>
      </c>
      <c r="DW276" s="56">
        <f>$BJ276-$BJ277</f>
        <v/>
      </c>
      <c r="DX276" s="56">
        <f>$BK276-$BK277</f>
        <v/>
      </c>
      <c r="DY276" s="56">
        <f>$BL276-$BL277</f>
        <v/>
      </c>
      <c r="DZ276" s="56">
        <f>$BM276-$BM277</f>
        <v/>
      </c>
      <c r="EA276" s="56">
        <f>$BN276-$BN277</f>
        <v/>
      </c>
      <c r="EB276" s="56">
        <f>$BO276-$BO277</f>
        <v/>
      </c>
      <c r="EC276" s="56">
        <f>$BP276-$BP277</f>
        <v/>
      </c>
      <c r="ED276" s="56">
        <f>$BQ276-$BQ277</f>
        <v/>
      </c>
      <c r="EE276" s="56">
        <f>$BR276-$BR277</f>
        <v/>
      </c>
      <c r="EF276" s="56">
        <f>$BS276-$BS277</f>
        <v/>
      </c>
      <c r="EG276" s="56">
        <f>$BT276-$BT277</f>
        <v/>
      </c>
      <c r="EH276" s="56">
        <f>$BU276-$BU277</f>
        <v/>
      </c>
    </row>
    <row r="277">
      <c r="BV277" s="56">
        <f>($D277-$D278)*100</f>
        <v/>
      </c>
      <c r="BW277" s="56">
        <f>($C277-$C278)*100</f>
        <v/>
      </c>
      <c r="BX277" s="57">
        <f>IFERROR($I277/$I278-1,"")</f>
        <v/>
      </c>
      <c r="BY277" s="56">
        <f>($AF277-$AF278)*100</f>
        <v/>
      </c>
      <c r="BZ277" s="56">
        <f>($AG277-$AG278)*100</f>
        <v/>
      </c>
      <c r="CA277" s="56">
        <f>($AH277-$AH278)*100</f>
        <v/>
      </c>
      <c r="CB277" s="56">
        <f>($AI277-$AI278)*100</f>
        <v/>
      </c>
      <c r="CC277" s="56">
        <f>($AJ277-$AJ278)*100</f>
        <v/>
      </c>
      <c r="CD277" s="56">
        <f>($AK277-$AK278)*100</f>
        <v/>
      </c>
      <c r="CE277" s="56">
        <f>($AL277-$AL278)*100</f>
        <v/>
      </c>
      <c r="CF277" s="56">
        <f>($AM277-$AM278)*100</f>
        <v/>
      </c>
      <c r="CG277" s="56">
        <f>($AN277-$AN278)*100</f>
        <v/>
      </c>
      <c r="CH277" s="56">
        <f>($AO277-$AO278)*100</f>
        <v/>
      </c>
      <c r="CI277" s="56">
        <f>($AP277-$AP278)*100</f>
        <v/>
      </c>
      <c r="CJ277" s="56">
        <f>($AQ277-$AQ278)*100</f>
        <v/>
      </c>
      <c r="CK277" s="56">
        <f>($AR277-$AR278)*100</f>
        <v/>
      </c>
      <c r="CL277" s="56">
        <f>($AS277-$AS278)*100</f>
        <v/>
      </c>
      <c r="CM277" s="56">
        <f>($AT277-$AT278)*100</f>
        <v/>
      </c>
      <c r="CN277" s="56">
        <f>($AU277-$AU278)*100</f>
        <v/>
      </c>
      <c r="CO277" s="56">
        <f>($AV277-$AV278)*100</f>
        <v/>
      </c>
      <c r="CP277" s="56">
        <f>($AW277-$AW278)*100</f>
        <v/>
      </c>
      <c r="CQ277" s="56">
        <f>($AX277-$AX278)*100</f>
        <v/>
      </c>
      <c r="CR277" s="56">
        <f>($AY277-$AY278)*100</f>
        <v/>
      </c>
      <c r="CS277" s="57">
        <f>IFERROR($L278/$L277-1,"")</f>
        <v/>
      </c>
      <c r="CT277" s="57">
        <f>IFERROR($M278/$M277-1,"")</f>
        <v/>
      </c>
      <c r="CU277" s="57">
        <f>IFERROR($N278/$N277-1,"")</f>
        <v/>
      </c>
      <c r="CV277" s="57">
        <f>IFERROR($O278/$O277-1,"")</f>
        <v/>
      </c>
      <c r="CW277" s="57">
        <f>IFERROR($P278/$P277-1,"")</f>
        <v/>
      </c>
      <c r="CX277" s="57">
        <f>IFERROR($Q278/$Q277-1,"")</f>
        <v/>
      </c>
      <c r="CY277" s="57">
        <f>IFERROR($R278/$R277-1,"")</f>
        <v/>
      </c>
      <c r="CZ277" s="57">
        <f>IFERROR($S278/$S277-1,"")</f>
        <v/>
      </c>
      <c r="DA277" s="57">
        <f>IFERROR($T278/$T277-1,"")</f>
        <v/>
      </c>
      <c r="DB277" s="57">
        <f>IFERROR($U278/$U277-1,"")</f>
        <v/>
      </c>
      <c r="DC277" s="57">
        <f>IFERROR($V278/$V277-1,"")</f>
        <v/>
      </c>
      <c r="DD277" s="57">
        <f>IFERROR($W278/$W277-1,"")</f>
        <v/>
      </c>
      <c r="DE277" s="57">
        <f>IFERROR($X278/$X277-1,"")</f>
        <v/>
      </c>
      <c r="DF277" s="57">
        <f>IFERROR($Y278/$Y277-1,"")</f>
        <v/>
      </c>
      <c r="DG277" s="57">
        <f>IFERROR($Z278/$Z277-1,"")</f>
        <v/>
      </c>
      <c r="DH277" s="57">
        <f>IFERROR($AA278/$AA277-1,"")</f>
        <v/>
      </c>
      <c r="DI277" s="57">
        <f>IFERROR($AB278/$AB277-1,"")</f>
        <v/>
      </c>
      <c r="DJ277" s="57">
        <f>IFERROR($AC278/$AC277-1,"")</f>
        <v/>
      </c>
      <c r="DK277" s="57">
        <f>IFERROR($AD278/$AD277-1,"")</f>
        <v/>
      </c>
      <c r="DL277" s="57">
        <f>IFERROR($AE278/$AE277-1,"")</f>
        <v/>
      </c>
      <c r="DM277" s="56">
        <f>$AZ277-$AZ278</f>
        <v/>
      </c>
      <c r="DN277" s="56">
        <f>$BA277-$BA278</f>
        <v/>
      </c>
      <c r="DO277" s="56">
        <f>$BB277-$BB278</f>
        <v/>
      </c>
      <c r="DP277" s="56">
        <f>$BC277-$BC278</f>
        <v/>
      </c>
      <c r="DQ277" s="56">
        <f>$BD277-$BD278</f>
        <v/>
      </c>
      <c r="DR277" s="56">
        <f>$BE277-$BE278</f>
        <v/>
      </c>
      <c r="DS277" s="56">
        <f>$BF277-$BF278</f>
        <v/>
      </c>
      <c r="DT277" s="56">
        <f>$BG277-$BG278</f>
        <v/>
      </c>
      <c r="DU277" s="56">
        <f>$BH277-$BH278</f>
        <v/>
      </c>
      <c r="DV277" s="56">
        <f>$BI277-$BI278</f>
        <v/>
      </c>
      <c r="DW277" s="56">
        <f>$BJ277-$BJ278</f>
        <v/>
      </c>
      <c r="DX277" s="56">
        <f>$BK277-$BK278</f>
        <v/>
      </c>
      <c r="DY277" s="56">
        <f>$BL277-$BL278</f>
        <v/>
      </c>
      <c r="DZ277" s="56">
        <f>$BM277-$BM278</f>
        <v/>
      </c>
      <c r="EA277" s="56">
        <f>$BN277-$BN278</f>
        <v/>
      </c>
      <c r="EB277" s="56">
        <f>$BO277-$BO278</f>
        <v/>
      </c>
      <c r="EC277" s="56">
        <f>$BP277-$BP278</f>
        <v/>
      </c>
      <c r="ED277" s="56">
        <f>$BQ277-$BQ278</f>
        <v/>
      </c>
      <c r="EE277" s="56">
        <f>$BR277-$BR278</f>
        <v/>
      </c>
      <c r="EF277" s="56">
        <f>$BS277-$BS278</f>
        <v/>
      </c>
      <c r="EG277" s="56">
        <f>$BT277-$BT278</f>
        <v/>
      </c>
      <c r="EH277" s="56">
        <f>$BU277-$BU278</f>
        <v/>
      </c>
    </row>
    <row r="278">
      <c r="BV278" s="56">
        <f>($D278-$D279)*100</f>
        <v/>
      </c>
      <c r="BW278" s="56">
        <f>($C278-$C279)*100</f>
        <v/>
      </c>
      <c r="BX278" s="57">
        <f>IFERROR($I278/$I279-1,"")</f>
        <v/>
      </c>
      <c r="BY278" s="56">
        <f>($AF278-$AF279)*100</f>
        <v/>
      </c>
      <c r="BZ278" s="56">
        <f>($AG278-$AG279)*100</f>
        <v/>
      </c>
      <c r="CA278" s="56">
        <f>($AH278-$AH279)*100</f>
        <v/>
      </c>
      <c r="CB278" s="56">
        <f>($AI278-$AI279)*100</f>
        <v/>
      </c>
      <c r="CC278" s="56">
        <f>($AJ278-$AJ279)*100</f>
        <v/>
      </c>
      <c r="CD278" s="56">
        <f>($AK278-$AK279)*100</f>
        <v/>
      </c>
      <c r="CE278" s="56">
        <f>($AL278-$AL279)*100</f>
        <v/>
      </c>
      <c r="CF278" s="56">
        <f>($AM278-$AM279)*100</f>
        <v/>
      </c>
      <c r="CG278" s="56">
        <f>($AN278-$AN279)*100</f>
        <v/>
      </c>
      <c r="CH278" s="56">
        <f>($AO278-$AO279)*100</f>
        <v/>
      </c>
      <c r="CI278" s="56">
        <f>($AP278-$AP279)*100</f>
        <v/>
      </c>
      <c r="CJ278" s="56">
        <f>($AQ278-$AQ279)*100</f>
        <v/>
      </c>
      <c r="CK278" s="56">
        <f>($AR278-$AR279)*100</f>
        <v/>
      </c>
      <c r="CL278" s="56">
        <f>($AS278-$AS279)*100</f>
        <v/>
      </c>
      <c r="CM278" s="56">
        <f>($AT278-$AT279)*100</f>
        <v/>
      </c>
      <c r="CN278" s="56">
        <f>($AU278-$AU279)*100</f>
        <v/>
      </c>
      <c r="CO278" s="56">
        <f>($AV278-$AV279)*100</f>
        <v/>
      </c>
      <c r="CP278" s="56">
        <f>($AW278-$AW279)*100</f>
        <v/>
      </c>
      <c r="CQ278" s="56">
        <f>($AX278-$AX279)*100</f>
        <v/>
      </c>
      <c r="CR278" s="56">
        <f>($AY278-$AY279)*100</f>
        <v/>
      </c>
      <c r="CS278" s="57">
        <f>IFERROR($L279/$L278-1,"")</f>
        <v/>
      </c>
      <c r="CT278" s="57">
        <f>IFERROR($M279/$M278-1,"")</f>
        <v/>
      </c>
      <c r="CU278" s="57">
        <f>IFERROR($N279/$N278-1,"")</f>
        <v/>
      </c>
      <c r="CV278" s="57">
        <f>IFERROR($O279/$O278-1,"")</f>
        <v/>
      </c>
      <c r="CW278" s="57">
        <f>IFERROR($P279/$P278-1,"")</f>
        <v/>
      </c>
      <c r="CX278" s="57">
        <f>IFERROR($Q279/$Q278-1,"")</f>
        <v/>
      </c>
      <c r="CY278" s="57">
        <f>IFERROR($R279/$R278-1,"")</f>
        <v/>
      </c>
      <c r="CZ278" s="57">
        <f>IFERROR($S279/$S278-1,"")</f>
        <v/>
      </c>
      <c r="DA278" s="57">
        <f>IFERROR($T279/$T278-1,"")</f>
        <v/>
      </c>
      <c r="DB278" s="57">
        <f>IFERROR($U279/$U278-1,"")</f>
        <v/>
      </c>
      <c r="DC278" s="57">
        <f>IFERROR($V279/$V278-1,"")</f>
        <v/>
      </c>
      <c r="DD278" s="57">
        <f>IFERROR($W279/$W278-1,"")</f>
        <v/>
      </c>
      <c r="DE278" s="57">
        <f>IFERROR($X279/$X278-1,"")</f>
        <v/>
      </c>
      <c r="DF278" s="57">
        <f>IFERROR($Y279/$Y278-1,"")</f>
        <v/>
      </c>
      <c r="DG278" s="57">
        <f>IFERROR($Z279/$Z278-1,"")</f>
        <v/>
      </c>
      <c r="DH278" s="57">
        <f>IFERROR($AA279/$AA278-1,"")</f>
        <v/>
      </c>
      <c r="DI278" s="57">
        <f>IFERROR($AB279/$AB278-1,"")</f>
        <v/>
      </c>
      <c r="DJ278" s="57">
        <f>IFERROR($AC279/$AC278-1,"")</f>
        <v/>
      </c>
      <c r="DK278" s="57">
        <f>IFERROR($AD279/$AD278-1,"")</f>
        <v/>
      </c>
      <c r="DL278" s="57">
        <f>IFERROR($AE279/$AE278-1,"")</f>
        <v/>
      </c>
      <c r="DM278" s="56">
        <f>$AZ278-$AZ279</f>
        <v/>
      </c>
      <c r="DN278" s="56">
        <f>$BA278-$BA279</f>
        <v/>
      </c>
      <c r="DO278" s="56">
        <f>$BB278-$BB279</f>
        <v/>
      </c>
      <c r="DP278" s="56">
        <f>$BC278-$BC279</f>
        <v/>
      </c>
      <c r="DQ278" s="56">
        <f>$BD278-$BD279</f>
        <v/>
      </c>
      <c r="DR278" s="56">
        <f>$BE278-$BE279</f>
        <v/>
      </c>
      <c r="DS278" s="56">
        <f>$BF278-$BF279</f>
        <v/>
      </c>
      <c r="DT278" s="56">
        <f>$BG278-$BG279</f>
        <v/>
      </c>
      <c r="DU278" s="56">
        <f>$BH278-$BH279</f>
        <v/>
      </c>
      <c r="DV278" s="56">
        <f>$BI278-$BI279</f>
        <v/>
      </c>
      <c r="DW278" s="56">
        <f>$BJ278-$BJ279</f>
        <v/>
      </c>
      <c r="DX278" s="56">
        <f>$BK278-$BK279</f>
        <v/>
      </c>
      <c r="DY278" s="56">
        <f>$BL278-$BL279</f>
        <v/>
      </c>
      <c r="DZ278" s="56">
        <f>$BM278-$BM279</f>
        <v/>
      </c>
      <c r="EA278" s="56">
        <f>$BN278-$BN279</f>
        <v/>
      </c>
      <c r="EB278" s="56">
        <f>$BO278-$BO279</f>
        <v/>
      </c>
      <c r="EC278" s="56">
        <f>$BP278-$BP279</f>
        <v/>
      </c>
      <c r="ED278" s="56">
        <f>$BQ278-$BQ279</f>
        <v/>
      </c>
      <c r="EE278" s="56">
        <f>$BR278-$BR279</f>
        <v/>
      </c>
      <c r="EF278" s="56">
        <f>$BS278-$BS279</f>
        <v/>
      </c>
      <c r="EG278" s="56">
        <f>$BT278-$BT279</f>
        <v/>
      </c>
      <c r="EH278" s="56">
        <f>$BU278-$BU279</f>
        <v/>
      </c>
    </row>
    <row r="279">
      <c r="BV279" s="56">
        <f>($D279-$D280)*100</f>
        <v/>
      </c>
      <c r="BW279" s="56">
        <f>($C279-$C280)*100</f>
        <v/>
      </c>
      <c r="BX279" s="57">
        <f>IFERROR($I279/$I280-1,"")</f>
        <v/>
      </c>
      <c r="BY279" s="56">
        <f>($AF279-$AF280)*100</f>
        <v/>
      </c>
      <c r="BZ279" s="56">
        <f>($AG279-$AG280)*100</f>
        <v/>
      </c>
      <c r="CA279" s="56">
        <f>($AH279-$AH280)*100</f>
        <v/>
      </c>
      <c r="CB279" s="56">
        <f>($AI279-$AI280)*100</f>
        <v/>
      </c>
      <c r="CC279" s="56">
        <f>($AJ279-$AJ280)*100</f>
        <v/>
      </c>
      <c r="CD279" s="56">
        <f>($AK279-$AK280)*100</f>
        <v/>
      </c>
      <c r="CE279" s="56">
        <f>($AL279-$AL280)*100</f>
        <v/>
      </c>
      <c r="CF279" s="56">
        <f>($AM279-$AM280)*100</f>
        <v/>
      </c>
      <c r="CG279" s="56">
        <f>($AN279-$AN280)*100</f>
        <v/>
      </c>
      <c r="CH279" s="56">
        <f>($AO279-$AO280)*100</f>
        <v/>
      </c>
      <c r="CI279" s="56">
        <f>($AP279-$AP280)*100</f>
        <v/>
      </c>
      <c r="CJ279" s="56">
        <f>($AQ279-$AQ280)*100</f>
        <v/>
      </c>
      <c r="CK279" s="56">
        <f>($AR279-$AR280)*100</f>
        <v/>
      </c>
      <c r="CL279" s="56">
        <f>($AS279-$AS280)*100</f>
        <v/>
      </c>
      <c r="CM279" s="56">
        <f>($AT279-$AT280)*100</f>
        <v/>
      </c>
      <c r="CN279" s="56">
        <f>($AU279-$AU280)*100</f>
        <v/>
      </c>
      <c r="CO279" s="56">
        <f>($AV279-$AV280)*100</f>
        <v/>
      </c>
      <c r="CP279" s="56">
        <f>($AW279-$AW280)*100</f>
        <v/>
      </c>
      <c r="CQ279" s="56">
        <f>($AX279-$AX280)*100</f>
        <v/>
      </c>
      <c r="CR279" s="56">
        <f>($AY279-$AY280)*100</f>
        <v/>
      </c>
      <c r="CS279" s="57">
        <f>IFERROR($L280/$L279-1,"")</f>
        <v/>
      </c>
      <c r="CT279" s="57">
        <f>IFERROR($M280/$M279-1,"")</f>
        <v/>
      </c>
      <c r="CU279" s="57">
        <f>IFERROR($N280/$N279-1,"")</f>
        <v/>
      </c>
      <c r="CV279" s="57">
        <f>IFERROR($O280/$O279-1,"")</f>
        <v/>
      </c>
      <c r="CW279" s="57">
        <f>IFERROR($P280/$P279-1,"")</f>
        <v/>
      </c>
      <c r="CX279" s="57">
        <f>IFERROR($Q280/$Q279-1,"")</f>
        <v/>
      </c>
      <c r="CY279" s="57">
        <f>IFERROR($R280/$R279-1,"")</f>
        <v/>
      </c>
      <c r="CZ279" s="57">
        <f>IFERROR($S280/$S279-1,"")</f>
        <v/>
      </c>
      <c r="DA279" s="57">
        <f>IFERROR($T280/$T279-1,"")</f>
        <v/>
      </c>
      <c r="DB279" s="57">
        <f>IFERROR($U280/$U279-1,"")</f>
        <v/>
      </c>
      <c r="DC279" s="57">
        <f>IFERROR($V280/$V279-1,"")</f>
        <v/>
      </c>
      <c r="DD279" s="57">
        <f>IFERROR($W280/$W279-1,"")</f>
        <v/>
      </c>
      <c r="DE279" s="57">
        <f>IFERROR($X280/$X279-1,"")</f>
        <v/>
      </c>
      <c r="DF279" s="57">
        <f>IFERROR($Y280/$Y279-1,"")</f>
        <v/>
      </c>
      <c r="DG279" s="57">
        <f>IFERROR($Z280/$Z279-1,"")</f>
        <v/>
      </c>
      <c r="DH279" s="57">
        <f>IFERROR($AA280/$AA279-1,"")</f>
        <v/>
      </c>
      <c r="DI279" s="57">
        <f>IFERROR($AB280/$AB279-1,"")</f>
        <v/>
      </c>
      <c r="DJ279" s="57">
        <f>IFERROR($AC280/$AC279-1,"")</f>
        <v/>
      </c>
      <c r="DK279" s="57">
        <f>IFERROR($AD280/$AD279-1,"")</f>
        <v/>
      </c>
      <c r="DL279" s="57">
        <f>IFERROR($AE280/$AE279-1,"")</f>
        <v/>
      </c>
      <c r="DM279" s="56">
        <f>$AZ279-$AZ280</f>
        <v/>
      </c>
      <c r="DN279" s="56">
        <f>$BA279-$BA280</f>
        <v/>
      </c>
      <c r="DO279" s="56">
        <f>$BB279-$BB280</f>
        <v/>
      </c>
      <c r="DP279" s="56">
        <f>$BC279-$BC280</f>
        <v/>
      </c>
      <c r="DQ279" s="56">
        <f>$BD279-$BD280</f>
        <v/>
      </c>
      <c r="DR279" s="56">
        <f>$BE279-$BE280</f>
        <v/>
      </c>
      <c r="DS279" s="56">
        <f>$BF279-$BF280</f>
        <v/>
      </c>
      <c r="DT279" s="56">
        <f>$BG279-$BG280</f>
        <v/>
      </c>
      <c r="DU279" s="56">
        <f>$BH279-$BH280</f>
        <v/>
      </c>
      <c r="DV279" s="56">
        <f>$BI279-$BI280</f>
        <v/>
      </c>
      <c r="DW279" s="56">
        <f>$BJ279-$BJ280</f>
        <v/>
      </c>
      <c r="DX279" s="56">
        <f>$BK279-$BK280</f>
        <v/>
      </c>
      <c r="DY279" s="56">
        <f>$BL279-$BL280</f>
        <v/>
      </c>
      <c r="DZ279" s="56">
        <f>$BM279-$BM280</f>
        <v/>
      </c>
      <c r="EA279" s="56">
        <f>$BN279-$BN280</f>
        <v/>
      </c>
      <c r="EB279" s="56">
        <f>$BO279-$BO280</f>
        <v/>
      </c>
      <c r="EC279" s="56">
        <f>$BP279-$BP280</f>
        <v/>
      </c>
      <c r="ED279" s="56">
        <f>$BQ279-$BQ280</f>
        <v/>
      </c>
      <c r="EE279" s="56">
        <f>$BR279-$BR280</f>
        <v/>
      </c>
      <c r="EF279" s="56">
        <f>$BS279-$BS280</f>
        <v/>
      </c>
      <c r="EG279" s="56">
        <f>$BT279-$BT280</f>
        <v/>
      </c>
      <c r="EH279" s="56">
        <f>$BU279-$BU280</f>
        <v/>
      </c>
    </row>
    <row r="280">
      <c r="BV280" s="56">
        <f>($D280-$D281)*100</f>
        <v/>
      </c>
      <c r="BW280" s="56">
        <f>($C280-$C281)*100</f>
        <v/>
      </c>
      <c r="BX280" s="57">
        <f>IFERROR($I280/$I281-1,"")</f>
        <v/>
      </c>
      <c r="BY280" s="56">
        <f>($AF280-$AF281)*100</f>
        <v/>
      </c>
      <c r="BZ280" s="56">
        <f>($AG280-$AG281)*100</f>
        <v/>
      </c>
      <c r="CA280" s="56">
        <f>($AH280-$AH281)*100</f>
        <v/>
      </c>
      <c r="CB280" s="56">
        <f>($AI280-$AI281)*100</f>
        <v/>
      </c>
      <c r="CC280" s="56">
        <f>($AJ280-$AJ281)*100</f>
        <v/>
      </c>
      <c r="CD280" s="56">
        <f>($AK280-$AK281)*100</f>
        <v/>
      </c>
      <c r="CE280" s="56">
        <f>($AL280-$AL281)*100</f>
        <v/>
      </c>
      <c r="CF280" s="56">
        <f>($AM280-$AM281)*100</f>
        <v/>
      </c>
      <c r="CG280" s="56">
        <f>($AN280-$AN281)*100</f>
        <v/>
      </c>
      <c r="CH280" s="56">
        <f>($AO280-$AO281)*100</f>
        <v/>
      </c>
      <c r="CI280" s="56">
        <f>($AP280-$AP281)*100</f>
        <v/>
      </c>
      <c r="CJ280" s="56">
        <f>($AQ280-$AQ281)*100</f>
        <v/>
      </c>
      <c r="CK280" s="56">
        <f>($AR280-$AR281)*100</f>
        <v/>
      </c>
      <c r="CL280" s="56">
        <f>($AS280-$AS281)*100</f>
        <v/>
      </c>
      <c r="CM280" s="56">
        <f>($AT280-$AT281)*100</f>
        <v/>
      </c>
      <c r="CN280" s="56">
        <f>($AU280-$AU281)*100</f>
        <v/>
      </c>
      <c r="CO280" s="56">
        <f>($AV280-$AV281)*100</f>
        <v/>
      </c>
      <c r="CP280" s="56">
        <f>($AW280-$AW281)*100</f>
        <v/>
      </c>
      <c r="CQ280" s="56">
        <f>($AX280-$AX281)*100</f>
        <v/>
      </c>
      <c r="CR280" s="56">
        <f>($AY280-$AY281)*100</f>
        <v/>
      </c>
      <c r="CS280" s="57">
        <f>IFERROR($L281/$L280-1,"")</f>
        <v/>
      </c>
      <c r="CT280" s="57">
        <f>IFERROR($M281/$M280-1,"")</f>
        <v/>
      </c>
      <c r="CU280" s="57">
        <f>IFERROR($N281/$N280-1,"")</f>
        <v/>
      </c>
      <c r="CV280" s="57">
        <f>IFERROR($O281/$O280-1,"")</f>
        <v/>
      </c>
      <c r="CW280" s="57">
        <f>IFERROR($P281/$P280-1,"")</f>
        <v/>
      </c>
      <c r="CX280" s="57">
        <f>IFERROR($Q281/$Q280-1,"")</f>
        <v/>
      </c>
      <c r="CY280" s="57">
        <f>IFERROR($R281/$R280-1,"")</f>
        <v/>
      </c>
      <c r="CZ280" s="57">
        <f>IFERROR($S281/$S280-1,"")</f>
        <v/>
      </c>
      <c r="DA280" s="57">
        <f>IFERROR($T281/$T280-1,"")</f>
        <v/>
      </c>
      <c r="DB280" s="57">
        <f>IFERROR($U281/$U280-1,"")</f>
        <v/>
      </c>
      <c r="DC280" s="57">
        <f>IFERROR($V281/$V280-1,"")</f>
        <v/>
      </c>
      <c r="DD280" s="57">
        <f>IFERROR($W281/$W280-1,"")</f>
        <v/>
      </c>
      <c r="DE280" s="57">
        <f>IFERROR($X281/$X280-1,"")</f>
        <v/>
      </c>
      <c r="DF280" s="57">
        <f>IFERROR($Y281/$Y280-1,"")</f>
        <v/>
      </c>
      <c r="DG280" s="57">
        <f>IFERROR($Z281/$Z280-1,"")</f>
        <v/>
      </c>
      <c r="DH280" s="57">
        <f>IFERROR($AA281/$AA280-1,"")</f>
        <v/>
      </c>
      <c r="DI280" s="57">
        <f>IFERROR($AB281/$AB280-1,"")</f>
        <v/>
      </c>
      <c r="DJ280" s="57">
        <f>IFERROR($AC281/$AC280-1,"")</f>
        <v/>
      </c>
      <c r="DK280" s="57">
        <f>IFERROR($AD281/$AD280-1,"")</f>
        <v/>
      </c>
      <c r="DL280" s="57">
        <f>IFERROR($AE281/$AE280-1,"")</f>
        <v/>
      </c>
      <c r="DM280" s="56">
        <f>$AZ280-$AZ281</f>
        <v/>
      </c>
      <c r="DN280" s="56">
        <f>$BA280-$BA281</f>
        <v/>
      </c>
      <c r="DO280" s="56">
        <f>$BB280-$BB281</f>
        <v/>
      </c>
      <c r="DP280" s="56">
        <f>$BC280-$BC281</f>
        <v/>
      </c>
      <c r="DQ280" s="56">
        <f>$BD280-$BD281</f>
        <v/>
      </c>
      <c r="DR280" s="56">
        <f>$BE280-$BE281</f>
        <v/>
      </c>
      <c r="DS280" s="56">
        <f>$BF280-$BF281</f>
        <v/>
      </c>
      <c r="DT280" s="56">
        <f>$BG280-$BG281</f>
        <v/>
      </c>
      <c r="DU280" s="56">
        <f>$BH280-$BH281</f>
        <v/>
      </c>
      <c r="DV280" s="56">
        <f>$BI280-$BI281</f>
        <v/>
      </c>
      <c r="DW280" s="56">
        <f>$BJ280-$BJ281</f>
        <v/>
      </c>
      <c r="DX280" s="56">
        <f>$BK280-$BK281</f>
        <v/>
      </c>
      <c r="DY280" s="56">
        <f>$BL280-$BL281</f>
        <v/>
      </c>
      <c r="DZ280" s="56">
        <f>$BM280-$BM281</f>
        <v/>
      </c>
      <c r="EA280" s="56">
        <f>$BN280-$BN281</f>
        <v/>
      </c>
      <c r="EB280" s="56">
        <f>$BO280-$BO281</f>
        <v/>
      </c>
      <c r="EC280" s="56">
        <f>$BP280-$BP281</f>
        <v/>
      </c>
      <c r="ED280" s="56">
        <f>$BQ280-$BQ281</f>
        <v/>
      </c>
      <c r="EE280" s="56">
        <f>$BR280-$BR281</f>
        <v/>
      </c>
      <c r="EF280" s="56">
        <f>$BS280-$BS281</f>
        <v/>
      </c>
      <c r="EG280" s="56">
        <f>$BT280-$BT281</f>
        <v/>
      </c>
      <c r="EH280" s="56">
        <f>$BU280-$BU281</f>
        <v/>
      </c>
    </row>
    <row r="281">
      <c r="BV281" s="56">
        <f>($D281-$D282)*100</f>
        <v/>
      </c>
      <c r="BW281" s="56">
        <f>($C281-$C282)*100</f>
        <v/>
      </c>
      <c r="BX281" s="57">
        <f>IFERROR($I281/$I282-1,"")</f>
        <v/>
      </c>
      <c r="BY281" s="56">
        <f>($AF281-$AF282)*100</f>
        <v/>
      </c>
      <c r="BZ281" s="56">
        <f>($AG281-$AG282)*100</f>
        <v/>
      </c>
      <c r="CA281" s="56">
        <f>($AH281-$AH282)*100</f>
        <v/>
      </c>
      <c r="CB281" s="56">
        <f>($AI281-$AI282)*100</f>
        <v/>
      </c>
      <c r="CC281" s="56">
        <f>($AJ281-$AJ282)*100</f>
        <v/>
      </c>
      <c r="CD281" s="56">
        <f>($AK281-$AK282)*100</f>
        <v/>
      </c>
      <c r="CE281" s="56">
        <f>($AL281-$AL282)*100</f>
        <v/>
      </c>
      <c r="CF281" s="56">
        <f>($AM281-$AM282)*100</f>
        <v/>
      </c>
      <c r="CG281" s="56">
        <f>($AN281-$AN282)*100</f>
        <v/>
      </c>
      <c r="CH281" s="56">
        <f>($AO281-$AO282)*100</f>
        <v/>
      </c>
      <c r="CI281" s="56">
        <f>($AP281-$AP282)*100</f>
        <v/>
      </c>
      <c r="CJ281" s="56">
        <f>($AQ281-$AQ282)*100</f>
        <v/>
      </c>
      <c r="CK281" s="56">
        <f>($AR281-$AR282)*100</f>
        <v/>
      </c>
      <c r="CL281" s="56">
        <f>($AS281-$AS282)*100</f>
        <v/>
      </c>
      <c r="CM281" s="56">
        <f>($AT281-$AT282)*100</f>
        <v/>
      </c>
      <c r="CN281" s="56">
        <f>($AU281-$AU282)*100</f>
        <v/>
      </c>
      <c r="CO281" s="56">
        <f>($AV281-$AV282)*100</f>
        <v/>
      </c>
      <c r="CP281" s="56">
        <f>($AW281-$AW282)*100</f>
        <v/>
      </c>
      <c r="CQ281" s="56">
        <f>($AX281-$AX282)*100</f>
        <v/>
      </c>
      <c r="CR281" s="56">
        <f>($AY281-$AY282)*100</f>
        <v/>
      </c>
      <c r="CS281" s="57">
        <f>IFERROR($L282/$L281-1,"")</f>
        <v/>
      </c>
      <c r="CT281" s="57">
        <f>IFERROR($M282/$M281-1,"")</f>
        <v/>
      </c>
      <c r="CU281" s="57">
        <f>IFERROR($N282/$N281-1,"")</f>
        <v/>
      </c>
      <c r="CV281" s="57">
        <f>IFERROR($O282/$O281-1,"")</f>
        <v/>
      </c>
      <c r="CW281" s="57">
        <f>IFERROR($P282/$P281-1,"")</f>
        <v/>
      </c>
      <c r="CX281" s="57">
        <f>IFERROR($Q282/$Q281-1,"")</f>
        <v/>
      </c>
      <c r="CY281" s="57">
        <f>IFERROR($R282/$R281-1,"")</f>
        <v/>
      </c>
      <c r="CZ281" s="57">
        <f>IFERROR($S282/$S281-1,"")</f>
        <v/>
      </c>
      <c r="DA281" s="57">
        <f>IFERROR($T282/$T281-1,"")</f>
        <v/>
      </c>
      <c r="DB281" s="57">
        <f>IFERROR($U282/$U281-1,"")</f>
        <v/>
      </c>
      <c r="DC281" s="57">
        <f>IFERROR($V282/$V281-1,"")</f>
        <v/>
      </c>
      <c r="DD281" s="57">
        <f>IFERROR($W282/$W281-1,"")</f>
        <v/>
      </c>
      <c r="DE281" s="57">
        <f>IFERROR($X282/$X281-1,"")</f>
        <v/>
      </c>
      <c r="DF281" s="57">
        <f>IFERROR($Y282/$Y281-1,"")</f>
        <v/>
      </c>
      <c r="DG281" s="57">
        <f>IFERROR($Z282/$Z281-1,"")</f>
        <v/>
      </c>
      <c r="DH281" s="57">
        <f>IFERROR($AA282/$AA281-1,"")</f>
        <v/>
      </c>
      <c r="DI281" s="57">
        <f>IFERROR($AB282/$AB281-1,"")</f>
        <v/>
      </c>
      <c r="DJ281" s="57">
        <f>IFERROR($AC282/$AC281-1,"")</f>
        <v/>
      </c>
      <c r="DK281" s="57">
        <f>IFERROR($AD282/$AD281-1,"")</f>
        <v/>
      </c>
      <c r="DL281" s="57">
        <f>IFERROR($AE282/$AE281-1,"")</f>
        <v/>
      </c>
      <c r="DM281" s="56">
        <f>$AZ281-$AZ282</f>
        <v/>
      </c>
      <c r="DN281" s="56">
        <f>$BA281-$BA282</f>
        <v/>
      </c>
      <c r="DO281" s="56">
        <f>$BB281-$BB282</f>
        <v/>
      </c>
      <c r="DP281" s="56">
        <f>$BC281-$BC282</f>
        <v/>
      </c>
      <c r="DQ281" s="56">
        <f>$BD281-$BD282</f>
        <v/>
      </c>
      <c r="DR281" s="56">
        <f>$BE281-$BE282</f>
        <v/>
      </c>
      <c r="DS281" s="56">
        <f>$BF281-$BF282</f>
        <v/>
      </c>
      <c r="DT281" s="56">
        <f>$BG281-$BG282</f>
        <v/>
      </c>
      <c r="DU281" s="56">
        <f>$BH281-$BH282</f>
        <v/>
      </c>
      <c r="DV281" s="56">
        <f>$BI281-$BI282</f>
        <v/>
      </c>
      <c r="DW281" s="56">
        <f>$BJ281-$BJ282</f>
        <v/>
      </c>
      <c r="DX281" s="56">
        <f>$BK281-$BK282</f>
        <v/>
      </c>
      <c r="DY281" s="56">
        <f>$BL281-$BL282</f>
        <v/>
      </c>
      <c r="DZ281" s="56">
        <f>$BM281-$BM282</f>
        <v/>
      </c>
      <c r="EA281" s="56">
        <f>$BN281-$BN282</f>
        <v/>
      </c>
      <c r="EB281" s="56">
        <f>$BO281-$BO282</f>
        <v/>
      </c>
      <c r="EC281" s="56">
        <f>$BP281-$BP282</f>
        <v/>
      </c>
      <c r="ED281" s="56">
        <f>$BQ281-$BQ282</f>
        <v/>
      </c>
      <c r="EE281" s="56">
        <f>$BR281-$BR282</f>
        <v/>
      </c>
      <c r="EF281" s="56">
        <f>$BS281-$BS282</f>
        <v/>
      </c>
      <c r="EG281" s="56">
        <f>$BT281-$BT282</f>
        <v/>
      </c>
      <c r="EH281" s="56">
        <f>$BU281-$BU282</f>
        <v/>
      </c>
    </row>
    <row r="282">
      <c r="BV282" s="56">
        <f>($D282-$D283)*100</f>
        <v/>
      </c>
      <c r="BW282" s="56">
        <f>($C282-$C283)*100</f>
        <v/>
      </c>
      <c r="BX282" s="57">
        <f>IFERROR($I282/$I283-1,"")</f>
        <v/>
      </c>
      <c r="BY282" s="56">
        <f>($AF282-$AF283)*100</f>
        <v/>
      </c>
      <c r="BZ282" s="56">
        <f>($AG282-$AG283)*100</f>
        <v/>
      </c>
      <c r="CA282" s="56">
        <f>($AH282-$AH283)*100</f>
        <v/>
      </c>
      <c r="CB282" s="56">
        <f>($AI282-$AI283)*100</f>
        <v/>
      </c>
      <c r="CC282" s="56">
        <f>($AJ282-$AJ283)*100</f>
        <v/>
      </c>
      <c r="CD282" s="56">
        <f>($AK282-$AK283)*100</f>
        <v/>
      </c>
      <c r="CE282" s="56">
        <f>($AL282-$AL283)*100</f>
        <v/>
      </c>
      <c r="CF282" s="56">
        <f>($AM282-$AM283)*100</f>
        <v/>
      </c>
      <c r="CG282" s="56">
        <f>($AN282-$AN283)*100</f>
        <v/>
      </c>
      <c r="CH282" s="56">
        <f>($AO282-$AO283)*100</f>
        <v/>
      </c>
      <c r="CI282" s="56">
        <f>($AP282-$AP283)*100</f>
        <v/>
      </c>
      <c r="CJ282" s="56">
        <f>($AQ282-$AQ283)*100</f>
        <v/>
      </c>
      <c r="CK282" s="56">
        <f>($AR282-$AR283)*100</f>
        <v/>
      </c>
      <c r="CL282" s="56">
        <f>($AS282-$AS283)*100</f>
        <v/>
      </c>
      <c r="CM282" s="56">
        <f>($AT282-$AT283)*100</f>
        <v/>
      </c>
      <c r="CN282" s="56">
        <f>($AU282-$AU283)*100</f>
        <v/>
      </c>
      <c r="CO282" s="56">
        <f>($AV282-$AV283)*100</f>
        <v/>
      </c>
      <c r="CP282" s="56">
        <f>($AW282-$AW283)*100</f>
        <v/>
      </c>
      <c r="CQ282" s="56">
        <f>($AX282-$AX283)*100</f>
        <v/>
      </c>
      <c r="CR282" s="56">
        <f>($AY282-$AY283)*100</f>
        <v/>
      </c>
      <c r="CS282" s="57">
        <f>IFERROR($L283/$L282-1,"")</f>
        <v/>
      </c>
      <c r="CT282" s="57">
        <f>IFERROR($M283/$M282-1,"")</f>
        <v/>
      </c>
      <c r="CU282" s="57">
        <f>IFERROR($N283/$N282-1,"")</f>
        <v/>
      </c>
      <c r="CV282" s="57">
        <f>IFERROR($O283/$O282-1,"")</f>
        <v/>
      </c>
      <c r="CW282" s="57">
        <f>IFERROR($P283/$P282-1,"")</f>
        <v/>
      </c>
      <c r="CX282" s="57">
        <f>IFERROR($Q283/$Q282-1,"")</f>
        <v/>
      </c>
      <c r="CY282" s="57">
        <f>IFERROR($R283/$R282-1,"")</f>
        <v/>
      </c>
      <c r="CZ282" s="57">
        <f>IFERROR($S283/$S282-1,"")</f>
        <v/>
      </c>
      <c r="DA282" s="57">
        <f>IFERROR($T283/$T282-1,"")</f>
        <v/>
      </c>
      <c r="DB282" s="57">
        <f>IFERROR($U283/$U282-1,"")</f>
        <v/>
      </c>
      <c r="DC282" s="57">
        <f>IFERROR($V283/$V282-1,"")</f>
        <v/>
      </c>
      <c r="DD282" s="57">
        <f>IFERROR($W283/$W282-1,"")</f>
        <v/>
      </c>
      <c r="DE282" s="57">
        <f>IFERROR($X283/$X282-1,"")</f>
        <v/>
      </c>
      <c r="DF282" s="57">
        <f>IFERROR($Y283/$Y282-1,"")</f>
        <v/>
      </c>
      <c r="DG282" s="57">
        <f>IFERROR($Z283/$Z282-1,"")</f>
        <v/>
      </c>
      <c r="DH282" s="57">
        <f>IFERROR($AA283/$AA282-1,"")</f>
        <v/>
      </c>
      <c r="DI282" s="57">
        <f>IFERROR($AB283/$AB282-1,"")</f>
        <v/>
      </c>
      <c r="DJ282" s="57">
        <f>IFERROR($AC283/$AC282-1,"")</f>
        <v/>
      </c>
      <c r="DK282" s="57">
        <f>IFERROR($AD283/$AD282-1,"")</f>
        <v/>
      </c>
      <c r="DL282" s="57">
        <f>IFERROR($AE283/$AE282-1,"")</f>
        <v/>
      </c>
      <c r="DM282" s="56">
        <f>$AZ282-$AZ283</f>
        <v/>
      </c>
      <c r="DN282" s="56">
        <f>$BA282-$BA283</f>
        <v/>
      </c>
      <c r="DO282" s="56">
        <f>$BB282-$BB283</f>
        <v/>
      </c>
      <c r="DP282" s="56">
        <f>$BC282-$BC283</f>
        <v/>
      </c>
      <c r="DQ282" s="56">
        <f>$BD282-$BD283</f>
        <v/>
      </c>
      <c r="DR282" s="56">
        <f>$BE282-$BE283</f>
        <v/>
      </c>
      <c r="DS282" s="56">
        <f>$BF282-$BF283</f>
        <v/>
      </c>
      <c r="DT282" s="56">
        <f>$BG282-$BG283</f>
        <v/>
      </c>
      <c r="DU282" s="56">
        <f>$BH282-$BH283</f>
        <v/>
      </c>
      <c r="DV282" s="56">
        <f>$BI282-$BI283</f>
        <v/>
      </c>
      <c r="DW282" s="56">
        <f>$BJ282-$BJ283</f>
        <v/>
      </c>
      <c r="DX282" s="56">
        <f>$BK282-$BK283</f>
        <v/>
      </c>
      <c r="DY282" s="56">
        <f>$BL282-$BL283</f>
        <v/>
      </c>
      <c r="DZ282" s="56">
        <f>$BM282-$BM283</f>
        <v/>
      </c>
      <c r="EA282" s="56">
        <f>$BN282-$BN283</f>
        <v/>
      </c>
      <c r="EB282" s="56">
        <f>$BO282-$BO283</f>
        <v/>
      </c>
      <c r="EC282" s="56">
        <f>$BP282-$BP283</f>
        <v/>
      </c>
      <c r="ED282" s="56">
        <f>$BQ282-$BQ283</f>
        <v/>
      </c>
      <c r="EE282" s="56">
        <f>$BR282-$BR283</f>
        <v/>
      </c>
      <c r="EF282" s="56">
        <f>$BS282-$BS283</f>
        <v/>
      </c>
      <c r="EG282" s="56">
        <f>$BT282-$BT283</f>
        <v/>
      </c>
      <c r="EH282" s="56">
        <f>$BU282-$BU283</f>
        <v/>
      </c>
    </row>
    <row r="283">
      <c r="BV283" s="56">
        <f>($D283-$D284)*100</f>
        <v/>
      </c>
      <c r="BW283" s="56">
        <f>($C283-$C284)*100</f>
        <v/>
      </c>
      <c r="BX283" s="57">
        <f>IFERROR($I283/$I284-1,"")</f>
        <v/>
      </c>
      <c r="BY283" s="56">
        <f>($AF283-$AF284)*100</f>
        <v/>
      </c>
      <c r="BZ283" s="56">
        <f>($AG283-$AG284)*100</f>
        <v/>
      </c>
      <c r="CA283" s="56">
        <f>($AH283-$AH284)*100</f>
        <v/>
      </c>
      <c r="CB283" s="56">
        <f>($AI283-$AI284)*100</f>
        <v/>
      </c>
      <c r="CC283" s="56">
        <f>($AJ283-$AJ284)*100</f>
        <v/>
      </c>
      <c r="CD283" s="56">
        <f>($AK283-$AK284)*100</f>
        <v/>
      </c>
      <c r="CE283" s="56">
        <f>($AL283-$AL284)*100</f>
        <v/>
      </c>
      <c r="CF283" s="56">
        <f>($AM283-$AM284)*100</f>
        <v/>
      </c>
      <c r="CG283" s="56">
        <f>($AN283-$AN284)*100</f>
        <v/>
      </c>
      <c r="CH283" s="56">
        <f>($AO283-$AO284)*100</f>
        <v/>
      </c>
      <c r="CI283" s="56">
        <f>($AP283-$AP284)*100</f>
        <v/>
      </c>
      <c r="CJ283" s="56">
        <f>($AQ283-$AQ284)*100</f>
        <v/>
      </c>
      <c r="CK283" s="56">
        <f>($AR283-$AR284)*100</f>
        <v/>
      </c>
      <c r="CL283" s="56">
        <f>($AS283-$AS284)*100</f>
        <v/>
      </c>
      <c r="CM283" s="56">
        <f>($AT283-$AT284)*100</f>
        <v/>
      </c>
      <c r="CN283" s="56">
        <f>($AU283-$AU284)*100</f>
        <v/>
      </c>
      <c r="CO283" s="56">
        <f>($AV283-$AV284)*100</f>
        <v/>
      </c>
      <c r="CP283" s="56">
        <f>($AW283-$AW284)*100</f>
        <v/>
      </c>
      <c r="CQ283" s="56">
        <f>($AX283-$AX284)*100</f>
        <v/>
      </c>
      <c r="CR283" s="56">
        <f>($AY283-$AY284)*100</f>
        <v/>
      </c>
      <c r="CS283" s="57">
        <f>IFERROR($L284/$L283-1,"")</f>
        <v/>
      </c>
      <c r="CT283" s="57">
        <f>IFERROR($M284/$M283-1,"")</f>
        <v/>
      </c>
      <c r="CU283" s="57">
        <f>IFERROR($N284/$N283-1,"")</f>
        <v/>
      </c>
      <c r="CV283" s="57">
        <f>IFERROR($O284/$O283-1,"")</f>
        <v/>
      </c>
      <c r="CW283" s="57">
        <f>IFERROR($P284/$P283-1,"")</f>
        <v/>
      </c>
      <c r="CX283" s="57">
        <f>IFERROR($Q284/$Q283-1,"")</f>
        <v/>
      </c>
      <c r="CY283" s="57">
        <f>IFERROR($R284/$R283-1,"")</f>
        <v/>
      </c>
      <c r="CZ283" s="57">
        <f>IFERROR($S284/$S283-1,"")</f>
        <v/>
      </c>
      <c r="DA283" s="57">
        <f>IFERROR($T284/$T283-1,"")</f>
        <v/>
      </c>
      <c r="DB283" s="57">
        <f>IFERROR($U284/$U283-1,"")</f>
        <v/>
      </c>
      <c r="DC283" s="57">
        <f>IFERROR($V284/$V283-1,"")</f>
        <v/>
      </c>
      <c r="DD283" s="57">
        <f>IFERROR($W284/$W283-1,"")</f>
        <v/>
      </c>
      <c r="DE283" s="57">
        <f>IFERROR($X284/$X283-1,"")</f>
        <v/>
      </c>
      <c r="DF283" s="57">
        <f>IFERROR($Y284/$Y283-1,"")</f>
        <v/>
      </c>
      <c r="DG283" s="57">
        <f>IFERROR($Z284/$Z283-1,"")</f>
        <v/>
      </c>
      <c r="DH283" s="57">
        <f>IFERROR($AA284/$AA283-1,"")</f>
        <v/>
      </c>
      <c r="DI283" s="57">
        <f>IFERROR($AB284/$AB283-1,"")</f>
        <v/>
      </c>
      <c r="DJ283" s="57">
        <f>IFERROR($AC284/$AC283-1,"")</f>
        <v/>
      </c>
      <c r="DK283" s="57">
        <f>IFERROR($AD284/$AD283-1,"")</f>
        <v/>
      </c>
      <c r="DL283" s="57">
        <f>IFERROR($AE284/$AE283-1,"")</f>
        <v/>
      </c>
      <c r="DM283" s="56">
        <f>$AZ283-$AZ284</f>
        <v/>
      </c>
      <c r="DN283" s="56">
        <f>$BA283-$BA284</f>
        <v/>
      </c>
      <c r="DO283" s="56">
        <f>$BB283-$BB284</f>
        <v/>
      </c>
      <c r="DP283" s="56">
        <f>$BC283-$BC284</f>
        <v/>
      </c>
      <c r="DQ283" s="56">
        <f>$BD283-$BD284</f>
        <v/>
      </c>
      <c r="DR283" s="56">
        <f>$BE283-$BE284</f>
        <v/>
      </c>
      <c r="DS283" s="56">
        <f>$BF283-$BF284</f>
        <v/>
      </c>
      <c r="DT283" s="56">
        <f>$BG283-$BG284</f>
        <v/>
      </c>
      <c r="DU283" s="56">
        <f>$BH283-$BH284</f>
        <v/>
      </c>
      <c r="DV283" s="56">
        <f>$BI283-$BI284</f>
        <v/>
      </c>
      <c r="DW283" s="56">
        <f>$BJ283-$BJ284</f>
        <v/>
      </c>
      <c r="DX283" s="56">
        <f>$BK283-$BK284</f>
        <v/>
      </c>
      <c r="DY283" s="56">
        <f>$BL283-$BL284</f>
        <v/>
      </c>
      <c r="DZ283" s="56">
        <f>$BM283-$BM284</f>
        <v/>
      </c>
      <c r="EA283" s="56">
        <f>$BN283-$BN284</f>
        <v/>
      </c>
      <c r="EB283" s="56">
        <f>$BO283-$BO284</f>
        <v/>
      </c>
      <c r="EC283" s="56">
        <f>$BP283-$BP284</f>
        <v/>
      </c>
      <c r="ED283" s="56">
        <f>$BQ283-$BQ284</f>
        <v/>
      </c>
      <c r="EE283" s="56">
        <f>$BR283-$BR284</f>
        <v/>
      </c>
      <c r="EF283" s="56">
        <f>$BS283-$BS284</f>
        <v/>
      </c>
      <c r="EG283" s="56">
        <f>$BT283-$BT284</f>
        <v/>
      </c>
      <c r="EH283" s="56">
        <f>$BU283-$BU284</f>
        <v/>
      </c>
    </row>
    <row r="284">
      <c r="BV284" s="56">
        <f>($D284-$D285)*100</f>
        <v/>
      </c>
      <c r="BW284" s="56">
        <f>($C284-$C285)*100</f>
        <v/>
      </c>
      <c r="BX284" s="57">
        <f>IFERROR($I284/$I285-1,"")</f>
        <v/>
      </c>
      <c r="BY284" s="56">
        <f>($AF284-$AF285)*100</f>
        <v/>
      </c>
      <c r="BZ284" s="56">
        <f>($AG284-$AG285)*100</f>
        <v/>
      </c>
      <c r="CA284" s="56">
        <f>($AH284-$AH285)*100</f>
        <v/>
      </c>
      <c r="CB284" s="56">
        <f>($AI284-$AI285)*100</f>
        <v/>
      </c>
      <c r="CC284" s="56">
        <f>($AJ284-$AJ285)*100</f>
        <v/>
      </c>
      <c r="CD284" s="56">
        <f>($AK284-$AK285)*100</f>
        <v/>
      </c>
      <c r="CE284" s="56">
        <f>($AL284-$AL285)*100</f>
        <v/>
      </c>
      <c r="CF284" s="56">
        <f>($AM284-$AM285)*100</f>
        <v/>
      </c>
      <c r="CG284" s="56">
        <f>($AN284-$AN285)*100</f>
        <v/>
      </c>
      <c r="CH284" s="56">
        <f>($AO284-$AO285)*100</f>
        <v/>
      </c>
      <c r="CI284" s="56">
        <f>($AP284-$AP285)*100</f>
        <v/>
      </c>
      <c r="CJ284" s="56">
        <f>($AQ284-$AQ285)*100</f>
        <v/>
      </c>
      <c r="CK284" s="56">
        <f>($AR284-$AR285)*100</f>
        <v/>
      </c>
      <c r="CL284" s="56">
        <f>($AS284-$AS285)*100</f>
        <v/>
      </c>
      <c r="CM284" s="56">
        <f>($AT284-$AT285)*100</f>
        <v/>
      </c>
      <c r="CN284" s="56">
        <f>($AU284-$AU285)*100</f>
        <v/>
      </c>
      <c r="CO284" s="56">
        <f>($AV284-$AV285)*100</f>
        <v/>
      </c>
      <c r="CP284" s="56">
        <f>($AW284-$AW285)*100</f>
        <v/>
      </c>
      <c r="CQ284" s="56">
        <f>($AX284-$AX285)*100</f>
        <v/>
      </c>
      <c r="CR284" s="56">
        <f>($AY284-$AY285)*100</f>
        <v/>
      </c>
      <c r="CS284" s="57">
        <f>IFERROR($L285/$L284-1,"")</f>
        <v/>
      </c>
      <c r="CT284" s="57">
        <f>IFERROR($M285/$M284-1,"")</f>
        <v/>
      </c>
      <c r="CU284" s="57">
        <f>IFERROR($N285/$N284-1,"")</f>
        <v/>
      </c>
      <c r="CV284" s="57">
        <f>IFERROR($O285/$O284-1,"")</f>
        <v/>
      </c>
      <c r="CW284" s="57">
        <f>IFERROR($P285/$P284-1,"")</f>
        <v/>
      </c>
      <c r="CX284" s="57">
        <f>IFERROR($Q285/$Q284-1,"")</f>
        <v/>
      </c>
      <c r="CY284" s="57">
        <f>IFERROR($R285/$R284-1,"")</f>
        <v/>
      </c>
      <c r="CZ284" s="57">
        <f>IFERROR($S285/$S284-1,"")</f>
        <v/>
      </c>
      <c r="DA284" s="57">
        <f>IFERROR($T285/$T284-1,"")</f>
        <v/>
      </c>
      <c r="DB284" s="57">
        <f>IFERROR($U285/$U284-1,"")</f>
        <v/>
      </c>
      <c r="DC284" s="57">
        <f>IFERROR($V285/$V284-1,"")</f>
        <v/>
      </c>
      <c r="DD284" s="57">
        <f>IFERROR($W285/$W284-1,"")</f>
        <v/>
      </c>
      <c r="DE284" s="57">
        <f>IFERROR($X285/$X284-1,"")</f>
        <v/>
      </c>
      <c r="DF284" s="57">
        <f>IFERROR($Y285/$Y284-1,"")</f>
        <v/>
      </c>
      <c r="DG284" s="57">
        <f>IFERROR($Z285/$Z284-1,"")</f>
        <v/>
      </c>
      <c r="DH284" s="57">
        <f>IFERROR($AA285/$AA284-1,"")</f>
        <v/>
      </c>
      <c r="DI284" s="57">
        <f>IFERROR($AB285/$AB284-1,"")</f>
        <v/>
      </c>
      <c r="DJ284" s="57">
        <f>IFERROR($AC285/$AC284-1,"")</f>
        <v/>
      </c>
      <c r="DK284" s="57">
        <f>IFERROR($AD285/$AD284-1,"")</f>
        <v/>
      </c>
      <c r="DL284" s="57">
        <f>IFERROR($AE285/$AE284-1,"")</f>
        <v/>
      </c>
      <c r="DM284" s="56">
        <f>$AZ284-$AZ285</f>
        <v/>
      </c>
      <c r="DN284" s="56">
        <f>$BA284-$BA285</f>
        <v/>
      </c>
      <c r="DO284" s="56">
        <f>$BB284-$BB285</f>
        <v/>
      </c>
      <c r="DP284" s="56">
        <f>$BC284-$BC285</f>
        <v/>
      </c>
      <c r="DQ284" s="56">
        <f>$BD284-$BD285</f>
        <v/>
      </c>
      <c r="DR284" s="56">
        <f>$BE284-$BE285</f>
        <v/>
      </c>
      <c r="DS284" s="56">
        <f>$BF284-$BF285</f>
        <v/>
      </c>
      <c r="DT284" s="56">
        <f>$BG284-$BG285</f>
        <v/>
      </c>
      <c r="DU284" s="56">
        <f>$BH284-$BH285</f>
        <v/>
      </c>
      <c r="DV284" s="56">
        <f>$BI284-$BI285</f>
        <v/>
      </c>
      <c r="DW284" s="56">
        <f>$BJ284-$BJ285</f>
        <v/>
      </c>
      <c r="DX284" s="56">
        <f>$BK284-$BK285</f>
        <v/>
      </c>
      <c r="DY284" s="56">
        <f>$BL284-$BL285</f>
        <v/>
      </c>
      <c r="DZ284" s="56">
        <f>$BM284-$BM285</f>
        <v/>
      </c>
      <c r="EA284" s="56">
        <f>$BN284-$BN285</f>
        <v/>
      </c>
      <c r="EB284" s="56">
        <f>$BO284-$BO285</f>
        <v/>
      </c>
      <c r="EC284" s="56">
        <f>$BP284-$BP285</f>
        <v/>
      </c>
      <c r="ED284" s="56">
        <f>$BQ284-$BQ285</f>
        <v/>
      </c>
      <c r="EE284" s="56">
        <f>$BR284-$BR285</f>
        <v/>
      </c>
      <c r="EF284" s="56">
        <f>$BS284-$BS285</f>
        <v/>
      </c>
      <c r="EG284" s="56">
        <f>$BT284-$BT285</f>
        <v/>
      </c>
      <c r="EH284" s="56">
        <f>$BU284-$BU285</f>
        <v/>
      </c>
    </row>
    <row r="285">
      <c r="BV285" s="56">
        <f>($D285-$D286)*100</f>
        <v/>
      </c>
      <c r="BW285" s="56">
        <f>($C285-$C286)*100</f>
        <v/>
      </c>
      <c r="BX285" s="57">
        <f>IFERROR($I285/$I286-1,"")</f>
        <v/>
      </c>
      <c r="BY285" s="56">
        <f>($AF285-$AF286)*100</f>
        <v/>
      </c>
      <c r="BZ285" s="56">
        <f>($AG285-$AG286)*100</f>
        <v/>
      </c>
      <c r="CA285" s="56">
        <f>($AH285-$AH286)*100</f>
        <v/>
      </c>
      <c r="CB285" s="56">
        <f>($AI285-$AI286)*100</f>
        <v/>
      </c>
      <c r="CC285" s="56">
        <f>($AJ285-$AJ286)*100</f>
        <v/>
      </c>
      <c r="CD285" s="56">
        <f>($AK285-$AK286)*100</f>
        <v/>
      </c>
      <c r="CE285" s="56">
        <f>($AL285-$AL286)*100</f>
        <v/>
      </c>
      <c r="CF285" s="56">
        <f>($AM285-$AM286)*100</f>
        <v/>
      </c>
      <c r="CG285" s="56">
        <f>($AN285-$AN286)*100</f>
        <v/>
      </c>
      <c r="CH285" s="56">
        <f>($AO285-$AO286)*100</f>
        <v/>
      </c>
      <c r="CI285" s="56">
        <f>($AP285-$AP286)*100</f>
        <v/>
      </c>
      <c r="CJ285" s="56">
        <f>($AQ285-$AQ286)*100</f>
        <v/>
      </c>
      <c r="CK285" s="56">
        <f>($AR285-$AR286)*100</f>
        <v/>
      </c>
      <c r="CL285" s="56">
        <f>($AS285-$AS286)*100</f>
        <v/>
      </c>
      <c r="CM285" s="56">
        <f>($AT285-$AT286)*100</f>
        <v/>
      </c>
      <c r="CN285" s="56">
        <f>($AU285-$AU286)*100</f>
        <v/>
      </c>
      <c r="CO285" s="56">
        <f>($AV285-$AV286)*100</f>
        <v/>
      </c>
      <c r="CP285" s="56">
        <f>($AW285-$AW286)*100</f>
        <v/>
      </c>
      <c r="CQ285" s="56">
        <f>($AX285-$AX286)*100</f>
        <v/>
      </c>
      <c r="CR285" s="56">
        <f>($AY285-$AY286)*100</f>
        <v/>
      </c>
      <c r="CS285" s="57">
        <f>IFERROR($L286/$L285-1,"")</f>
        <v/>
      </c>
      <c r="CT285" s="57">
        <f>IFERROR($M286/$M285-1,"")</f>
        <v/>
      </c>
      <c r="CU285" s="57">
        <f>IFERROR($N286/$N285-1,"")</f>
        <v/>
      </c>
      <c r="CV285" s="57">
        <f>IFERROR($O286/$O285-1,"")</f>
        <v/>
      </c>
      <c r="CW285" s="57">
        <f>IFERROR($P286/$P285-1,"")</f>
        <v/>
      </c>
      <c r="CX285" s="57">
        <f>IFERROR($Q286/$Q285-1,"")</f>
        <v/>
      </c>
      <c r="CY285" s="57">
        <f>IFERROR($R286/$R285-1,"")</f>
        <v/>
      </c>
      <c r="CZ285" s="57">
        <f>IFERROR($S286/$S285-1,"")</f>
        <v/>
      </c>
      <c r="DA285" s="57">
        <f>IFERROR($T286/$T285-1,"")</f>
        <v/>
      </c>
      <c r="DB285" s="57">
        <f>IFERROR($U286/$U285-1,"")</f>
        <v/>
      </c>
      <c r="DC285" s="57">
        <f>IFERROR($V286/$V285-1,"")</f>
        <v/>
      </c>
      <c r="DD285" s="57">
        <f>IFERROR($W286/$W285-1,"")</f>
        <v/>
      </c>
      <c r="DE285" s="57">
        <f>IFERROR($X286/$X285-1,"")</f>
        <v/>
      </c>
      <c r="DF285" s="57">
        <f>IFERROR($Y286/$Y285-1,"")</f>
        <v/>
      </c>
      <c r="DG285" s="57">
        <f>IFERROR($Z286/$Z285-1,"")</f>
        <v/>
      </c>
      <c r="DH285" s="57">
        <f>IFERROR($AA286/$AA285-1,"")</f>
        <v/>
      </c>
      <c r="DI285" s="57">
        <f>IFERROR($AB286/$AB285-1,"")</f>
        <v/>
      </c>
      <c r="DJ285" s="57">
        <f>IFERROR($AC286/$AC285-1,"")</f>
        <v/>
      </c>
      <c r="DK285" s="57">
        <f>IFERROR($AD286/$AD285-1,"")</f>
        <v/>
      </c>
      <c r="DL285" s="57">
        <f>IFERROR($AE286/$AE285-1,"")</f>
        <v/>
      </c>
      <c r="DM285" s="56">
        <f>$AZ285-$AZ286</f>
        <v/>
      </c>
      <c r="DN285" s="56">
        <f>$BA285-$BA286</f>
        <v/>
      </c>
      <c r="DO285" s="56">
        <f>$BB285-$BB286</f>
        <v/>
      </c>
      <c r="DP285" s="56">
        <f>$BC285-$BC286</f>
        <v/>
      </c>
      <c r="DQ285" s="56">
        <f>$BD285-$BD286</f>
        <v/>
      </c>
      <c r="DR285" s="56">
        <f>$BE285-$BE286</f>
        <v/>
      </c>
      <c r="DS285" s="56">
        <f>$BF285-$BF286</f>
        <v/>
      </c>
      <c r="DT285" s="56">
        <f>$BG285-$BG286</f>
        <v/>
      </c>
      <c r="DU285" s="56">
        <f>$BH285-$BH286</f>
        <v/>
      </c>
      <c r="DV285" s="56">
        <f>$BI285-$BI286</f>
        <v/>
      </c>
      <c r="DW285" s="56">
        <f>$BJ285-$BJ286</f>
        <v/>
      </c>
      <c r="DX285" s="56">
        <f>$BK285-$BK286</f>
        <v/>
      </c>
      <c r="DY285" s="56">
        <f>$BL285-$BL286</f>
        <v/>
      </c>
      <c r="DZ285" s="56">
        <f>$BM285-$BM286</f>
        <v/>
      </c>
      <c r="EA285" s="56">
        <f>$BN285-$BN286</f>
        <v/>
      </c>
      <c r="EB285" s="56">
        <f>$BO285-$BO286</f>
        <v/>
      </c>
      <c r="EC285" s="56">
        <f>$BP285-$BP286</f>
        <v/>
      </c>
      <c r="ED285" s="56">
        <f>$BQ285-$BQ286</f>
        <v/>
      </c>
      <c r="EE285" s="56">
        <f>$BR285-$BR286</f>
        <v/>
      </c>
      <c r="EF285" s="56">
        <f>$BS285-$BS286</f>
        <v/>
      </c>
      <c r="EG285" s="56">
        <f>$BT285-$BT286</f>
        <v/>
      </c>
      <c r="EH285" s="56">
        <f>$BU285-$BU286</f>
        <v/>
      </c>
    </row>
    <row r="286">
      <c r="BV286" s="56">
        <f>($D286-$D287)*100</f>
        <v/>
      </c>
      <c r="BW286" s="56">
        <f>($C286-$C287)*100</f>
        <v/>
      </c>
      <c r="BX286" s="57">
        <f>IFERROR($I286/$I287-1,"")</f>
        <v/>
      </c>
      <c r="BY286" s="56">
        <f>($AF286-$AF287)*100</f>
        <v/>
      </c>
      <c r="BZ286" s="56">
        <f>($AG286-$AG287)*100</f>
        <v/>
      </c>
      <c r="CA286" s="56">
        <f>($AH286-$AH287)*100</f>
        <v/>
      </c>
      <c r="CB286" s="56">
        <f>($AI286-$AI287)*100</f>
        <v/>
      </c>
      <c r="CC286" s="56">
        <f>($AJ286-$AJ287)*100</f>
        <v/>
      </c>
      <c r="CD286" s="56">
        <f>($AK286-$AK287)*100</f>
        <v/>
      </c>
      <c r="CE286" s="56">
        <f>($AL286-$AL287)*100</f>
        <v/>
      </c>
      <c r="CF286" s="56">
        <f>($AM286-$AM287)*100</f>
        <v/>
      </c>
      <c r="CG286" s="56">
        <f>($AN286-$AN287)*100</f>
        <v/>
      </c>
      <c r="CH286" s="56">
        <f>($AO286-$AO287)*100</f>
        <v/>
      </c>
      <c r="CI286" s="56">
        <f>($AP286-$AP287)*100</f>
        <v/>
      </c>
      <c r="CJ286" s="56">
        <f>($AQ286-$AQ287)*100</f>
        <v/>
      </c>
      <c r="CK286" s="56">
        <f>($AR286-$AR287)*100</f>
        <v/>
      </c>
      <c r="CL286" s="56">
        <f>($AS286-$AS287)*100</f>
        <v/>
      </c>
      <c r="CM286" s="56">
        <f>($AT286-$AT287)*100</f>
        <v/>
      </c>
      <c r="CN286" s="56">
        <f>($AU286-$AU287)*100</f>
        <v/>
      </c>
      <c r="CO286" s="56">
        <f>($AV286-$AV287)*100</f>
        <v/>
      </c>
      <c r="CP286" s="56">
        <f>($AW286-$AW287)*100</f>
        <v/>
      </c>
      <c r="CQ286" s="56">
        <f>($AX286-$AX287)*100</f>
        <v/>
      </c>
      <c r="CR286" s="56">
        <f>($AY286-$AY287)*100</f>
        <v/>
      </c>
      <c r="CS286" s="57">
        <f>IFERROR($L287/$L286-1,"")</f>
        <v/>
      </c>
      <c r="CT286" s="57">
        <f>IFERROR($M287/$M286-1,"")</f>
        <v/>
      </c>
      <c r="CU286" s="57">
        <f>IFERROR($N287/$N286-1,"")</f>
        <v/>
      </c>
      <c r="CV286" s="57">
        <f>IFERROR($O287/$O286-1,"")</f>
        <v/>
      </c>
      <c r="CW286" s="57">
        <f>IFERROR($P287/$P286-1,"")</f>
        <v/>
      </c>
      <c r="CX286" s="57">
        <f>IFERROR($Q287/$Q286-1,"")</f>
        <v/>
      </c>
      <c r="CY286" s="57">
        <f>IFERROR($R287/$R286-1,"")</f>
        <v/>
      </c>
      <c r="CZ286" s="57">
        <f>IFERROR($S287/$S286-1,"")</f>
        <v/>
      </c>
      <c r="DA286" s="57">
        <f>IFERROR($T287/$T286-1,"")</f>
        <v/>
      </c>
      <c r="DB286" s="57">
        <f>IFERROR($U287/$U286-1,"")</f>
        <v/>
      </c>
      <c r="DC286" s="57">
        <f>IFERROR($V287/$V286-1,"")</f>
        <v/>
      </c>
      <c r="DD286" s="57">
        <f>IFERROR($W287/$W286-1,"")</f>
        <v/>
      </c>
      <c r="DE286" s="57">
        <f>IFERROR($X287/$X286-1,"")</f>
        <v/>
      </c>
      <c r="DF286" s="57">
        <f>IFERROR($Y287/$Y286-1,"")</f>
        <v/>
      </c>
      <c r="DG286" s="57">
        <f>IFERROR($Z287/$Z286-1,"")</f>
        <v/>
      </c>
      <c r="DH286" s="57">
        <f>IFERROR($AA287/$AA286-1,"")</f>
        <v/>
      </c>
      <c r="DI286" s="57">
        <f>IFERROR($AB287/$AB286-1,"")</f>
        <v/>
      </c>
      <c r="DJ286" s="57">
        <f>IFERROR($AC287/$AC286-1,"")</f>
        <v/>
      </c>
      <c r="DK286" s="57">
        <f>IFERROR($AD287/$AD286-1,"")</f>
        <v/>
      </c>
      <c r="DL286" s="57">
        <f>IFERROR($AE287/$AE286-1,"")</f>
        <v/>
      </c>
      <c r="DM286" s="56">
        <f>$AZ286-$AZ287</f>
        <v/>
      </c>
      <c r="DN286" s="56">
        <f>$BA286-$BA287</f>
        <v/>
      </c>
      <c r="DO286" s="56">
        <f>$BB286-$BB287</f>
        <v/>
      </c>
      <c r="DP286" s="56">
        <f>$BC286-$BC287</f>
        <v/>
      </c>
      <c r="DQ286" s="56">
        <f>$BD286-$BD287</f>
        <v/>
      </c>
      <c r="DR286" s="56">
        <f>$BE286-$BE287</f>
        <v/>
      </c>
      <c r="DS286" s="56">
        <f>$BF286-$BF287</f>
        <v/>
      </c>
      <c r="DT286" s="56">
        <f>$BG286-$BG287</f>
        <v/>
      </c>
      <c r="DU286" s="56">
        <f>$BH286-$BH287</f>
        <v/>
      </c>
      <c r="DV286" s="56">
        <f>$BI286-$BI287</f>
        <v/>
      </c>
      <c r="DW286" s="56">
        <f>$BJ286-$BJ287</f>
        <v/>
      </c>
      <c r="DX286" s="56">
        <f>$BK286-$BK287</f>
        <v/>
      </c>
      <c r="DY286" s="56">
        <f>$BL286-$BL287</f>
        <v/>
      </c>
      <c r="DZ286" s="56">
        <f>$BM286-$BM287</f>
        <v/>
      </c>
      <c r="EA286" s="56">
        <f>$BN286-$BN287</f>
        <v/>
      </c>
      <c r="EB286" s="56">
        <f>$BO286-$BO287</f>
        <v/>
      </c>
      <c r="EC286" s="56">
        <f>$BP286-$BP287</f>
        <v/>
      </c>
      <c r="ED286" s="56">
        <f>$BQ286-$BQ287</f>
        <v/>
      </c>
      <c r="EE286" s="56">
        <f>$BR286-$BR287</f>
        <v/>
      </c>
      <c r="EF286" s="56">
        <f>$BS286-$BS287</f>
        <v/>
      </c>
      <c r="EG286" s="56">
        <f>$BT286-$BT287</f>
        <v/>
      </c>
      <c r="EH286" s="56">
        <f>$BU286-$BU287</f>
        <v/>
      </c>
    </row>
    <row r="287">
      <c r="BV287" s="56">
        <f>($D287-$D288)*100</f>
        <v/>
      </c>
      <c r="BW287" s="56">
        <f>($C287-$C288)*100</f>
        <v/>
      </c>
      <c r="BX287" s="57">
        <f>IFERROR($I287/$I288-1,"")</f>
        <v/>
      </c>
      <c r="BY287" s="56">
        <f>($AF287-$AF288)*100</f>
        <v/>
      </c>
      <c r="BZ287" s="56">
        <f>($AG287-$AG288)*100</f>
        <v/>
      </c>
      <c r="CA287" s="56">
        <f>($AH287-$AH288)*100</f>
        <v/>
      </c>
      <c r="CB287" s="56">
        <f>($AI287-$AI288)*100</f>
        <v/>
      </c>
      <c r="CC287" s="56">
        <f>($AJ287-$AJ288)*100</f>
        <v/>
      </c>
      <c r="CD287" s="56">
        <f>($AK287-$AK288)*100</f>
        <v/>
      </c>
      <c r="CE287" s="56">
        <f>($AL287-$AL288)*100</f>
        <v/>
      </c>
      <c r="CF287" s="56">
        <f>($AM287-$AM288)*100</f>
        <v/>
      </c>
      <c r="CG287" s="56">
        <f>($AN287-$AN288)*100</f>
        <v/>
      </c>
      <c r="CH287" s="56">
        <f>($AO287-$AO288)*100</f>
        <v/>
      </c>
      <c r="CI287" s="56">
        <f>($AP287-$AP288)*100</f>
        <v/>
      </c>
      <c r="CJ287" s="56">
        <f>($AQ287-$AQ288)*100</f>
        <v/>
      </c>
      <c r="CK287" s="56">
        <f>($AR287-$AR288)*100</f>
        <v/>
      </c>
      <c r="CL287" s="56">
        <f>($AS287-$AS288)*100</f>
        <v/>
      </c>
      <c r="CM287" s="56">
        <f>($AT287-$AT288)*100</f>
        <v/>
      </c>
      <c r="CN287" s="56">
        <f>($AU287-$AU288)*100</f>
        <v/>
      </c>
      <c r="CO287" s="56">
        <f>($AV287-$AV288)*100</f>
        <v/>
      </c>
      <c r="CP287" s="56">
        <f>($AW287-$AW288)*100</f>
        <v/>
      </c>
      <c r="CQ287" s="56">
        <f>($AX287-$AX288)*100</f>
        <v/>
      </c>
      <c r="CR287" s="56">
        <f>($AY287-$AY288)*100</f>
        <v/>
      </c>
      <c r="CS287" s="57">
        <f>IFERROR($L288/$L287-1,"")</f>
        <v/>
      </c>
      <c r="CT287" s="57">
        <f>IFERROR($M288/$M287-1,"")</f>
        <v/>
      </c>
      <c r="CU287" s="57">
        <f>IFERROR($N288/$N287-1,"")</f>
        <v/>
      </c>
      <c r="CV287" s="57">
        <f>IFERROR($O288/$O287-1,"")</f>
        <v/>
      </c>
      <c r="CW287" s="57">
        <f>IFERROR($P288/$P287-1,"")</f>
        <v/>
      </c>
      <c r="CX287" s="57">
        <f>IFERROR($Q288/$Q287-1,"")</f>
        <v/>
      </c>
      <c r="CY287" s="57">
        <f>IFERROR($R288/$R287-1,"")</f>
        <v/>
      </c>
      <c r="CZ287" s="57">
        <f>IFERROR($S288/$S287-1,"")</f>
        <v/>
      </c>
      <c r="DA287" s="57">
        <f>IFERROR($T288/$T287-1,"")</f>
        <v/>
      </c>
      <c r="DB287" s="57">
        <f>IFERROR($U288/$U287-1,"")</f>
        <v/>
      </c>
      <c r="DC287" s="57">
        <f>IFERROR($V288/$V287-1,"")</f>
        <v/>
      </c>
      <c r="DD287" s="57">
        <f>IFERROR($W288/$W287-1,"")</f>
        <v/>
      </c>
      <c r="DE287" s="57">
        <f>IFERROR($X288/$X287-1,"")</f>
        <v/>
      </c>
      <c r="DF287" s="57">
        <f>IFERROR($Y288/$Y287-1,"")</f>
        <v/>
      </c>
      <c r="DG287" s="57">
        <f>IFERROR($Z288/$Z287-1,"")</f>
        <v/>
      </c>
      <c r="DH287" s="57">
        <f>IFERROR($AA288/$AA287-1,"")</f>
        <v/>
      </c>
      <c r="DI287" s="57">
        <f>IFERROR($AB288/$AB287-1,"")</f>
        <v/>
      </c>
      <c r="DJ287" s="57">
        <f>IFERROR($AC288/$AC287-1,"")</f>
        <v/>
      </c>
      <c r="DK287" s="57">
        <f>IFERROR($AD288/$AD287-1,"")</f>
        <v/>
      </c>
      <c r="DL287" s="57">
        <f>IFERROR($AE288/$AE287-1,"")</f>
        <v/>
      </c>
      <c r="DM287" s="56">
        <f>$AZ287-$AZ288</f>
        <v/>
      </c>
      <c r="DN287" s="56">
        <f>$BA287-$BA288</f>
        <v/>
      </c>
      <c r="DO287" s="56">
        <f>$BB287-$BB288</f>
        <v/>
      </c>
      <c r="DP287" s="56">
        <f>$BC287-$BC288</f>
        <v/>
      </c>
      <c r="DQ287" s="56">
        <f>$BD287-$BD288</f>
        <v/>
      </c>
      <c r="DR287" s="56">
        <f>$BE287-$BE288</f>
        <v/>
      </c>
      <c r="DS287" s="56">
        <f>$BF287-$BF288</f>
        <v/>
      </c>
      <c r="DT287" s="56">
        <f>$BG287-$BG288</f>
        <v/>
      </c>
      <c r="DU287" s="56">
        <f>$BH287-$BH288</f>
        <v/>
      </c>
      <c r="DV287" s="56">
        <f>$BI287-$BI288</f>
        <v/>
      </c>
      <c r="DW287" s="56">
        <f>$BJ287-$BJ288</f>
        <v/>
      </c>
      <c r="DX287" s="56">
        <f>$BK287-$BK288</f>
        <v/>
      </c>
      <c r="DY287" s="56">
        <f>$BL287-$BL288</f>
        <v/>
      </c>
      <c r="DZ287" s="56">
        <f>$BM287-$BM288</f>
        <v/>
      </c>
      <c r="EA287" s="56">
        <f>$BN287-$BN288</f>
        <v/>
      </c>
      <c r="EB287" s="56">
        <f>$BO287-$BO288</f>
        <v/>
      </c>
      <c r="EC287" s="56">
        <f>$BP287-$BP288</f>
        <v/>
      </c>
      <c r="ED287" s="56">
        <f>$BQ287-$BQ288</f>
        <v/>
      </c>
      <c r="EE287" s="56">
        <f>$BR287-$BR288</f>
        <v/>
      </c>
      <c r="EF287" s="56">
        <f>$BS287-$BS288</f>
        <v/>
      </c>
      <c r="EG287" s="56">
        <f>$BT287-$BT288</f>
        <v/>
      </c>
      <c r="EH287" s="56">
        <f>$BU287-$BU288</f>
        <v/>
      </c>
    </row>
    <row r="288">
      <c r="BV288" s="56">
        <f>($D288-$D289)*100</f>
        <v/>
      </c>
      <c r="BW288" s="56">
        <f>($C288-$C289)*100</f>
        <v/>
      </c>
      <c r="BX288" s="57">
        <f>IFERROR($I288/$I289-1,"")</f>
        <v/>
      </c>
      <c r="BY288" s="56">
        <f>($AF288-$AF289)*100</f>
        <v/>
      </c>
      <c r="BZ288" s="56">
        <f>($AG288-$AG289)*100</f>
        <v/>
      </c>
      <c r="CA288" s="56">
        <f>($AH288-$AH289)*100</f>
        <v/>
      </c>
      <c r="CB288" s="56">
        <f>($AI288-$AI289)*100</f>
        <v/>
      </c>
      <c r="CC288" s="56">
        <f>($AJ288-$AJ289)*100</f>
        <v/>
      </c>
      <c r="CD288" s="56">
        <f>($AK288-$AK289)*100</f>
        <v/>
      </c>
      <c r="CE288" s="56">
        <f>($AL288-$AL289)*100</f>
        <v/>
      </c>
      <c r="CF288" s="56">
        <f>($AM288-$AM289)*100</f>
        <v/>
      </c>
      <c r="CG288" s="56">
        <f>($AN288-$AN289)*100</f>
        <v/>
      </c>
      <c r="CH288" s="56">
        <f>($AO288-$AO289)*100</f>
        <v/>
      </c>
      <c r="CI288" s="56">
        <f>($AP288-$AP289)*100</f>
        <v/>
      </c>
      <c r="CJ288" s="56">
        <f>($AQ288-$AQ289)*100</f>
        <v/>
      </c>
      <c r="CK288" s="56">
        <f>($AR288-$AR289)*100</f>
        <v/>
      </c>
      <c r="CL288" s="56">
        <f>($AS288-$AS289)*100</f>
        <v/>
      </c>
      <c r="CM288" s="56">
        <f>($AT288-$AT289)*100</f>
        <v/>
      </c>
      <c r="CN288" s="56">
        <f>($AU288-$AU289)*100</f>
        <v/>
      </c>
      <c r="CO288" s="56">
        <f>($AV288-$AV289)*100</f>
        <v/>
      </c>
      <c r="CP288" s="56">
        <f>($AW288-$AW289)*100</f>
        <v/>
      </c>
      <c r="CQ288" s="56">
        <f>($AX288-$AX289)*100</f>
        <v/>
      </c>
      <c r="CR288" s="56">
        <f>($AY288-$AY289)*100</f>
        <v/>
      </c>
      <c r="CS288" s="57">
        <f>IFERROR($L289/$L288-1,"")</f>
        <v/>
      </c>
      <c r="CT288" s="57">
        <f>IFERROR($M289/$M288-1,"")</f>
        <v/>
      </c>
      <c r="CU288" s="57">
        <f>IFERROR($N289/$N288-1,"")</f>
        <v/>
      </c>
      <c r="CV288" s="57">
        <f>IFERROR($O289/$O288-1,"")</f>
        <v/>
      </c>
      <c r="CW288" s="57">
        <f>IFERROR($P289/$P288-1,"")</f>
        <v/>
      </c>
      <c r="CX288" s="57">
        <f>IFERROR($Q289/$Q288-1,"")</f>
        <v/>
      </c>
      <c r="CY288" s="57">
        <f>IFERROR($R289/$R288-1,"")</f>
        <v/>
      </c>
      <c r="CZ288" s="57">
        <f>IFERROR($S289/$S288-1,"")</f>
        <v/>
      </c>
      <c r="DA288" s="57">
        <f>IFERROR($T289/$T288-1,"")</f>
        <v/>
      </c>
      <c r="DB288" s="57">
        <f>IFERROR($U289/$U288-1,"")</f>
        <v/>
      </c>
      <c r="DC288" s="57">
        <f>IFERROR($V289/$V288-1,"")</f>
        <v/>
      </c>
      <c r="DD288" s="57">
        <f>IFERROR($W289/$W288-1,"")</f>
        <v/>
      </c>
      <c r="DE288" s="57">
        <f>IFERROR($X289/$X288-1,"")</f>
        <v/>
      </c>
      <c r="DF288" s="57">
        <f>IFERROR($Y289/$Y288-1,"")</f>
        <v/>
      </c>
      <c r="DG288" s="57">
        <f>IFERROR($Z289/$Z288-1,"")</f>
        <v/>
      </c>
      <c r="DH288" s="57">
        <f>IFERROR($AA289/$AA288-1,"")</f>
        <v/>
      </c>
      <c r="DI288" s="57">
        <f>IFERROR($AB289/$AB288-1,"")</f>
        <v/>
      </c>
      <c r="DJ288" s="57">
        <f>IFERROR($AC289/$AC288-1,"")</f>
        <v/>
      </c>
      <c r="DK288" s="57">
        <f>IFERROR($AD289/$AD288-1,"")</f>
        <v/>
      </c>
      <c r="DL288" s="57">
        <f>IFERROR($AE289/$AE288-1,"")</f>
        <v/>
      </c>
      <c r="DM288" s="56">
        <f>$AZ288-$AZ289</f>
        <v/>
      </c>
      <c r="DN288" s="56">
        <f>$BA288-$BA289</f>
        <v/>
      </c>
      <c r="DO288" s="56">
        <f>$BB288-$BB289</f>
        <v/>
      </c>
      <c r="DP288" s="56">
        <f>$BC288-$BC289</f>
        <v/>
      </c>
      <c r="DQ288" s="56">
        <f>$BD288-$BD289</f>
        <v/>
      </c>
      <c r="DR288" s="56">
        <f>$BE288-$BE289</f>
        <v/>
      </c>
      <c r="DS288" s="56">
        <f>$BF288-$BF289</f>
        <v/>
      </c>
      <c r="DT288" s="56">
        <f>$BG288-$BG289</f>
        <v/>
      </c>
      <c r="DU288" s="56">
        <f>$BH288-$BH289</f>
        <v/>
      </c>
      <c r="DV288" s="56">
        <f>$BI288-$BI289</f>
        <v/>
      </c>
      <c r="DW288" s="56">
        <f>$BJ288-$BJ289</f>
        <v/>
      </c>
      <c r="DX288" s="56">
        <f>$BK288-$BK289</f>
        <v/>
      </c>
      <c r="DY288" s="56">
        <f>$BL288-$BL289</f>
        <v/>
      </c>
      <c r="DZ288" s="56">
        <f>$BM288-$BM289</f>
        <v/>
      </c>
      <c r="EA288" s="56">
        <f>$BN288-$BN289</f>
        <v/>
      </c>
      <c r="EB288" s="56">
        <f>$BO288-$BO289</f>
        <v/>
      </c>
      <c r="EC288" s="56">
        <f>$BP288-$BP289</f>
        <v/>
      </c>
      <c r="ED288" s="56">
        <f>$BQ288-$BQ289</f>
        <v/>
      </c>
      <c r="EE288" s="56">
        <f>$BR288-$BR289</f>
        <v/>
      </c>
      <c r="EF288" s="56">
        <f>$BS288-$BS289</f>
        <v/>
      </c>
      <c r="EG288" s="56">
        <f>$BT288-$BT289</f>
        <v/>
      </c>
      <c r="EH288" s="56">
        <f>$BU288-$BU289</f>
        <v/>
      </c>
    </row>
    <row r="289">
      <c r="BV289" s="56">
        <f>($D289-$D290)*100</f>
        <v/>
      </c>
      <c r="BW289" s="56">
        <f>($C289-$C290)*100</f>
        <v/>
      </c>
      <c r="BX289" s="57">
        <f>IFERROR($I289/$I290-1,"")</f>
        <v/>
      </c>
      <c r="BY289" s="56">
        <f>($AF289-$AF290)*100</f>
        <v/>
      </c>
      <c r="BZ289" s="56">
        <f>($AG289-$AG290)*100</f>
        <v/>
      </c>
      <c r="CA289" s="56">
        <f>($AH289-$AH290)*100</f>
        <v/>
      </c>
      <c r="CB289" s="56">
        <f>($AI289-$AI290)*100</f>
        <v/>
      </c>
      <c r="CC289" s="56">
        <f>($AJ289-$AJ290)*100</f>
        <v/>
      </c>
      <c r="CD289" s="56">
        <f>($AK289-$AK290)*100</f>
        <v/>
      </c>
      <c r="CE289" s="56">
        <f>($AL289-$AL290)*100</f>
        <v/>
      </c>
      <c r="CF289" s="56">
        <f>($AM289-$AM290)*100</f>
        <v/>
      </c>
      <c r="CG289" s="56">
        <f>($AN289-$AN290)*100</f>
        <v/>
      </c>
      <c r="CH289" s="56">
        <f>($AO289-$AO290)*100</f>
        <v/>
      </c>
      <c r="CI289" s="56">
        <f>($AP289-$AP290)*100</f>
        <v/>
      </c>
      <c r="CJ289" s="56">
        <f>($AQ289-$AQ290)*100</f>
        <v/>
      </c>
      <c r="CK289" s="56">
        <f>($AR289-$AR290)*100</f>
        <v/>
      </c>
      <c r="CL289" s="56">
        <f>($AS289-$AS290)*100</f>
        <v/>
      </c>
      <c r="CM289" s="56">
        <f>($AT289-$AT290)*100</f>
        <v/>
      </c>
      <c r="CN289" s="56">
        <f>($AU289-$AU290)*100</f>
        <v/>
      </c>
      <c r="CO289" s="56">
        <f>($AV289-$AV290)*100</f>
        <v/>
      </c>
      <c r="CP289" s="56">
        <f>($AW289-$AW290)*100</f>
        <v/>
      </c>
      <c r="CQ289" s="56">
        <f>($AX289-$AX290)*100</f>
        <v/>
      </c>
      <c r="CR289" s="56">
        <f>($AY289-$AY290)*100</f>
        <v/>
      </c>
      <c r="CS289" s="57">
        <f>IFERROR($L290/$L289-1,"")</f>
        <v/>
      </c>
      <c r="CT289" s="57">
        <f>IFERROR($M290/$M289-1,"")</f>
        <v/>
      </c>
      <c r="CU289" s="57">
        <f>IFERROR($N290/$N289-1,"")</f>
        <v/>
      </c>
      <c r="CV289" s="57">
        <f>IFERROR($O290/$O289-1,"")</f>
        <v/>
      </c>
      <c r="CW289" s="57">
        <f>IFERROR($P290/$P289-1,"")</f>
        <v/>
      </c>
      <c r="CX289" s="57">
        <f>IFERROR($Q290/$Q289-1,"")</f>
        <v/>
      </c>
      <c r="CY289" s="57">
        <f>IFERROR($R290/$R289-1,"")</f>
        <v/>
      </c>
      <c r="CZ289" s="57">
        <f>IFERROR($S290/$S289-1,"")</f>
        <v/>
      </c>
      <c r="DA289" s="57">
        <f>IFERROR($T290/$T289-1,"")</f>
        <v/>
      </c>
      <c r="DB289" s="57">
        <f>IFERROR($U290/$U289-1,"")</f>
        <v/>
      </c>
      <c r="DC289" s="57">
        <f>IFERROR($V290/$V289-1,"")</f>
        <v/>
      </c>
      <c r="DD289" s="57">
        <f>IFERROR($W290/$W289-1,"")</f>
        <v/>
      </c>
      <c r="DE289" s="57">
        <f>IFERROR($X290/$X289-1,"")</f>
        <v/>
      </c>
      <c r="DF289" s="57">
        <f>IFERROR($Y290/$Y289-1,"")</f>
        <v/>
      </c>
      <c r="DG289" s="57">
        <f>IFERROR($Z290/$Z289-1,"")</f>
        <v/>
      </c>
      <c r="DH289" s="57">
        <f>IFERROR($AA290/$AA289-1,"")</f>
        <v/>
      </c>
      <c r="DI289" s="57">
        <f>IFERROR($AB290/$AB289-1,"")</f>
        <v/>
      </c>
      <c r="DJ289" s="57">
        <f>IFERROR($AC290/$AC289-1,"")</f>
        <v/>
      </c>
      <c r="DK289" s="57">
        <f>IFERROR($AD290/$AD289-1,"")</f>
        <v/>
      </c>
      <c r="DL289" s="57">
        <f>IFERROR($AE290/$AE289-1,"")</f>
        <v/>
      </c>
      <c r="DM289" s="56">
        <f>$AZ289-$AZ290</f>
        <v/>
      </c>
      <c r="DN289" s="56">
        <f>$BA289-$BA290</f>
        <v/>
      </c>
      <c r="DO289" s="56">
        <f>$BB289-$BB290</f>
        <v/>
      </c>
      <c r="DP289" s="56">
        <f>$BC289-$BC290</f>
        <v/>
      </c>
      <c r="DQ289" s="56">
        <f>$BD289-$BD290</f>
        <v/>
      </c>
      <c r="DR289" s="56">
        <f>$BE289-$BE290</f>
        <v/>
      </c>
      <c r="DS289" s="56">
        <f>$BF289-$BF290</f>
        <v/>
      </c>
      <c r="DT289" s="56">
        <f>$BG289-$BG290</f>
        <v/>
      </c>
      <c r="DU289" s="56">
        <f>$BH289-$BH290</f>
        <v/>
      </c>
      <c r="DV289" s="56">
        <f>$BI289-$BI290</f>
        <v/>
      </c>
      <c r="DW289" s="56">
        <f>$BJ289-$BJ290</f>
        <v/>
      </c>
      <c r="DX289" s="56">
        <f>$BK289-$BK290</f>
        <v/>
      </c>
      <c r="DY289" s="56">
        <f>$BL289-$BL290</f>
        <v/>
      </c>
      <c r="DZ289" s="56">
        <f>$BM289-$BM290</f>
        <v/>
      </c>
      <c r="EA289" s="56">
        <f>$BN289-$BN290</f>
        <v/>
      </c>
      <c r="EB289" s="56">
        <f>$BO289-$BO290</f>
        <v/>
      </c>
      <c r="EC289" s="56">
        <f>$BP289-$BP290</f>
        <v/>
      </c>
      <c r="ED289" s="56">
        <f>$BQ289-$BQ290</f>
        <v/>
      </c>
      <c r="EE289" s="56">
        <f>$BR289-$BR290</f>
        <v/>
      </c>
      <c r="EF289" s="56">
        <f>$BS289-$BS290</f>
        <v/>
      </c>
      <c r="EG289" s="56">
        <f>$BT289-$BT290</f>
        <v/>
      </c>
      <c r="EH289" s="56">
        <f>$BU289-$BU290</f>
        <v/>
      </c>
    </row>
    <row r="290">
      <c r="BV290" s="56">
        <f>($D290-$D291)*100</f>
        <v/>
      </c>
      <c r="BW290" s="56">
        <f>($C290-$C291)*100</f>
        <v/>
      </c>
      <c r="BX290" s="57">
        <f>IFERROR($I290/$I291-1,"")</f>
        <v/>
      </c>
      <c r="BY290" s="56">
        <f>($AF290-$AF291)*100</f>
        <v/>
      </c>
      <c r="BZ290" s="56">
        <f>($AG290-$AG291)*100</f>
        <v/>
      </c>
      <c r="CA290" s="56">
        <f>($AH290-$AH291)*100</f>
        <v/>
      </c>
      <c r="CB290" s="56">
        <f>($AI290-$AI291)*100</f>
        <v/>
      </c>
      <c r="CC290" s="56">
        <f>($AJ290-$AJ291)*100</f>
        <v/>
      </c>
      <c r="CD290" s="56">
        <f>($AK290-$AK291)*100</f>
        <v/>
      </c>
      <c r="CE290" s="56">
        <f>($AL290-$AL291)*100</f>
        <v/>
      </c>
      <c r="CF290" s="56">
        <f>($AM290-$AM291)*100</f>
        <v/>
      </c>
      <c r="CG290" s="56">
        <f>($AN290-$AN291)*100</f>
        <v/>
      </c>
      <c r="CH290" s="56">
        <f>($AO290-$AO291)*100</f>
        <v/>
      </c>
      <c r="CI290" s="56">
        <f>($AP290-$AP291)*100</f>
        <v/>
      </c>
      <c r="CJ290" s="56">
        <f>($AQ290-$AQ291)*100</f>
        <v/>
      </c>
      <c r="CK290" s="56">
        <f>($AR290-$AR291)*100</f>
        <v/>
      </c>
      <c r="CL290" s="56">
        <f>($AS290-$AS291)*100</f>
        <v/>
      </c>
      <c r="CM290" s="56">
        <f>($AT290-$AT291)*100</f>
        <v/>
      </c>
      <c r="CN290" s="56">
        <f>($AU290-$AU291)*100</f>
        <v/>
      </c>
      <c r="CO290" s="56">
        <f>($AV290-$AV291)*100</f>
        <v/>
      </c>
      <c r="CP290" s="56">
        <f>($AW290-$AW291)*100</f>
        <v/>
      </c>
      <c r="CQ290" s="56">
        <f>($AX290-$AX291)*100</f>
        <v/>
      </c>
      <c r="CR290" s="56">
        <f>($AY290-$AY291)*100</f>
        <v/>
      </c>
      <c r="CS290" s="57">
        <f>IFERROR($L291/$L290-1,"")</f>
        <v/>
      </c>
      <c r="CT290" s="57">
        <f>IFERROR($M291/$M290-1,"")</f>
        <v/>
      </c>
      <c r="CU290" s="57">
        <f>IFERROR($N291/$N290-1,"")</f>
        <v/>
      </c>
      <c r="CV290" s="57">
        <f>IFERROR($O291/$O290-1,"")</f>
        <v/>
      </c>
      <c r="CW290" s="57">
        <f>IFERROR($P291/$P290-1,"")</f>
        <v/>
      </c>
      <c r="CX290" s="57">
        <f>IFERROR($Q291/$Q290-1,"")</f>
        <v/>
      </c>
      <c r="CY290" s="57">
        <f>IFERROR($R291/$R290-1,"")</f>
        <v/>
      </c>
      <c r="CZ290" s="57">
        <f>IFERROR($S291/$S290-1,"")</f>
        <v/>
      </c>
      <c r="DA290" s="57">
        <f>IFERROR($T291/$T290-1,"")</f>
        <v/>
      </c>
      <c r="DB290" s="57">
        <f>IFERROR($U291/$U290-1,"")</f>
        <v/>
      </c>
      <c r="DC290" s="57">
        <f>IFERROR($V291/$V290-1,"")</f>
        <v/>
      </c>
      <c r="DD290" s="57">
        <f>IFERROR($W291/$W290-1,"")</f>
        <v/>
      </c>
      <c r="DE290" s="57">
        <f>IFERROR($X291/$X290-1,"")</f>
        <v/>
      </c>
      <c r="DF290" s="57">
        <f>IFERROR($Y291/$Y290-1,"")</f>
        <v/>
      </c>
      <c r="DG290" s="57">
        <f>IFERROR($Z291/$Z290-1,"")</f>
        <v/>
      </c>
      <c r="DH290" s="57">
        <f>IFERROR($AA291/$AA290-1,"")</f>
        <v/>
      </c>
      <c r="DI290" s="57">
        <f>IFERROR($AB291/$AB290-1,"")</f>
        <v/>
      </c>
      <c r="DJ290" s="57">
        <f>IFERROR($AC291/$AC290-1,"")</f>
        <v/>
      </c>
      <c r="DK290" s="57">
        <f>IFERROR($AD291/$AD290-1,"")</f>
        <v/>
      </c>
      <c r="DL290" s="57">
        <f>IFERROR($AE291/$AE290-1,"")</f>
        <v/>
      </c>
      <c r="DM290" s="56">
        <f>$AZ290-$AZ291</f>
        <v/>
      </c>
      <c r="DN290" s="56">
        <f>$BA290-$BA291</f>
        <v/>
      </c>
      <c r="DO290" s="56">
        <f>$BB290-$BB291</f>
        <v/>
      </c>
      <c r="DP290" s="56">
        <f>$BC290-$BC291</f>
        <v/>
      </c>
      <c r="DQ290" s="56">
        <f>$BD290-$BD291</f>
        <v/>
      </c>
      <c r="DR290" s="56">
        <f>$BE290-$BE291</f>
        <v/>
      </c>
      <c r="DS290" s="56">
        <f>$BF290-$BF291</f>
        <v/>
      </c>
      <c r="DT290" s="56">
        <f>$BG290-$BG291</f>
        <v/>
      </c>
      <c r="DU290" s="56">
        <f>$BH290-$BH291</f>
        <v/>
      </c>
      <c r="DV290" s="56">
        <f>$BI290-$BI291</f>
        <v/>
      </c>
      <c r="DW290" s="56">
        <f>$BJ290-$BJ291</f>
        <v/>
      </c>
      <c r="DX290" s="56">
        <f>$BK290-$BK291</f>
        <v/>
      </c>
      <c r="DY290" s="56">
        <f>$BL290-$BL291</f>
        <v/>
      </c>
      <c r="DZ290" s="56">
        <f>$BM290-$BM291</f>
        <v/>
      </c>
      <c r="EA290" s="56">
        <f>$BN290-$BN291</f>
        <v/>
      </c>
      <c r="EB290" s="56">
        <f>$BO290-$BO291</f>
        <v/>
      </c>
      <c r="EC290" s="56">
        <f>$BP290-$BP291</f>
        <v/>
      </c>
      <c r="ED290" s="56">
        <f>$BQ290-$BQ291</f>
        <v/>
      </c>
      <c r="EE290" s="56">
        <f>$BR290-$BR291</f>
        <v/>
      </c>
      <c r="EF290" s="56">
        <f>$BS290-$BS291</f>
        <v/>
      </c>
      <c r="EG290" s="56">
        <f>$BT290-$BT291</f>
        <v/>
      </c>
      <c r="EH290" s="56">
        <f>$BU290-$BU291</f>
        <v/>
      </c>
    </row>
    <row r="291">
      <c r="BV291" s="56">
        <f>($D291-$D292)*100</f>
        <v/>
      </c>
      <c r="BW291" s="56">
        <f>($C291-$C292)*100</f>
        <v/>
      </c>
      <c r="BX291" s="57">
        <f>IFERROR($I291/$I292-1,"")</f>
        <v/>
      </c>
      <c r="BY291" s="56">
        <f>($AF291-$AF292)*100</f>
        <v/>
      </c>
      <c r="BZ291" s="56">
        <f>($AG291-$AG292)*100</f>
        <v/>
      </c>
      <c r="CA291" s="56">
        <f>($AH291-$AH292)*100</f>
        <v/>
      </c>
      <c r="CB291" s="56">
        <f>($AI291-$AI292)*100</f>
        <v/>
      </c>
      <c r="CC291" s="56">
        <f>($AJ291-$AJ292)*100</f>
        <v/>
      </c>
      <c r="CD291" s="56">
        <f>($AK291-$AK292)*100</f>
        <v/>
      </c>
      <c r="CE291" s="56">
        <f>($AL291-$AL292)*100</f>
        <v/>
      </c>
      <c r="CF291" s="56">
        <f>($AM291-$AM292)*100</f>
        <v/>
      </c>
      <c r="CG291" s="56">
        <f>($AN291-$AN292)*100</f>
        <v/>
      </c>
      <c r="CH291" s="56">
        <f>($AO291-$AO292)*100</f>
        <v/>
      </c>
      <c r="CI291" s="56">
        <f>($AP291-$AP292)*100</f>
        <v/>
      </c>
      <c r="CJ291" s="56">
        <f>($AQ291-$AQ292)*100</f>
        <v/>
      </c>
      <c r="CK291" s="56">
        <f>($AR291-$AR292)*100</f>
        <v/>
      </c>
      <c r="CL291" s="56">
        <f>($AS291-$AS292)*100</f>
        <v/>
      </c>
      <c r="CM291" s="56">
        <f>($AT291-$AT292)*100</f>
        <v/>
      </c>
      <c r="CN291" s="56">
        <f>($AU291-$AU292)*100</f>
        <v/>
      </c>
      <c r="CO291" s="56">
        <f>($AV291-$AV292)*100</f>
        <v/>
      </c>
      <c r="CP291" s="56">
        <f>($AW291-$AW292)*100</f>
        <v/>
      </c>
      <c r="CQ291" s="56">
        <f>($AX291-$AX292)*100</f>
        <v/>
      </c>
      <c r="CR291" s="56">
        <f>($AY291-$AY292)*100</f>
        <v/>
      </c>
      <c r="CS291" s="57">
        <f>IFERROR($L292/$L291-1,"")</f>
        <v/>
      </c>
      <c r="CT291" s="57">
        <f>IFERROR($M292/$M291-1,"")</f>
        <v/>
      </c>
      <c r="CU291" s="57">
        <f>IFERROR($N292/$N291-1,"")</f>
        <v/>
      </c>
      <c r="CV291" s="57">
        <f>IFERROR($O292/$O291-1,"")</f>
        <v/>
      </c>
      <c r="CW291" s="57">
        <f>IFERROR($P292/$P291-1,"")</f>
        <v/>
      </c>
      <c r="CX291" s="57">
        <f>IFERROR($Q292/$Q291-1,"")</f>
        <v/>
      </c>
      <c r="CY291" s="57">
        <f>IFERROR($R292/$R291-1,"")</f>
        <v/>
      </c>
      <c r="CZ291" s="57">
        <f>IFERROR($S292/$S291-1,"")</f>
        <v/>
      </c>
      <c r="DA291" s="57">
        <f>IFERROR($T292/$T291-1,"")</f>
        <v/>
      </c>
      <c r="DB291" s="57">
        <f>IFERROR($U292/$U291-1,"")</f>
        <v/>
      </c>
      <c r="DC291" s="57">
        <f>IFERROR($V292/$V291-1,"")</f>
        <v/>
      </c>
      <c r="DD291" s="57">
        <f>IFERROR($W292/$W291-1,"")</f>
        <v/>
      </c>
      <c r="DE291" s="57">
        <f>IFERROR($X292/$X291-1,"")</f>
        <v/>
      </c>
      <c r="DF291" s="57">
        <f>IFERROR($Y292/$Y291-1,"")</f>
        <v/>
      </c>
      <c r="DG291" s="57">
        <f>IFERROR($Z292/$Z291-1,"")</f>
        <v/>
      </c>
      <c r="DH291" s="57">
        <f>IFERROR($AA292/$AA291-1,"")</f>
        <v/>
      </c>
      <c r="DI291" s="57">
        <f>IFERROR($AB292/$AB291-1,"")</f>
        <v/>
      </c>
      <c r="DJ291" s="57">
        <f>IFERROR($AC292/$AC291-1,"")</f>
        <v/>
      </c>
      <c r="DK291" s="57">
        <f>IFERROR($AD292/$AD291-1,"")</f>
        <v/>
      </c>
      <c r="DL291" s="57">
        <f>IFERROR($AE292/$AE291-1,"")</f>
        <v/>
      </c>
      <c r="DM291" s="56">
        <f>$AZ291-$AZ292</f>
        <v/>
      </c>
      <c r="DN291" s="56">
        <f>$BA291-$BA292</f>
        <v/>
      </c>
      <c r="DO291" s="56">
        <f>$BB291-$BB292</f>
        <v/>
      </c>
      <c r="DP291" s="56">
        <f>$BC291-$BC292</f>
        <v/>
      </c>
      <c r="DQ291" s="56">
        <f>$BD291-$BD292</f>
        <v/>
      </c>
      <c r="DR291" s="56">
        <f>$BE291-$BE292</f>
        <v/>
      </c>
      <c r="DS291" s="56">
        <f>$BF291-$BF292</f>
        <v/>
      </c>
      <c r="DT291" s="56">
        <f>$BG291-$BG292</f>
        <v/>
      </c>
      <c r="DU291" s="56">
        <f>$BH291-$BH292</f>
        <v/>
      </c>
      <c r="DV291" s="56">
        <f>$BI291-$BI292</f>
        <v/>
      </c>
      <c r="DW291" s="56">
        <f>$BJ291-$BJ292</f>
        <v/>
      </c>
      <c r="DX291" s="56">
        <f>$BK291-$BK292</f>
        <v/>
      </c>
      <c r="DY291" s="56">
        <f>$BL291-$BL292</f>
        <v/>
      </c>
      <c r="DZ291" s="56">
        <f>$BM291-$BM292</f>
        <v/>
      </c>
      <c r="EA291" s="56">
        <f>$BN291-$BN292</f>
        <v/>
      </c>
      <c r="EB291" s="56">
        <f>$BO291-$BO292</f>
        <v/>
      </c>
      <c r="EC291" s="56">
        <f>$BP291-$BP292</f>
        <v/>
      </c>
      <c r="ED291" s="56">
        <f>$BQ291-$BQ292</f>
        <v/>
      </c>
      <c r="EE291" s="56">
        <f>$BR291-$BR292</f>
        <v/>
      </c>
      <c r="EF291" s="56">
        <f>$BS291-$BS292</f>
        <v/>
      </c>
      <c r="EG291" s="56">
        <f>$BT291-$BT292</f>
        <v/>
      </c>
      <c r="EH291" s="56">
        <f>$BU291-$BU292</f>
        <v/>
      </c>
    </row>
    <row r="292">
      <c r="BV292" s="56">
        <f>($D292-$D293)*100</f>
        <v/>
      </c>
      <c r="BW292" s="56">
        <f>($C292-$C293)*100</f>
        <v/>
      </c>
      <c r="BX292" s="57">
        <f>IFERROR($I292/$I293-1,"")</f>
        <v/>
      </c>
      <c r="BY292" s="56">
        <f>($AF292-$AF293)*100</f>
        <v/>
      </c>
      <c r="BZ292" s="56">
        <f>($AG292-$AG293)*100</f>
        <v/>
      </c>
      <c r="CA292" s="56">
        <f>($AH292-$AH293)*100</f>
        <v/>
      </c>
      <c r="CB292" s="56">
        <f>($AI292-$AI293)*100</f>
        <v/>
      </c>
      <c r="CC292" s="56">
        <f>($AJ292-$AJ293)*100</f>
        <v/>
      </c>
      <c r="CD292" s="56">
        <f>($AK292-$AK293)*100</f>
        <v/>
      </c>
      <c r="CE292" s="56">
        <f>($AL292-$AL293)*100</f>
        <v/>
      </c>
      <c r="CF292" s="56">
        <f>($AM292-$AM293)*100</f>
        <v/>
      </c>
      <c r="CG292" s="56">
        <f>($AN292-$AN293)*100</f>
        <v/>
      </c>
      <c r="CH292" s="56">
        <f>($AO292-$AO293)*100</f>
        <v/>
      </c>
      <c r="CI292" s="56">
        <f>($AP292-$AP293)*100</f>
        <v/>
      </c>
      <c r="CJ292" s="56">
        <f>($AQ292-$AQ293)*100</f>
        <v/>
      </c>
      <c r="CK292" s="56">
        <f>($AR292-$AR293)*100</f>
        <v/>
      </c>
      <c r="CL292" s="56">
        <f>($AS292-$AS293)*100</f>
        <v/>
      </c>
      <c r="CM292" s="56">
        <f>($AT292-$AT293)*100</f>
        <v/>
      </c>
      <c r="CN292" s="56">
        <f>($AU292-$AU293)*100</f>
        <v/>
      </c>
      <c r="CO292" s="56">
        <f>($AV292-$AV293)*100</f>
        <v/>
      </c>
      <c r="CP292" s="56">
        <f>($AW292-$AW293)*100</f>
        <v/>
      </c>
      <c r="CQ292" s="56">
        <f>($AX292-$AX293)*100</f>
        <v/>
      </c>
      <c r="CR292" s="56">
        <f>($AY292-$AY293)*100</f>
        <v/>
      </c>
      <c r="CS292" s="57">
        <f>IFERROR($L293/$L292-1,"")</f>
        <v/>
      </c>
      <c r="CT292" s="57">
        <f>IFERROR($M293/$M292-1,"")</f>
        <v/>
      </c>
      <c r="CU292" s="57">
        <f>IFERROR($N293/$N292-1,"")</f>
        <v/>
      </c>
      <c r="CV292" s="57">
        <f>IFERROR($O293/$O292-1,"")</f>
        <v/>
      </c>
      <c r="CW292" s="57">
        <f>IFERROR($P293/$P292-1,"")</f>
        <v/>
      </c>
      <c r="CX292" s="57">
        <f>IFERROR($Q293/$Q292-1,"")</f>
        <v/>
      </c>
      <c r="CY292" s="57">
        <f>IFERROR($R293/$R292-1,"")</f>
        <v/>
      </c>
      <c r="CZ292" s="57">
        <f>IFERROR($S293/$S292-1,"")</f>
        <v/>
      </c>
      <c r="DA292" s="57">
        <f>IFERROR($T293/$T292-1,"")</f>
        <v/>
      </c>
      <c r="DB292" s="57">
        <f>IFERROR($U293/$U292-1,"")</f>
        <v/>
      </c>
      <c r="DC292" s="57">
        <f>IFERROR($V293/$V292-1,"")</f>
        <v/>
      </c>
      <c r="DD292" s="57">
        <f>IFERROR($W293/$W292-1,"")</f>
        <v/>
      </c>
      <c r="DE292" s="57">
        <f>IFERROR($X293/$X292-1,"")</f>
        <v/>
      </c>
      <c r="DF292" s="57">
        <f>IFERROR($Y293/$Y292-1,"")</f>
        <v/>
      </c>
      <c r="DG292" s="57">
        <f>IFERROR($Z293/$Z292-1,"")</f>
        <v/>
      </c>
      <c r="DH292" s="57">
        <f>IFERROR($AA293/$AA292-1,"")</f>
        <v/>
      </c>
      <c r="DI292" s="57">
        <f>IFERROR($AB293/$AB292-1,"")</f>
        <v/>
      </c>
      <c r="DJ292" s="57">
        <f>IFERROR($AC293/$AC292-1,"")</f>
        <v/>
      </c>
      <c r="DK292" s="57">
        <f>IFERROR($AD293/$AD292-1,"")</f>
        <v/>
      </c>
      <c r="DL292" s="57">
        <f>IFERROR($AE293/$AE292-1,"")</f>
        <v/>
      </c>
      <c r="DM292" s="56">
        <f>$AZ292-$AZ293</f>
        <v/>
      </c>
      <c r="DN292" s="56">
        <f>$BA292-$BA293</f>
        <v/>
      </c>
      <c r="DO292" s="56">
        <f>$BB292-$BB293</f>
        <v/>
      </c>
      <c r="DP292" s="56">
        <f>$BC292-$BC293</f>
        <v/>
      </c>
      <c r="DQ292" s="56">
        <f>$BD292-$BD293</f>
        <v/>
      </c>
      <c r="DR292" s="56">
        <f>$BE292-$BE293</f>
        <v/>
      </c>
      <c r="DS292" s="56">
        <f>$BF292-$BF293</f>
        <v/>
      </c>
      <c r="DT292" s="56">
        <f>$BG292-$BG293</f>
        <v/>
      </c>
      <c r="DU292" s="56">
        <f>$BH292-$BH293</f>
        <v/>
      </c>
      <c r="DV292" s="56">
        <f>$BI292-$BI293</f>
        <v/>
      </c>
      <c r="DW292" s="56">
        <f>$BJ292-$BJ293</f>
        <v/>
      </c>
      <c r="DX292" s="56">
        <f>$BK292-$BK293</f>
        <v/>
      </c>
      <c r="DY292" s="56">
        <f>$BL292-$BL293</f>
        <v/>
      </c>
      <c r="DZ292" s="56">
        <f>$BM292-$BM293</f>
        <v/>
      </c>
      <c r="EA292" s="56">
        <f>$BN292-$BN293</f>
        <v/>
      </c>
      <c r="EB292" s="56">
        <f>$BO292-$BO293</f>
        <v/>
      </c>
      <c r="EC292" s="56">
        <f>$BP292-$BP293</f>
        <v/>
      </c>
      <c r="ED292" s="56">
        <f>$BQ292-$BQ293</f>
        <v/>
      </c>
      <c r="EE292" s="56">
        <f>$BR292-$BR293</f>
        <v/>
      </c>
      <c r="EF292" s="56">
        <f>$BS292-$BS293</f>
        <v/>
      </c>
      <c r="EG292" s="56">
        <f>$BT292-$BT293</f>
        <v/>
      </c>
      <c r="EH292" s="56">
        <f>$BU292-$BU293</f>
        <v/>
      </c>
    </row>
    <row r="293">
      <c r="BV293" s="56">
        <f>($D293-$D294)*100</f>
        <v/>
      </c>
      <c r="BW293" s="56">
        <f>($C293-$C294)*100</f>
        <v/>
      </c>
      <c r="BX293" s="57">
        <f>IFERROR($I293/$I294-1,"")</f>
        <v/>
      </c>
      <c r="BY293" s="56">
        <f>($AF293-$AF294)*100</f>
        <v/>
      </c>
      <c r="BZ293" s="56">
        <f>($AG293-$AG294)*100</f>
        <v/>
      </c>
      <c r="CA293" s="56">
        <f>($AH293-$AH294)*100</f>
        <v/>
      </c>
      <c r="CB293" s="56">
        <f>($AI293-$AI294)*100</f>
        <v/>
      </c>
      <c r="CC293" s="56">
        <f>($AJ293-$AJ294)*100</f>
        <v/>
      </c>
      <c r="CD293" s="56">
        <f>($AK293-$AK294)*100</f>
        <v/>
      </c>
      <c r="CE293" s="56">
        <f>($AL293-$AL294)*100</f>
        <v/>
      </c>
      <c r="CF293" s="56">
        <f>($AM293-$AM294)*100</f>
        <v/>
      </c>
      <c r="CG293" s="56">
        <f>($AN293-$AN294)*100</f>
        <v/>
      </c>
      <c r="CH293" s="56">
        <f>($AO293-$AO294)*100</f>
        <v/>
      </c>
      <c r="CI293" s="56">
        <f>($AP293-$AP294)*100</f>
        <v/>
      </c>
      <c r="CJ293" s="56">
        <f>($AQ293-$AQ294)*100</f>
        <v/>
      </c>
      <c r="CK293" s="56">
        <f>($AR293-$AR294)*100</f>
        <v/>
      </c>
      <c r="CL293" s="56">
        <f>($AS293-$AS294)*100</f>
        <v/>
      </c>
      <c r="CM293" s="56">
        <f>($AT293-$AT294)*100</f>
        <v/>
      </c>
      <c r="CN293" s="56">
        <f>($AU293-$AU294)*100</f>
        <v/>
      </c>
      <c r="CO293" s="56">
        <f>($AV293-$AV294)*100</f>
        <v/>
      </c>
      <c r="CP293" s="56">
        <f>($AW293-$AW294)*100</f>
        <v/>
      </c>
      <c r="CQ293" s="56">
        <f>($AX293-$AX294)*100</f>
        <v/>
      </c>
      <c r="CR293" s="56">
        <f>($AY293-$AY294)*100</f>
        <v/>
      </c>
      <c r="CS293" s="57">
        <f>IFERROR($L294/$L293-1,"")</f>
        <v/>
      </c>
      <c r="CT293" s="57">
        <f>IFERROR($M294/$M293-1,"")</f>
        <v/>
      </c>
      <c r="CU293" s="57">
        <f>IFERROR($N294/$N293-1,"")</f>
        <v/>
      </c>
      <c r="CV293" s="57">
        <f>IFERROR($O294/$O293-1,"")</f>
        <v/>
      </c>
      <c r="CW293" s="57">
        <f>IFERROR($P294/$P293-1,"")</f>
        <v/>
      </c>
      <c r="CX293" s="57">
        <f>IFERROR($Q294/$Q293-1,"")</f>
        <v/>
      </c>
      <c r="CY293" s="57">
        <f>IFERROR($R294/$R293-1,"")</f>
        <v/>
      </c>
      <c r="CZ293" s="57">
        <f>IFERROR($S294/$S293-1,"")</f>
        <v/>
      </c>
      <c r="DA293" s="57">
        <f>IFERROR($T294/$T293-1,"")</f>
        <v/>
      </c>
      <c r="DB293" s="57">
        <f>IFERROR($U294/$U293-1,"")</f>
        <v/>
      </c>
      <c r="DC293" s="57">
        <f>IFERROR($V294/$V293-1,"")</f>
        <v/>
      </c>
      <c r="DD293" s="57">
        <f>IFERROR($W294/$W293-1,"")</f>
        <v/>
      </c>
      <c r="DE293" s="57">
        <f>IFERROR($X294/$X293-1,"")</f>
        <v/>
      </c>
      <c r="DF293" s="57">
        <f>IFERROR($Y294/$Y293-1,"")</f>
        <v/>
      </c>
      <c r="DG293" s="57">
        <f>IFERROR($Z294/$Z293-1,"")</f>
        <v/>
      </c>
      <c r="DH293" s="57">
        <f>IFERROR($AA294/$AA293-1,"")</f>
        <v/>
      </c>
      <c r="DI293" s="57">
        <f>IFERROR($AB294/$AB293-1,"")</f>
        <v/>
      </c>
      <c r="DJ293" s="57">
        <f>IFERROR($AC294/$AC293-1,"")</f>
        <v/>
      </c>
      <c r="DK293" s="57">
        <f>IFERROR($AD294/$AD293-1,"")</f>
        <v/>
      </c>
      <c r="DL293" s="57">
        <f>IFERROR($AE294/$AE293-1,"")</f>
        <v/>
      </c>
      <c r="DM293" s="56">
        <f>$AZ293-$AZ294</f>
        <v/>
      </c>
      <c r="DN293" s="56">
        <f>$BA293-$BA294</f>
        <v/>
      </c>
      <c r="DO293" s="56">
        <f>$BB293-$BB294</f>
        <v/>
      </c>
      <c r="DP293" s="56">
        <f>$BC293-$BC294</f>
        <v/>
      </c>
      <c r="DQ293" s="56">
        <f>$BD293-$BD294</f>
        <v/>
      </c>
      <c r="DR293" s="56">
        <f>$BE293-$BE294</f>
        <v/>
      </c>
      <c r="DS293" s="56">
        <f>$BF293-$BF294</f>
        <v/>
      </c>
      <c r="DT293" s="56">
        <f>$BG293-$BG294</f>
        <v/>
      </c>
      <c r="DU293" s="56">
        <f>$BH293-$BH294</f>
        <v/>
      </c>
      <c r="DV293" s="56">
        <f>$BI293-$BI294</f>
        <v/>
      </c>
      <c r="DW293" s="56">
        <f>$BJ293-$BJ294</f>
        <v/>
      </c>
      <c r="DX293" s="56">
        <f>$BK293-$BK294</f>
        <v/>
      </c>
      <c r="DY293" s="56">
        <f>$BL293-$BL294</f>
        <v/>
      </c>
      <c r="DZ293" s="56">
        <f>$BM293-$BM294</f>
        <v/>
      </c>
      <c r="EA293" s="56">
        <f>$BN293-$BN294</f>
        <v/>
      </c>
      <c r="EB293" s="56">
        <f>$BO293-$BO294</f>
        <v/>
      </c>
      <c r="EC293" s="56">
        <f>$BP293-$BP294</f>
        <v/>
      </c>
      <c r="ED293" s="56">
        <f>$BQ293-$BQ294</f>
        <v/>
      </c>
      <c r="EE293" s="56">
        <f>$BR293-$BR294</f>
        <v/>
      </c>
      <c r="EF293" s="56">
        <f>$BS293-$BS294</f>
        <v/>
      </c>
      <c r="EG293" s="56">
        <f>$BT293-$BT294</f>
        <v/>
      </c>
      <c r="EH293" s="56">
        <f>$BU293-$BU294</f>
        <v/>
      </c>
    </row>
    <row r="294">
      <c r="BV294" s="56">
        <f>($D294-$D295)*100</f>
        <v/>
      </c>
      <c r="BW294" s="56">
        <f>($C294-$C295)*100</f>
        <v/>
      </c>
      <c r="BX294" s="57">
        <f>IFERROR($I294/$I295-1,"")</f>
        <v/>
      </c>
      <c r="BY294" s="56">
        <f>($AF294-$AF295)*100</f>
        <v/>
      </c>
      <c r="BZ294" s="56">
        <f>($AG294-$AG295)*100</f>
        <v/>
      </c>
      <c r="CA294" s="56">
        <f>($AH294-$AH295)*100</f>
        <v/>
      </c>
      <c r="CB294" s="56">
        <f>($AI294-$AI295)*100</f>
        <v/>
      </c>
      <c r="CC294" s="56">
        <f>($AJ294-$AJ295)*100</f>
        <v/>
      </c>
      <c r="CD294" s="56">
        <f>($AK294-$AK295)*100</f>
        <v/>
      </c>
      <c r="CE294" s="56">
        <f>($AL294-$AL295)*100</f>
        <v/>
      </c>
      <c r="CF294" s="56">
        <f>($AM294-$AM295)*100</f>
        <v/>
      </c>
      <c r="CG294" s="56">
        <f>($AN294-$AN295)*100</f>
        <v/>
      </c>
      <c r="CH294" s="56">
        <f>($AO294-$AO295)*100</f>
        <v/>
      </c>
      <c r="CI294" s="56">
        <f>($AP294-$AP295)*100</f>
        <v/>
      </c>
      <c r="CJ294" s="56">
        <f>($AQ294-$AQ295)*100</f>
        <v/>
      </c>
      <c r="CK294" s="56">
        <f>($AR294-$AR295)*100</f>
        <v/>
      </c>
      <c r="CL294" s="56">
        <f>($AS294-$AS295)*100</f>
        <v/>
      </c>
      <c r="CM294" s="56">
        <f>($AT294-$AT295)*100</f>
        <v/>
      </c>
      <c r="CN294" s="56">
        <f>($AU294-$AU295)*100</f>
        <v/>
      </c>
      <c r="CO294" s="56">
        <f>($AV294-$AV295)*100</f>
        <v/>
      </c>
      <c r="CP294" s="56">
        <f>($AW294-$AW295)*100</f>
        <v/>
      </c>
      <c r="CQ294" s="56">
        <f>($AX294-$AX295)*100</f>
        <v/>
      </c>
      <c r="CR294" s="56">
        <f>($AY294-$AY295)*100</f>
        <v/>
      </c>
      <c r="CS294" s="57">
        <f>IFERROR($L295/$L294-1,"")</f>
        <v/>
      </c>
      <c r="CT294" s="57">
        <f>IFERROR($M295/$M294-1,"")</f>
        <v/>
      </c>
      <c r="CU294" s="57">
        <f>IFERROR($N295/$N294-1,"")</f>
        <v/>
      </c>
      <c r="CV294" s="57">
        <f>IFERROR($O295/$O294-1,"")</f>
        <v/>
      </c>
      <c r="CW294" s="57">
        <f>IFERROR($P295/$P294-1,"")</f>
        <v/>
      </c>
      <c r="CX294" s="57">
        <f>IFERROR($Q295/$Q294-1,"")</f>
        <v/>
      </c>
      <c r="CY294" s="57">
        <f>IFERROR($R295/$R294-1,"")</f>
        <v/>
      </c>
      <c r="CZ294" s="57">
        <f>IFERROR($S295/$S294-1,"")</f>
        <v/>
      </c>
      <c r="DA294" s="57">
        <f>IFERROR($T295/$T294-1,"")</f>
        <v/>
      </c>
      <c r="DB294" s="57">
        <f>IFERROR($U295/$U294-1,"")</f>
        <v/>
      </c>
      <c r="DC294" s="57">
        <f>IFERROR($V295/$V294-1,"")</f>
        <v/>
      </c>
      <c r="DD294" s="57">
        <f>IFERROR($W295/$W294-1,"")</f>
        <v/>
      </c>
      <c r="DE294" s="57">
        <f>IFERROR($X295/$X294-1,"")</f>
        <v/>
      </c>
      <c r="DF294" s="57">
        <f>IFERROR($Y295/$Y294-1,"")</f>
        <v/>
      </c>
      <c r="DG294" s="57">
        <f>IFERROR($Z295/$Z294-1,"")</f>
        <v/>
      </c>
      <c r="DH294" s="57">
        <f>IFERROR($AA295/$AA294-1,"")</f>
        <v/>
      </c>
      <c r="DI294" s="57">
        <f>IFERROR($AB295/$AB294-1,"")</f>
        <v/>
      </c>
      <c r="DJ294" s="57">
        <f>IFERROR($AC295/$AC294-1,"")</f>
        <v/>
      </c>
      <c r="DK294" s="57">
        <f>IFERROR($AD295/$AD294-1,"")</f>
        <v/>
      </c>
      <c r="DL294" s="57">
        <f>IFERROR($AE295/$AE294-1,"")</f>
        <v/>
      </c>
      <c r="DM294" s="56">
        <f>$AZ294-$AZ295</f>
        <v/>
      </c>
      <c r="DN294" s="56">
        <f>$BA294-$BA295</f>
        <v/>
      </c>
      <c r="DO294" s="56">
        <f>$BB294-$BB295</f>
        <v/>
      </c>
      <c r="DP294" s="56">
        <f>$BC294-$BC295</f>
        <v/>
      </c>
      <c r="DQ294" s="56">
        <f>$BD294-$BD295</f>
        <v/>
      </c>
      <c r="DR294" s="56">
        <f>$BE294-$BE295</f>
        <v/>
      </c>
      <c r="DS294" s="56">
        <f>$BF294-$BF295</f>
        <v/>
      </c>
      <c r="DT294" s="56">
        <f>$BG294-$BG295</f>
        <v/>
      </c>
      <c r="DU294" s="56">
        <f>$BH294-$BH295</f>
        <v/>
      </c>
      <c r="DV294" s="56">
        <f>$BI294-$BI295</f>
        <v/>
      </c>
      <c r="DW294" s="56">
        <f>$BJ294-$BJ295</f>
        <v/>
      </c>
      <c r="DX294" s="56">
        <f>$BK294-$BK295</f>
        <v/>
      </c>
      <c r="DY294" s="56">
        <f>$BL294-$BL295</f>
        <v/>
      </c>
      <c r="DZ294" s="56">
        <f>$BM294-$BM295</f>
        <v/>
      </c>
      <c r="EA294" s="56">
        <f>$BN294-$BN295</f>
        <v/>
      </c>
      <c r="EB294" s="56">
        <f>$BO294-$BO295</f>
        <v/>
      </c>
      <c r="EC294" s="56">
        <f>$BP294-$BP295</f>
        <v/>
      </c>
      <c r="ED294" s="56">
        <f>$BQ294-$BQ295</f>
        <v/>
      </c>
      <c r="EE294" s="56">
        <f>$BR294-$BR295</f>
        <v/>
      </c>
      <c r="EF294" s="56">
        <f>$BS294-$BS295</f>
        <v/>
      </c>
      <c r="EG294" s="56">
        <f>$BT294-$BT295</f>
        <v/>
      </c>
      <c r="EH294" s="56">
        <f>$BU294-$BU295</f>
        <v/>
      </c>
    </row>
    <row r="295">
      <c r="BV295" s="56">
        <f>($D295-$D296)*100</f>
        <v/>
      </c>
      <c r="BW295" s="56">
        <f>($C295-$C296)*100</f>
        <v/>
      </c>
      <c r="BX295" s="57">
        <f>IFERROR($I295/$I296-1,"")</f>
        <v/>
      </c>
      <c r="BY295" s="56">
        <f>($AF295-$AF296)*100</f>
        <v/>
      </c>
      <c r="BZ295" s="56">
        <f>($AG295-$AG296)*100</f>
        <v/>
      </c>
      <c r="CA295" s="56">
        <f>($AH295-$AH296)*100</f>
        <v/>
      </c>
      <c r="CB295" s="56">
        <f>($AI295-$AI296)*100</f>
        <v/>
      </c>
      <c r="CC295" s="56">
        <f>($AJ295-$AJ296)*100</f>
        <v/>
      </c>
      <c r="CD295" s="56">
        <f>($AK295-$AK296)*100</f>
        <v/>
      </c>
      <c r="CE295" s="56">
        <f>($AL295-$AL296)*100</f>
        <v/>
      </c>
      <c r="CF295" s="56">
        <f>($AM295-$AM296)*100</f>
        <v/>
      </c>
      <c r="CG295" s="56">
        <f>($AN295-$AN296)*100</f>
        <v/>
      </c>
      <c r="CH295" s="56">
        <f>($AO295-$AO296)*100</f>
        <v/>
      </c>
      <c r="CI295" s="56">
        <f>($AP295-$AP296)*100</f>
        <v/>
      </c>
      <c r="CJ295" s="56">
        <f>($AQ295-$AQ296)*100</f>
        <v/>
      </c>
      <c r="CK295" s="56">
        <f>($AR295-$AR296)*100</f>
        <v/>
      </c>
      <c r="CL295" s="56">
        <f>($AS295-$AS296)*100</f>
        <v/>
      </c>
      <c r="CM295" s="56">
        <f>($AT295-$AT296)*100</f>
        <v/>
      </c>
      <c r="CN295" s="56">
        <f>($AU295-$AU296)*100</f>
        <v/>
      </c>
      <c r="CO295" s="56">
        <f>($AV295-$AV296)*100</f>
        <v/>
      </c>
      <c r="CP295" s="56">
        <f>($AW295-$AW296)*100</f>
        <v/>
      </c>
      <c r="CQ295" s="56">
        <f>($AX295-$AX296)*100</f>
        <v/>
      </c>
      <c r="CR295" s="56">
        <f>($AY295-$AY296)*100</f>
        <v/>
      </c>
      <c r="CS295" s="57">
        <f>IFERROR($L296/$L295-1,"")</f>
        <v/>
      </c>
      <c r="CT295" s="57">
        <f>IFERROR($M296/$M295-1,"")</f>
        <v/>
      </c>
      <c r="CU295" s="57">
        <f>IFERROR($N296/$N295-1,"")</f>
        <v/>
      </c>
      <c r="CV295" s="57">
        <f>IFERROR($O296/$O295-1,"")</f>
        <v/>
      </c>
      <c r="CW295" s="57">
        <f>IFERROR($P296/$P295-1,"")</f>
        <v/>
      </c>
      <c r="CX295" s="57">
        <f>IFERROR($Q296/$Q295-1,"")</f>
        <v/>
      </c>
      <c r="CY295" s="57">
        <f>IFERROR($R296/$R295-1,"")</f>
        <v/>
      </c>
      <c r="CZ295" s="57">
        <f>IFERROR($S296/$S295-1,"")</f>
        <v/>
      </c>
      <c r="DA295" s="57">
        <f>IFERROR($T296/$T295-1,"")</f>
        <v/>
      </c>
      <c r="DB295" s="57">
        <f>IFERROR($U296/$U295-1,"")</f>
        <v/>
      </c>
      <c r="DC295" s="57">
        <f>IFERROR($V296/$V295-1,"")</f>
        <v/>
      </c>
      <c r="DD295" s="57">
        <f>IFERROR($W296/$W295-1,"")</f>
        <v/>
      </c>
      <c r="DE295" s="57">
        <f>IFERROR($X296/$X295-1,"")</f>
        <v/>
      </c>
      <c r="DF295" s="57">
        <f>IFERROR($Y296/$Y295-1,"")</f>
        <v/>
      </c>
      <c r="DG295" s="57">
        <f>IFERROR($Z296/$Z295-1,"")</f>
        <v/>
      </c>
      <c r="DH295" s="57">
        <f>IFERROR($AA296/$AA295-1,"")</f>
        <v/>
      </c>
      <c r="DI295" s="57">
        <f>IFERROR($AB296/$AB295-1,"")</f>
        <v/>
      </c>
      <c r="DJ295" s="57">
        <f>IFERROR($AC296/$AC295-1,"")</f>
        <v/>
      </c>
      <c r="DK295" s="57">
        <f>IFERROR($AD296/$AD295-1,"")</f>
        <v/>
      </c>
      <c r="DL295" s="57">
        <f>IFERROR($AE296/$AE295-1,"")</f>
        <v/>
      </c>
      <c r="DM295" s="56">
        <f>$AZ295-$AZ296</f>
        <v/>
      </c>
      <c r="DN295" s="56">
        <f>$BA295-$BA296</f>
        <v/>
      </c>
      <c r="DO295" s="56">
        <f>$BB295-$BB296</f>
        <v/>
      </c>
      <c r="DP295" s="56">
        <f>$BC295-$BC296</f>
        <v/>
      </c>
      <c r="DQ295" s="56">
        <f>$BD295-$BD296</f>
        <v/>
      </c>
      <c r="DR295" s="56">
        <f>$BE295-$BE296</f>
        <v/>
      </c>
      <c r="DS295" s="56">
        <f>$BF295-$BF296</f>
        <v/>
      </c>
      <c r="DT295" s="56">
        <f>$BG295-$BG296</f>
        <v/>
      </c>
      <c r="DU295" s="56">
        <f>$BH295-$BH296</f>
        <v/>
      </c>
      <c r="DV295" s="56">
        <f>$BI295-$BI296</f>
        <v/>
      </c>
      <c r="DW295" s="56">
        <f>$BJ295-$BJ296</f>
        <v/>
      </c>
      <c r="DX295" s="56">
        <f>$BK295-$BK296</f>
        <v/>
      </c>
      <c r="DY295" s="56">
        <f>$BL295-$BL296</f>
        <v/>
      </c>
      <c r="DZ295" s="56">
        <f>$BM295-$BM296</f>
        <v/>
      </c>
      <c r="EA295" s="56">
        <f>$BN295-$BN296</f>
        <v/>
      </c>
      <c r="EB295" s="56">
        <f>$BO295-$BO296</f>
        <v/>
      </c>
      <c r="EC295" s="56">
        <f>$BP295-$BP296</f>
        <v/>
      </c>
      <c r="ED295" s="56">
        <f>$BQ295-$BQ296</f>
        <v/>
      </c>
      <c r="EE295" s="56">
        <f>$BR295-$BR296</f>
        <v/>
      </c>
      <c r="EF295" s="56">
        <f>$BS295-$BS296</f>
        <v/>
      </c>
      <c r="EG295" s="56">
        <f>$BT295-$BT296</f>
        <v/>
      </c>
      <c r="EH295" s="56">
        <f>$BU295-$BU296</f>
        <v/>
      </c>
    </row>
    <row r="296">
      <c r="BV296" s="56">
        <f>($D296-$D297)*100</f>
        <v/>
      </c>
      <c r="BW296" s="56">
        <f>($C296-$C297)*100</f>
        <v/>
      </c>
      <c r="BX296" s="57">
        <f>IFERROR($I296/$I297-1,"")</f>
        <v/>
      </c>
      <c r="BY296" s="56">
        <f>($AF296-$AF297)*100</f>
        <v/>
      </c>
      <c r="BZ296" s="56">
        <f>($AG296-$AG297)*100</f>
        <v/>
      </c>
      <c r="CA296" s="56">
        <f>($AH296-$AH297)*100</f>
        <v/>
      </c>
      <c r="CB296" s="56">
        <f>($AI296-$AI297)*100</f>
        <v/>
      </c>
      <c r="CC296" s="56">
        <f>($AJ296-$AJ297)*100</f>
        <v/>
      </c>
      <c r="CD296" s="56">
        <f>($AK296-$AK297)*100</f>
        <v/>
      </c>
      <c r="CE296" s="56">
        <f>($AL296-$AL297)*100</f>
        <v/>
      </c>
      <c r="CF296" s="56">
        <f>($AM296-$AM297)*100</f>
        <v/>
      </c>
      <c r="CG296" s="56">
        <f>($AN296-$AN297)*100</f>
        <v/>
      </c>
      <c r="CH296" s="56">
        <f>($AO296-$AO297)*100</f>
        <v/>
      </c>
      <c r="CI296" s="56">
        <f>($AP296-$AP297)*100</f>
        <v/>
      </c>
      <c r="CJ296" s="56">
        <f>($AQ296-$AQ297)*100</f>
        <v/>
      </c>
      <c r="CK296" s="56">
        <f>($AR296-$AR297)*100</f>
        <v/>
      </c>
      <c r="CL296" s="56">
        <f>($AS296-$AS297)*100</f>
        <v/>
      </c>
      <c r="CM296" s="56">
        <f>($AT296-$AT297)*100</f>
        <v/>
      </c>
      <c r="CN296" s="56">
        <f>($AU296-$AU297)*100</f>
        <v/>
      </c>
      <c r="CO296" s="56">
        <f>($AV296-$AV297)*100</f>
        <v/>
      </c>
      <c r="CP296" s="56">
        <f>($AW296-$AW297)*100</f>
        <v/>
      </c>
      <c r="CQ296" s="56">
        <f>($AX296-$AX297)*100</f>
        <v/>
      </c>
      <c r="CR296" s="56">
        <f>($AY296-$AY297)*100</f>
        <v/>
      </c>
      <c r="CS296" s="57">
        <f>IFERROR($L297/$L296-1,"")</f>
        <v/>
      </c>
      <c r="CT296" s="57">
        <f>IFERROR($M297/$M296-1,"")</f>
        <v/>
      </c>
      <c r="CU296" s="57">
        <f>IFERROR($N297/$N296-1,"")</f>
        <v/>
      </c>
      <c r="CV296" s="57">
        <f>IFERROR($O297/$O296-1,"")</f>
        <v/>
      </c>
      <c r="CW296" s="57">
        <f>IFERROR($P297/$P296-1,"")</f>
        <v/>
      </c>
      <c r="CX296" s="57">
        <f>IFERROR($Q297/$Q296-1,"")</f>
        <v/>
      </c>
      <c r="CY296" s="57">
        <f>IFERROR($R297/$R296-1,"")</f>
        <v/>
      </c>
      <c r="CZ296" s="57">
        <f>IFERROR($S297/$S296-1,"")</f>
        <v/>
      </c>
      <c r="DA296" s="57">
        <f>IFERROR($T297/$T296-1,"")</f>
        <v/>
      </c>
      <c r="DB296" s="57">
        <f>IFERROR($U297/$U296-1,"")</f>
        <v/>
      </c>
      <c r="DC296" s="57">
        <f>IFERROR($V297/$V296-1,"")</f>
        <v/>
      </c>
      <c r="DD296" s="57">
        <f>IFERROR($W297/$W296-1,"")</f>
        <v/>
      </c>
      <c r="DE296" s="57">
        <f>IFERROR($X297/$X296-1,"")</f>
        <v/>
      </c>
      <c r="DF296" s="57">
        <f>IFERROR($Y297/$Y296-1,"")</f>
        <v/>
      </c>
      <c r="DG296" s="57">
        <f>IFERROR($Z297/$Z296-1,"")</f>
        <v/>
      </c>
      <c r="DH296" s="57">
        <f>IFERROR($AA297/$AA296-1,"")</f>
        <v/>
      </c>
      <c r="DI296" s="57">
        <f>IFERROR($AB297/$AB296-1,"")</f>
        <v/>
      </c>
      <c r="DJ296" s="57">
        <f>IFERROR($AC297/$AC296-1,"")</f>
        <v/>
      </c>
      <c r="DK296" s="57">
        <f>IFERROR($AD297/$AD296-1,"")</f>
        <v/>
      </c>
      <c r="DL296" s="57">
        <f>IFERROR($AE297/$AE296-1,"")</f>
        <v/>
      </c>
      <c r="DM296" s="56">
        <f>$AZ296-$AZ297</f>
        <v/>
      </c>
      <c r="DN296" s="56">
        <f>$BA296-$BA297</f>
        <v/>
      </c>
      <c r="DO296" s="56">
        <f>$BB296-$BB297</f>
        <v/>
      </c>
      <c r="DP296" s="56">
        <f>$BC296-$BC297</f>
        <v/>
      </c>
      <c r="DQ296" s="56">
        <f>$BD296-$BD297</f>
        <v/>
      </c>
      <c r="DR296" s="56">
        <f>$BE296-$BE297</f>
        <v/>
      </c>
      <c r="DS296" s="56">
        <f>$BF296-$BF297</f>
        <v/>
      </c>
      <c r="DT296" s="56">
        <f>$BG296-$BG297</f>
        <v/>
      </c>
      <c r="DU296" s="56">
        <f>$BH296-$BH297</f>
        <v/>
      </c>
      <c r="DV296" s="56">
        <f>$BI296-$BI297</f>
        <v/>
      </c>
      <c r="DW296" s="56">
        <f>$BJ296-$BJ297</f>
        <v/>
      </c>
      <c r="DX296" s="56">
        <f>$BK296-$BK297</f>
        <v/>
      </c>
      <c r="DY296" s="56">
        <f>$BL296-$BL297</f>
        <v/>
      </c>
      <c r="DZ296" s="56">
        <f>$BM296-$BM297</f>
        <v/>
      </c>
      <c r="EA296" s="56">
        <f>$BN296-$BN297</f>
        <v/>
      </c>
      <c r="EB296" s="56">
        <f>$BO296-$BO297</f>
        <v/>
      </c>
      <c r="EC296" s="56">
        <f>$BP296-$BP297</f>
        <v/>
      </c>
      <c r="ED296" s="56">
        <f>$BQ296-$BQ297</f>
        <v/>
      </c>
      <c r="EE296" s="56">
        <f>$BR296-$BR297</f>
        <v/>
      </c>
      <c r="EF296" s="56">
        <f>$BS296-$BS297</f>
        <v/>
      </c>
      <c r="EG296" s="56">
        <f>$BT296-$BT297</f>
        <v/>
      </c>
      <c r="EH296" s="56">
        <f>$BU296-$BU297</f>
        <v/>
      </c>
    </row>
    <row r="297">
      <c r="BV297" s="56">
        <f>($D297-$D298)*100</f>
        <v/>
      </c>
      <c r="BW297" s="56">
        <f>($C297-$C298)*100</f>
        <v/>
      </c>
      <c r="BX297" s="57">
        <f>IFERROR($I297/$I298-1,"")</f>
        <v/>
      </c>
      <c r="BY297" s="56">
        <f>($AF297-$AF298)*100</f>
        <v/>
      </c>
      <c r="BZ297" s="56">
        <f>($AG297-$AG298)*100</f>
        <v/>
      </c>
      <c r="CA297" s="56">
        <f>($AH297-$AH298)*100</f>
        <v/>
      </c>
      <c r="CB297" s="56">
        <f>($AI297-$AI298)*100</f>
        <v/>
      </c>
      <c r="CC297" s="56">
        <f>($AJ297-$AJ298)*100</f>
        <v/>
      </c>
      <c r="CD297" s="56">
        <f>($AK297-$AK298)*100</f>
        <v/>
      </c>
      <c r="CE297" s="56">
        <f>($AL297-$AL298)*100</f>
        <v/>
      </c>
      <c r="CF297" s="56">
        <f>($AM297-$AM298)*100</f>
        <v/>
      </c>
      <c r="CG297" s="56">
        <f>($AN297-$AN298)*100</f>
        <v/>
      </c>
      <c r="CH297" s="56">
        <f>($AO297-$AO298)*100</f>
        <v/>
      </c>
      <c r="CI297" s="56">
        <f>($AP297-$AP298)*100</f>
        <v/>
      </c>
      <c r="CJ297" s="56">
        <f>($AQ297-$AQ298)*100</f>
        <v/>
      </c>
      <c r="CK297" s="56">
        <f>($AR297-$AR298)*100</f>
        <v/>
      </c>
      <c r="CL297" s="56">
        <f>($AS297-$AS298)*100</f>
        <v/>
      </c>
      <c r="CM297" s="56">
        <f>($AT297-$AT298)*100</f>
        <v/>
      </c>
      <c r="CN297" s="56">
        <f>($AU297-$AU298)*100</f>
        <v/>
      </c>
      <c r="CO297" s="56">
        <f>($AV297-$AV298)*100</f>
        <v/>
      </c>
      <c r="CP297" s="56">
        <f>($AW297-$AW298)*100</f>
        <v/>
      </c>
      <c r="CQ297" s="56">
        <f>($AX297-$AX298)*100</f>
        <v/>
      </c>
      <c r="CR297" s="56">
        <f>($AY297-$AY298)*100</f>
        <v/>
      </c>
      <c r="CS297" s="57">
        <f>IFERROR($L298/$L297-1,"")</f>
        <v/>
      </c>
      <c r="CT297" s="57">
        <f>IFERROR($M298/$M297-1,"")</f>
        <v/>
      </c>
      <c r="CU297" s="57">
        <f>IFERROR($N298/$N297-1,"")</f>
        <v/>
      </c>
      <c r="CV297" s="57">
        <f>IFERROR($O298/$O297-1,"")</f>
        <v/>
      </c>
      <c r="CW297" s="57">
        <f>IFERROR($P298/$P297-1,"")</f>
        <v/>
      </c>
      <c r="CX297" s="57">
        <f>IFERROR($Q298/$Q297-1,"")</f>
        <v/>
      </c>
      <c r="CY297" s="57">
        <f>IFERROR($R298/$R297-1,"")</f>
        <v/>
      </c>
      <c r="CZ297" s="57">
        <f>IFERROR($S298/$S297-1,"")</f>
        <v/>
      </c>
      <c r="DA297" s="57">
        <f>IFERROR($T298/$T297-1,"")</f>
        <v/>
      </c>
      <c r="DB297" s="57">
        <f>IFERROR($U298/$U297-1,"")</f>
        <v/>
      </c>
      <c r="DC297" s="57">
        <f>IFERROR($V298/$V297-1,"")</f>
        <v/>
      </c>
      <c r="DD297" s="57">
        <f>IFERROR($W298/$W297-1,"")</f>
        <v/>
      </c>
      <c r="DE297" s="57">
        <f>IFERROR($X298/$X297-1,"")</f>
        <v/>
      </c>
      <c r="DF297" s="57">
        <f>IFERROR($Y298/$Y297-1,"")</f>
        <v/>
      </c>
      <c r="DG297" s="57">
        <f>IFERROR($Z298/$Z297-1,"")</f>
        <v/>
      </c>
      <c r="DH297" s="57">
        <f>IFERROR($AA298/$AA297-1,"")</f>
        <v/>
      </c>
      <c r="DI297" s="57">
        <f>IFERROR($AB298/$AB297-1,"")</f>
        <v/>
      </c>
      <c r="DJ297" s="57">
        <f>IFERROR($AC298/$AC297-1,"")</f>
        <v/>
      </c>
      <c r="DK297" s="57">
        <f>IFERROR($AD298/$AD297-1,"")</f>
        <v/>
      </c>
      <c r="DL297" s="57">
        <f>IFERROR($AE298/$AE297-1,"")</f>
        <v/>
      </c>
      <c r="DM297" s="56">
        <f>$AZ297-$AZ298</f>
        <v/>
      </c>
      <c r="DN297" s="56">
        <f>$BA297-$BA298</f>
        <v/>
      </c>
      <c r="DO297" s="56">
        <f>$BB297-$BB298</f>
        <v/>
      </c>
      <c r="DP297" s="56">
        <f>$BC297-$BC298</f>
        <v/>
      </c>
      <c r="DQ297" s="56">
        <f>$BD297-$BD298</f>
        <v/>
      </c>
      <c r="DR297" s="56">
        <f>$BE297-$BE298</f>
        <v/>
      </c>
      <c r="DS297" s="56">
        <f>$BF297-$BF298</f>
        <v/>
      </c>
      <c r="DT297" s="56">
        <f>$BG297-$BG298</f>
        <v/>
      </c>
      <c r="DU297" s="56">
        <f>$BH297-$BH298</f>
        <v/>
      </c>
      <c r="DV297" s="56">
        <f>$BI297-$BI298</f>
        <v/>
      </c>
      <c r="DW297" s="56">
        <f>$BJ297-$BJ298</f>
        <v/>
      </c>
      <c r="DX297" s="56">
        <f>$BK297-$BK298</f>
        <v/>
      </c>
      <c r="DY297" s="56">
        <f>$BL297-$BL298</f>
        <v/>
      </c>
      <c r="DZ297" s="56">
        <f>$BM297-$BM298</f>
        <v/>
      </c>
      <c r="EA297" s="56">
        <f>$BN297-$BN298</f>
        <v/>
      </c>
      <c r="EB297" s="56">
        <f>$BO297-$BO298</f>
        <v/>
      </c>
      <c r="EC297" s="56">
        <f>$BP297-$BP298</f>
        <v/>
      </c>
      <c r="ED297" s="56">
        <f>$BQ297-$BQ298</f>
        <v/>
      </c>
      <c r="EE297" s="56">
        <f>$BR297-$BR298</f>
        <v/>
      </c>
      <c r="EF297" s="56">
        <f>$BS297-$BS298</f>
        <v/>
      </c>
      <c r="EG297" s="56">
        <f>$BT297-$BT298</f>
        <v/>
      </c>
      <c r="EH297" s="56">
        <f>$BU297-$BU298</f>
        <v/>
      </c>
    </row>
    <row r="298">
      <c r="BV298" s="56">
        <f>($D298-$D299)*100</f>
        <v/>
      </c>
      <c r="BW298" s="56">
        <f>($C298-$C299)*100</f>
        <v/>
      </c>
      <c r="BX298" s="57">
        <f>IFERROR($I298/$I299-1,"")</f>
        <v/>
      </c>
      <c r="BY298" s="56">
        <f>($AF298-$AF299)*100</f>
        <v/>
      </c>
      <c r="BZ298" s="56">
        <f>($AG298-$AG299)*100</f>
        <v/>
      </c>
      <c r="CA298" s="56">
        <f>($AH298-$AH299)*100</f>
        <v/>
      </c>
      <c r="CB298" s="56">
        <f>($AI298-$AI299)*100</f>
        <v/>
      </c>
      <c r="CC298" s="56">
        <f>($AJ298-$AJ299)*100</f>
        <v/>
      </c>
      <c r="CD298" s="56">
        <f>($AK298-$AK299)*100</f>
        <v/>
      </c>
      <c r="CE298" s="56">
        <f>($AL298-$AL299)*100</f>
        <v/>
      </c>
      <c r="CF298" s="56">
        <f>($AM298-$AM299)*100</f>
        <v/>
      </c>
      <c r="CG298" s="56">
        <f>($AN298-$AN299)*100</f>
        <v/>
      </c>
      <c r="CH298" s="56">
        <f>($AO298-$AO299)*100</f>
        <v/>
      </c>
      <c r="CI298" s="56">
        <f>($AP298-$AP299)*100</f>
        <v/>
      </c>
      <c r="CJ298" s="56">
        <f>($AQ298-$AQ299)*100</f>
        <v/>
      </c>
      <c r="CK298" s="56">
        <f>($AR298-$AR299)*100</f>
        <v/>
      </c>
      <c r="CL298" s="56">
        <f>($AS298-$AS299)*100</f>
        <v/>
      </c>
      <c r="CM298" s="56">
        <f>($AT298-$AT299)*100</f>
        <v/>
      </c>
      <c r="CN298" s="56">
        <f>($AU298-$AU299)*100</f>
        <v/>
      </c>
      <c r="CO298" s="56">
        <f>($AV298-$AV299)*100</f>
        <v/>
      </c>
      <c r="CP298" s="56">
        <f>($AW298-$AW299)*100</f>
        <v/>
      </c>
      <c r="CQ298" s="56">
        <f>($AX298-$AX299)*100</f>
        <v/>
      </c>
      <c r="CR298" s="56">
        <f>($AY298-$AY299)*100</f>
        <v/>
      </c>
      <c r="CS298" s="57">
        <f>IFERROR($L299/$L298-1,"")</f>
        <v/>
      </c>
      <c r="CT298" s="57">
        <f>IFERROR($M299/$M298-1,"")</f>
        <v/>
      </c>
      <c r="CU298" s="57">
        <f>IFERROR($N299/$N298-1,"")</f>
        <v/>
      </c>
      <c r="CV298" s="57">
        <f>IFERROR($O299/$O298-1,"")</f>
        <v/>
      </c>
      <c r="CW298" s="57">
        <f>IFERROR($P299/$P298-1,"")</f>
        <v/>
      </c>
      <c r="CX298" s="57">
        <f>IFERROR($Q299/$Q298-1,"")</f>
        <v/>
      </c>
      <c r="CY298" s="57">
        <f>IFERROR($R299/$R298-1,"")</f>
        <v/>
      </c>
      <c r="CZ298" s="57">
        <f>IFERROR($S299/$S298-1,"")</f>
        <v/>
      </c>
      <c r="DA298" s="57">
        <f>IFERROR($T299/$T298-1,"")</f>
        <v/>
      </c>
      <c r="DB298" s="57">
        <f>IFERROR($U299/$U298-1,"")</f>
        <v/>
      </c>
      <c r="DC298" s="57">
        <f>IFERROR($V299/$V298-1,"")</f>
        <v/>
      </c>
      <c r="DD298" s="57">
        <f>IFERROR($W299/$W298-1,"")</f>
        <v/>
      </c>
      <c r="DE298" s="57">
        <f>IFERROR($X299/$X298-1,"")</f>
        <v/>
      </c>
      <c r="DF298" s="57">
        <f>IFERROR($Y299/$Y298-1,"")</f>
        <v/>
      </c>
      <c r="DG298" s="57">
        <f>IFERROR($Z299/$Z298-1,"")</f>
        <v/>
      </c>
      <c r="DH298" s="57">
        <f>IFERROR($AA299/$AA298-1,"")</f>
        <v/>
      </c>
      <c r="DI298" s="57">
        <f>IFERROR($AB299/$AB298-1,"")</f>
        <v/>
      </c>
      <c r="DJ298" s="57">
        <f>IFERROR($AC299/$AC298-1,"")</f>
        <v/>
      </c>
      <c r="DK298" s="57">
        <f>IFERROR($AD299/$AD298-1,"")</f>
        <v/>
      </c>
      <c r="DL298" s="57">
        <f>IFERROR($AE299/$AE298-1,"")</f>
        <v/>
      </c>
      <c r="DM298" s="56">
        <f>$AZ298-$AZ299</f>
        <v/>
      </c>
      <c r="DN298" s="56">
        <f>$BA298-$BA299</f>
        <v/>
      </c>
      <c r="DO298" s="56">
        <f>$BB298-$BB299</f>
        <v/>
      </c>
      <c r="DP298" s="56">
        <f>$BC298-$BC299</f>
        <v/>
      </c>
      <c r="DQ298" s="56">
        <f>$BD298-$BD299</f>
        <v/>
      </c>
      <c r="DR298" s="56">
        <f>$BE298-$BE299</f>
        <v/>
      </c>
      <c r="DS298" s="56">
        <f>$BF298-$BF299</f>
        <v/>
      </c>
      <c r="DT298" s="56">
        <f>$BG298-$BG299</f>
        <v/>
      </c>
      <c r="DU298" s="56">
        <f>$BH298-$BH299</f>
        <v/>
      </c>
      <c r="DV298" s="56">
        <f>$BI298-$BI299</f>
        <v/>
      </c>
      <c r="DW298" s="56">
        <f>$BJ298-$BJ299</f>
        <v/>
      </c>
      <c r="DX298" s="56">
        <f>$BK298-$BK299</f>
        <v/>
      </c>
      <c r="DY298" s="56">
        <f>$BL298-$BL299</f>
        <v/>
      </c>
      <c r="DZ298" s="56">
        <f>$BM298-$BM299</f>
        <v/>
      </c>
      <c r="EA298" s="56">
        <f>$BN298-$BN299</f>
        <v/>
      </c>
      <c r="EB298" s="56">
        <f>$BO298-$BO299</f>
        <v/>
      </c>
      <c r="EC298" s="56">
        <f>$BP298-$BP299</f>
        <v/>
      </c>
      <c r="ED298" s="56">
        <f>$BQ298-$BQ299</f>
        <v/>
      </c>
      <c r="EE298" s="56">
        <f>$BR298-$BR299</f>
        <v/>
      </c>
      <c r="EF298" s="56">
        <f>$BS298-$BS299</f>
        <v/>
      </c>
      <c r="EG298" s="56">
        <f>$BT298-$BT299</f>
        <v/>
      </c>
      <c r="EH298" s="56">
        <f>$BU298-$BU299</f>
        <v/>
      </c>
    </row>
    <row r="299">
      <c r="BV299" s="56">
        <f>($D299-$D300)*100</f>
        <v/>
      </c>
      <c r="BW299" s="56">
        <f>($C299-$C300)*100</f>
        <v/>
      </c>
      <c r="BX299" s="57">
        <f>IFERROR($I299/$I300-1,"")</f>
        <v/>
      </c>
      <c r="BY299" s="56">
        <f>($AF299-$AF300)*100</f>
        <v/>
      </c>
      <c r="BZ299" s="56">
        <f>($AG299-$AG300)*100</f>
        <v/>
      </c>
      <c r="CA299" s="56">
        <f>($AH299-$AH300)*100</f>
        <v/>
      </c>
      <c r="CB299" s="56">
        <f>($AI299-$AI300)*100</f>
        <v/>
      </c>
      <c r="CC299" s="56">
        <f>($AJ299-$AJ300)*100</f>
        <v/>
      </c>
      <c r="CD299" s="56">
        <f>($AK299-$AK300)*100</f>
        <v/>
      </c>
      <c r="CE299" s="56">
        <f>($AL299-$AL300)*100</f>
        <v/>
      </c>
      <c r="CF299" s="56">
        <f>($AM299-$AM300)*100</f>
        <v/>
      </c>
      <c r="CG299" s="56">
        <f>($AN299-$AN300)*100</f>
        <v/>
      </c>
      <c r="CH299" s="56">
        <f>($AO299-$AO300)*100</f>
        <v/>
      </c>
      <c r="CI299" s="56">
        <f>($AP299-$AP300)*100</f>
        <v/>
      </c>
      <c r="CJ299" s="56">
        <f>($AQ299-$AQ300)*100</f>
        <v/>
      </c>
      <c r="CK299" s="56">
        <f>($AR299-$AR300)*100</f>
        <v/>
      </c>
      <c r="CL299" s="56">
        <f>($AS299-$AS300)*100</f>
        <v/>
      </c>
      <c r="CM299" s="56">
        <f>($AT299-$AT300)*100</f>
        <v/>
      </c>
      <c r="CN299" s="56">
        <f>($AU299-$AU300)*100</f>
        <v/>
      </c>
      <c r="CO299" s="56">
        <f>($AV299-$AV300)*100</f>
        <v/>
      </c>
      <c r="CP299" s="56">
        <f>($AW299-$AW300)*100</f>
        <v/>
      </c>
      <c r="CQ299" s="56">
        <f>($AX299-$AX300)*100</f>
        <v/>
      </c>
      <c r="CR299" s="56">
        <f>($AY299-$AY300)*100</f>
        <v/>
      </c>
      <c r="CS299" s="57">
        <f>IFERROR($L300/$L299-1,"")</f>
        <v/>
      </c>
      <c r="CT299" s="57">
        <f>IFERROR($M300/$M299-1,"")</f>
        <v/>
      </c>
      <c r="CU299" s="57">
        <f>IFERROR($N300/$N299-1,"")</f>
        <v/>
      </c>
      <c r="CV299" s="57">
        <f>IFERROR($O300/$O299-1,"")</f>
        <v/>
      </c>
      <c r="CW299" s="57">
        <f>IFERROR($P300/$P299-1,"")</f>
        <v/>
      </c>
      <c r="CX299" s="57">
        <f>IFERROR($Q300/$Q299-1,"")</f>
        <v/>
      </c>
      <c r="CY299" s="57">
        <f>IFERROR($R300/$R299-1,"")</f>
        <v/>
      </c>
      <c r="CZ299" s="57">
        <f>IFERROR($S300/$S299-1,"")</f>
        <v/>
      </c>
      <c r="DA299" s="57">
        <f>IFERROR($T300/$T299-1,"")</f>
        <v/>
      </c>
      <c r="DB299" s="57">
        <f>IFERROR($U300/$U299-1,"")</f>
        <v/>
      </c>
      <c r="DC299" s="57">
        <f>IFERROR($V300/$V299-1,"")</f>
        <v/>
      </c>
      <c r="DD299" s="57">
        <f>IFERROR($W300/$W299-1,"")</f>
        <v/>
      </c>
      <c r="DE299" s="57">
        <f>IFERROR($X300/$X299-1,"")</f>
        <v/>
      </c>
      <c r="DF299" s="57">
        <f>IFERROR($Y300/$Y299-1,"")</f>
        <v/>
      </c>
      <c r="DG299" s="57">
        <f>IFERROR($Z300/$Z299-1,"")</f>
        <v/>
      </c>
      <c r="DH299" s="57">
        <f>IFERROR($AA300/$AA299-1,"")</f>
        <v/>
      </c>
      <c r="DI299" s="57">
        <f>IFERROR($AB300/$AB299-1,"")</f>
        <v/>
      </c>
      <c r="DJ299" s="57">
        <f>IFERROR($AC300/$AC299-1,"")</f>
        <v/>
      </c>
      <c r="DK299" s="57">
        <f>IFERROR($AD300/$AD299-1,"")</f>
        <v/>
      </c>
      <c r="DL299" s="57">
        <f>IFERROR($AE300/$AE299-1,"")</f>
        <v/>
      </c>
      <c r="DM299" s="56">
        <f>$AZ299-$AZ300</f>
        <v/>
      </c>
      <c r="DN299" s="56">
        <f>$BA299-$BA300</f>
        <v/>
      </c>
      <c r="DO299" s="56">
        <f>$BB299-$BB300</f>
        <v/>
      </c>
      <c r="DP299" s="56">
        <f>$BC299-$BC300</f>
        <v/>
      </c>
      <c r="DQ299" s="56">
        <f>$BD299-$BD300</f>
        <v/>
      </c>
      <c r="DR299" s="56">
        <f>$BE299-$BE300</f>
        <v/>
      </c>
      <c r="DS299" s="56">
        <f>$BF299-$BF300</f>
        <v/>
      </c>
      <c r="DT299" s="56">
        <f>$BG299-$BG300</f>
        <v/>
      </c>
      <c r="DU299" s="56">
        <f>$BH299-$BH300</f>
        <v/>
      </c>
      <c r="DV299" s="56">
        <f>$BI299-$BI300</f>
        <v/>
      </c>
      <c r="DW299" s="56">
        <f>$BJ299-$BJ300</f>
        <v/>
      </c>
      <c r="DX299" s="56">
        <f>$BK299-$BK300</f>
        <v/>
      </c>
      <c r="DY299" s="56">
        <f>$BL299-$BL300</f>
        <v/>
      </c>
      <c r="DZ299" s="56">
        <f>$BM299-$BM300</f>
        <v/>
      </c>
      <c r="EA299" s="56">
        <f>$BN299-$BN300</f>
        <v/>
      </c>
      <c r="EB299" s="56">
        <f>$BO299-$BO300</f>
        <v/>
      </c>
      <c r="EC299" s="56">
        <f>$BP299-$BP300</f>
        <v/>
      </c>
      <c r="ED299" s="56">
        <f>$BQ299-$BQ300</f>
        <v/>
      </c>
      <c r="EE299" s="56">
        <f>$BR299-$BR300</f>
        <v/>
      </c>
      <c r="EF299" s="56">
        <f>$BS299-$BS300</f>
        <v/>
      </c>
      <c r="EG299" s="56">
        <f>$BT299-$BT300</f>
        <v/>
      </c>
      <c r="EH299" s="56">
        <f>$BU299-$BU300</f>
        <v/>
      </c>
    </row>
    <row r="300">
      <c r="BV300" s="56">
        <f>($D300-$D301)*100</f>
        <v/>
      </c>
      <c r="BW300" s="56">
        <f>($C300-$C301)*100</f>
        <v/>
      </c>
      <c r="BX300" s="57">
        <f>IFERROR($I300/$I301-1,"")</f>
        <v/>
      </c>
      <c r="BY300" s="56">
        <f>($AF300-$AF301)*100</f>
        <v/>
      </c>
      <c r="BZ300" s="56">
        <f>($AG300-$AG301)*100</f>
        <v/>
      </c>
      <c r="CA300" s="56">
        <f>($AH300-$AH301)*100</f>
        <v/>
      </c>
      <c r="CB300" s="56">
        <f>($AI300-$AI301)*100</f>
        <v/>
      </c>
      <c r="CC300" s="56">
        <f>($AJ300-$AJ301)*100</f>
        <v/>
      </c>
      <c r="CD300" s="56">
        <f>($AK300-$AK301)*100</f>
        <v/>
      </c>
      <c r="CE300" s="56">
        <f>($AL300-$AL301)*100</f>
        <v/>
      </c>
      <c r="CF300" s="56">
        <f>($AM300-$AM301)*100</f>
        <v/>
      </c>
      <c r="CG300" s="56">
        <f>($AN300-$AN301)*100</f>
        <v/>
      </c>
      <c r="CH300" s="56">
        <f>($AO300-$AO301)*100</f>
        <v/>
      </c>
      <c r="CI300" s="56">
        <f>($AP300-$AP301)*100</f>
        <v/>
      </c>
      <c r="CJ300" s="56">
        <f>($AQ300-$AQ301)*100</f>
        <v/>
      </c>
      <c r="CK300" s="56">
        <f>($AR300-$AR301)*100</f>
        <v/>
      </c>
      <c r="CL300" s="56">
        <f>($AS300-$AS301)*100</f>
        <v/>
      </c>
      <c r="CM300" s="56">
        <f>($AT300-$AT301)*100</f>
        <v/>
      </c>
      <c r="CN300" s="56">
        <f>($AU300-$AU301)*100</f>
        <v/>
      </c>
      <c r="CO300" s="56">
        <f>($AV300-$AV301)*100</f>
        <v/>
      </c>
      <c r="CP300" s="56">
        <f>($AW300-$AW301)*100</f>
        <v/>
      </c>
      <c r="CQ300" s="56">
        <f>($AX300-$AX301)*100</f>
        <v/>
      </c>
      <c r="CR300" s="56">
        <f>($AY300-$AY301)*100</f>
        <v/>
      </c>
      <c r="CS300" s="57">
        <f>IFERROR($L301/$L300-1,"")</f>
        <v/>
      </c>
      <c r="CT300" s="57">
        <f>IFERROR($M301/$M300-1,"")</f>
        <v/>
      </c>
      <c r="CU300" s="57">
        <f>IFERROR($N301/$N300-1,"")</f>
        <v/>
      </c>
      <c r="CV300" s="57">
        <f>IFERROR($O301/$O300-1,"")</f>
        <v/>
      </c>
      <c r="CW300" s="57">
        <f>IFERROR($P301/$P300-1,"")</f>
        <v/>
      </c>
      <c r="CX300" s="57">
        <f>IFERROR($Q301/$Q300-1,"")</f>
        <v/>
      </c>
      <c r="CY300" s="57">
        <f>IFERROR($R301/$R300-1,"")</f>
        <v/>
      </c>
      <c r="CZ300" s="57">
        <f>IFERROR($S301/$S300-1,"")</f>
        <v/>
      </c>
      <c r="DA300" s="57">
        <f>IFERROR($T301/$T300-1,"")</f>
        <v/>
      </c>
      <c r="DB300" s="57">
        <f>IFERROR($U301/$U300-1,"")</f>
        <v/>
      </c>
      <c r="DC300" s="57">
        <f>IFERROR($V301/$V300-1,"")</f>
        <v/>
      </c>
      <c r="DD300" s="57">
        <f>IFERROR($W301/$W300-1,"")</f>
        <v/>
      </c>
      <c r="DE300" s="57">
        <f>IFERROR($X301/$X300-1,"")</f>
        <v/>
      </c>
      <c r="DF300" s="57">
        <f>IFERROR($Y301/$Y300-1,"")</f>
        <v/>
      </c>
      <c r="DG300" s="57">
        <f>IFERROR($Z301/$Z300-1,"")</f>
        <v/>
      </c>
      <c r="DH300" s="57">
        <f>IFERROR($AA301/$AA300-1,"")</f>
        <v/>
      </c>
      <c r="DI300" s="57">
        <f>IFERROR($AB301/$AB300-1,"")</f>
        <v/>
      </c>
      <c r="DJ300" s="57">
        <f>IFERROR($AC301/$AC300-1,"")</f>
        <v/>
      </c>
      <c r="DK300" s="57">
        <f>IFERROR($AD301/$AD300-1,"")</f>
        <v/>
      </c>
      <c r="DL300" s="57">
        <f>IFERROR($AE301/$AE300-1,"")</f>
        <v/>
      </c>
      <c r="DM300" s="56">
        <f>$AZ300-$AZ301</f>
        <v/>
      </c>
      <c r="DN300" s="56">
        <f>$BA300-$BA301</f>
        <v/>
      </c>
      <c r="DO300" s="56">
        <f>$BB300-$BB301</f>
        <v/>
      </c>
      <c r="DP300" s="56">
        <f>$BC300-$BC301</f>
        <v/>
      </c>
      <c r="DQ300" s="56">
        <f>$BD300-$BD301</f>
        <v/>
      </c>
      <c r="DR300" s="56">
        <f>$BE300-$BE301</f>
        <v/>
      </c>
      <c r="DS300" s="56">
        <f>$BF300-$BF301</f>
        <v/>
      </c>
      <c r="DT300" s="56">
        <f>$BG300-$BG301</f>
        <v/>
      </c>
      <c r="DU300" s="56">
        <f>$BH300-$BH301</f>
        <v/>
      </c>
      <c r="DV300" s="56">
        <f>$BI300-$BI301</f>
        <v/>
      </c>
      <c r="DW300" s="56">
        <f>$BJ300-$BJ301</f>
        <v/>
      </c>
      <c r="DX300" s="56">
        <f>$BK300-$BK301</f>
        <v/>
      </c>
      <c r="DY300" s="56">
        <f>$BL300-$BL301</f>
        <v/>
      </c>
      <c r="DZ300" s="56">
        <f>$BM300-$BM301</f>
        <v/>
      </c>
      <c r="EA300" s="56">
        <f>$BN300-$BN301</f>
        <v/>
      </c>
      <c r="EB300" s="56">
        <f>$BO300-$BO301</f>
        <v/>
      </c>
      <c r="EC300" s="56">
        <f>$BP300-$BP301</f>
        <v/>
      </c>
      <c r="ED300" s="56">
        <f>$BQ300-$BQ301</f>
        <v/>
      </c>
      <c r="EE300" s="56">
        <f>$BR300-$BR301</f>
        <v/>
      </c>
      <c r="EF300" s="56">
        <f>$BS300-$BS301</f>
        <v/>
      </c>
      <c r="EG300" s="56">
        <f>$BT300-$BT301</f>
        <v/>
      </c>
      <c r="EH300" s="56">
        <f>$BU300-$BU301</f>
        <v/>
      </c>
    </row>
    <row r="301">
      <c r="BV301" s="56">
        <f>($D301-$D302)*100</f>
        <v/>
      </c>
      <c r="BW301" s="56">
        <f>($C301-$C302)*100</f>
        <v/>
      </c>
      <c r="BX301" s="57">
        <f>IFERROR($I301/$I302-1,"")</f>
        <v/>
      </c>
      <c r="BY301" s="56">
        <f>($AF301-$AF302)*100</f>
        <v/>
      </c>
      <c r="BZ301" s="56">
        <f>($AG301-$AG302)*100</f>
        <v/>
      </c>
      <c r="CA301" s="56">
        <f>($AH301-$AH302)*100</f>
        <v/>
      </c>
      <c r="CB301" s="56">
        <f>($AI301-$AI302)*100</f>
        <v/>
      </c>
      <c r="CC301" s="56">
        <f>($AJ301-$AJ302)*100</f>
        <v/>
      </c>
      <c r="CD301" s="56">
        <f>($AK301-$AK302)*100</f>
        <v/>
      </c>
      <c r="CE301" s="56">
        <f>($AL301-$AL302)*100</f>
        <v/>
      </c>
      <c r="CF301" s="56">
        <f>($AM301-$AM302)*100</f>
        <v/>
      </c>
      <c r="CG301" s="56">
        <f>($AN301-$AN302)*100</f>
        <v/>
      </c>
      <c r="CH301" s="56">
        <f>($AO301-$AO302)*100</f>
        <v/>
      </c>
      <c r="CI301" s="56">
        <f>($AP301-$AP302)*100</f>
        <v/>
      </c>
      <c r="CJ301" s="56">
        <f>($AQ301-$AQ302)*100</f>
        <v/>
      </c>
      <c r="CK301" s="56">
        <f>($AR301-$AR302)*100</f>
        <v/>
      </c>
      <c r="CL301" s="56">
        <f>($AS301-$AS302)*100</f>
        <v/>
      </c>
      <c r="CM301" s="56">
        <f>($AT301-$AT302)*100</f>
        <v/>
      </c>
      <c r="CN301" s="56">
        <f>($AU301-$AU302)*100</f>
        <v/>
      </c>
      <c r="CO301" s="56">
        <f>($AV301-$AV302)*100</f>
        <v/>
      </c>
      <c r="CP301" s="56">
        <f>($AW301-$AW302)*100</f>
        <v/>
      </c>
      <c r="CQ301" s="56">
        <f>($AX301-$AX302)*100</f>
        <v/>
      </c>
      <c r="CR301" s="56">
        <f>($AY301-$AY302)*100</f>
        <v/>
      </c>
      <c r="CS301" s="57">
        <f>IFERROR($L302/$L301-1,"")</f>
        <v/>
      </c>
      <c r="CT301" s="57">
        <f>IFERROR($M302/$M301-1,"")</f>
        <v/>
      </c>
      <c r="CU301" s="57">
        <f>IFERROR($N302/$N301-1,"")</f>
        <v/>
      </c>
      <c r="CV301" s="57">
        <f>IFERROR($O302/$O301-1,"")</f>
        <v/>
      </c>
      <c r="CW301" s="57">
        <f>IFERROR($P302/$P301-1,"")</f>
        <v/>
      </c>
      <c r="CX301" s="57">
        <f>IFERROR($Q302/$Q301-1,"")</f>
        <v/>
      </c>
      <c r="CY301" s="57">
        <f>IFERROR($R302/$R301-1,"")</f>
        <v/>
      </c>
      <c r="CZ301" s="57">
        <f>IFERROR($S302/$S301-1,"")</f>
        <v/>
      </c>
      <c r="DA301" s="57">
        <f>IFERROR($T302/$T301-1,"")</f>
        <v/>
      </c>
      <c r="DB301" s="57">
        <f>IFERROR($U302/$U301-1,"")</f>
        <v/>
      </c>
      <c r="DC301" s="57">
        <f>IFERROR($V302/$V301-1,"")</f>
        <v/>
      </c>
      <c r="DD301" s="57">
        <f>IFERROR($W302/$W301-1,"")</f>
        <v/>
      </c>
      <c r="DE301" s="57">
        <f>IFERROR($X302/$X301-1,"")</f>
        <v/>
      </c>
      <c r="DF301" s="57">
        <f>IFERROR($Y302/$Y301-1,"")</f>
        <v/>
      </c>
      <c r="DG301" s="57">
        <f>IFERROR($Z302/$Z301-1,"")</f>
        <v/>
      </c>
      <c r="DH301" s="57">
        <f>IFERROR($AA302/$AA301-1,"")</f>
        <v/>
      </c>
      <c r="DI301" s="57">
        <f>IFERROR($AB302/$AB301-1,"")</f>
        <v/>
      </c>
      <c r="DJ301" s="57">
        <f>IFERROR($AC302/$AC301-1,"")</f>
        <v/>
      </c>
      <c r="DK301" s="57">
        <f>IFERROR($AD302/$AD301-1,"")</f>
        <v/>
      </c>
      <c r="DL301" s="57">
        <f>IFERROR($AE302/$AE301-1,"")</f>
        <v/>
      </c>
      <c r="DM301" s="56">
        <f>$AZ301-$AZ302</f>
        <v/>
      </c>
      <c r="DN301" s="56">
        <f>$BA301-$BA302</f>
        <v/>
      </c>
      <c r="DO301" s="56">
        <f>$BB301-$BB302</f>
        <v/>
      </c>
      <c r="DP301" s="56">
        <f>$BC301-$BC302</f>
        <v/>
      </c>
      <c r="DQ301" s="56">
        <f>$BD301-$BD302</f>
        <v/>
      </c>
      <c r="DR301" s="56">
        <f>$BE301-$BE302</f>
        <v/>
      </c>
      <c r="DS301" s="56">
        <f>$BF301-$BF302</f>
        <v/>
      </c>
      <c r="DT301" s="56">
        <f>$BG301-$BG302</f>
        <v/>
      </c>
      <c r="DU301" s="56">
        <f>$BH301-$BH302</f>
        <v/>
      </c>
      <c r="DV301" s="56">
        <f>$BI301-$BI302</f>
        <v/>
      </c>
      <c r="DW301" s="56">
        <f>$BJ301-$BJ302</f>
        <v/>
      </c>
      <c r="DX301" s="56">
        <f>$BK301-$BK302</f>
        <v/>
      </c>
      <c r="DY301" s="56">
        <f>$BL301-$BL302</f>
        <v/>
      </c>
      <c r="DZ301" s="56">
        <f>$BM301-$BM302</f>
        <v/>
      </c>
      <c r="EA301" s="56">
        <f>$BN301-$BN302</f>
        <v/>
      </c>
      <c r="EB301" s="56">
        <f>$BO301-$BO302</f>
        <v/>
      </c>
      <c r="EC301" s="56">
        <f>$BP301-$BP302</f>
        <v/>
      </c>
      <c r="ED301" s="56">
        <f>$BQ301-$BQ302</f>
        <v/>
      </c>
      <c r="EE301" s="56">
        <f>$BR301-$BR302</f>
        <v/>
      </c>
      <c r="EF301" s="56">
        <f>$BS301-$BS302</f>
        <v/>
      </c>
      <c r="EG301" s="56">
        <f>$BT301-$BT302</f>
        <v/>
      </c>
      <c r="EH301" s="56">
        <f>$BU301-$BU302</f>
        <v/>
      </c>
    </row>
    <row r="302">
      <c r="BV302" s="56">
        <f>($D302-$D303)*100</f>
        <v/>
      </c>
      <c r="BW302" s="56">
        <f>($C302-$C303)*100</f>
        <v/>
      </c>
      <c r="BX302" s="57">
        <f>IFERROR($I302/$I303-1,"")</f>
        <v/>
      </c>
      <c r="BY302" s="56">
        <f>($AF302-$AF303)*100</f>
        <v/>
      </c>
      <c r="BZ302" s="56">
        <f>($AG302-$AG303)*100</f>
        <v/>
      </c>
      <c r="CA302" s="56">
        <f>($AH302-$AH303)*100</f>
        <v/>
      </c>
      <c r="CB302" s="56">
        <f>($AI302-$AI303)*100</f>
        <v/>
      </c>
      <c r="CC302" s="56">
        <f>($AJ302-$AJ303)*100</f>
        <v/>
      </c>
      <c r="CD302" s="56">
        <f>($AK302-$AK303)*100</f>
        <v/>
      </c>
      <c r="CE302" s="56">
        <f>($AL302-$AL303)*100</f>
        <v/>
      </c>
      <c r="CF302" s="56">
        <f>($AM302-$AM303)*100</f>
        <v/>
      </c>
      <c r="CG302" s="56">
        <f>($AN302-$AN303)*100</f>
        <v/>
      </c>
      <c r="CH302" s="56">
        <f>($AO302-$AO303)*100</f>
        <v/>
      </c>
      <c r="CI302" s="56">
        <f>($AP302-$AP303)*100</f>
        <v/>
      </c>
      <c r="CJ302" s="56">
        <f>($AQ302-$AQ303)*100</f>
        <v/>
      </c>
      <c r="CK302" s="56">
        <f>($AR302-$AR303)*100</f>
        <v/>
      </c>
      <c r="CL302" s="56">
        <f>($AS302-$AS303)*100</f>
        <v/>
      </c>
      <c r="CM302" s="56">
        <f>($AT302-$AT303)*100</f>
        <v/>
      </c>
      <c r="CN302" s="56">
        <f>($AU302-$AU303)*100</f>
        <v/>
      </c>
      <c r="CO302" s="56">
        <f>($AV302-$AV303)*100</f>
        <v/>
      </c>
      <c r="CP302" s="56">
        <f>($AW302-$AW303)*100</f>
        <v/>
      </c>
      <c r="CQ302" s="56">
        <f>($AX302-$AX303)*100</f>
        <v/>
      </c>
      <c r="CR302" s="56">
        <f>($AY302-$AY303)*100</f>
        <v/>
      </c>
      <c r="CS302" s="57">
        <f>IFERROR($L303/$L302-1,"")</f>
        <v/>
      </c>
      <c r="CT302" s="57">
        <f>IFERROR($M303/$M302-1,"")</f>
        <v/>
      </c>
      <c r="CU302" s="57">
        <f>IFERROR($N303/$N302-1,"")</f>
        <v/>
      </c>
      <c r="CV302" s="57">
        <f>IFERROR($O303/$O302-1,"")</f>
        <v/>
      </c>
      <c r="CW302" s="57">
        <f>IFERROR($P303/$P302-1,"")</f>
        <v/>
      </c>
      <c r="CX302" s="57">
        <f>IFERROR($Q303/$Q302-1,"")</f>
        <v/>
      </c>
      <c r="CY302" s="57">
        <f>IFERROR($R303/$R302-1,"")</f>
        <v/>
      </c>
      <c r="CZ302" s="57">
        <f>IFERROR($S303/$S302-1,"")</f>
        <v/>
      </c>
      <c r="DA302" s="57">
        <f>IFERROR($T303/$T302-1,"")</f>
        <v/>
      </c>
      <c r="DB302" s="57">
        <f>IFERROR($U303/$U302-1,"")</f>
        <v/>
      </c>
      <c r="DC302" s="57">
        <f>IFERROR($V303/$V302-1,"")</f>
        <v/>
      </c>
      <c r="DD302" s="57">
        <f>IFERROR($W303/$W302-1,"")</f>
        <v/>
      </c>
      <c r="DE302" s="57">
        <f>IFERROR($X303/$X302-1,"")</f>
        <v/>
      </c>
      <c r="DF302" s="57">
        <f>IFERROR($Y303/$Y302-1,"")</f>
        <v/>
      </c>
      <c r="DG302" s="57">
        <f>IFERROR($Z303/$Z302-1,"")</f>
        <v/>
      </c>
      <c r="DH302" s="57">
        <f>IFERROR($AA303/$AA302-1,"")</f>
        <v/>
      </c>
      <c r="DI302" s="57">
        <f>IFERROR($AB303/$AB302-1,"")</f>
        <v/>
      </c>
      <c r="DJ302" s="57">
        <f>IFERROR($AC303/$AC302-1,"")</f>
        <v/>
      </c>
      <c r="DK302" s="57">
        <f>IFERROR($AD303/$AD302-1,"")</f>
        <v/>
      </c>
      <c r="DL302" s="57">
        <f>IFERROR($AE303/$AE302-1,"")</f>
        <v/>
      </c>
      <c r="DM302" s="56">
        <f>$AZ302-$AZ303</f>
        <v/>
      </c>
      <c r="DN302" s="56">
        <f>$BA302-$BA303</f>
        <v/>
      </c>
      <c r="DO302" s="56">
        <f>$BB302-$BB303</f>
        <v/>
      </c>
      <c r="DP302" s="56">
        <f>$BC302-$BC303</f>
        <v/>
      </c>
      <c r="DQ302" s="56">
        <f>$BD302-$BD303</f>
        <v/>
      </c>
      <c r="DR302" s="56">
        <f>$BE302-$BE303</f>
        <v/>
      </c>
      <c r="DS302" s="56">
        <f>$BF302-$BF303</f>
        <v/>
      </c>
      <c r="DT302" s="56">
        <f>$BG302-$BG303</f>
        <v/>
      </c>
      <c r="DU302" s="56">
        <f>$BH302-$BH303</f>
        <v/>
      </c>
      <c r="DV302" s="56">
        <f>$BI302-$BI303</f>
        <v/>
      </c>
      <c r="DW302" s="56">
        <f>$BJ302-$BJ303</f>
        <v/>
      </c>
      <c r="DX302" s="56">
        <f>$BK302-$BK303</f>
        <v/>
      </c>
      <c r="DY302" s="56">
        <f>$BL302-$BL303</f>
        <v/>
      </c>
      <c r="DZ302" s="56">
        <f>$BM302-$BM303</f>
        <v/>
      </c>
      <c r="EA302" s="56">
        <f>$BN302-$BN303</f>
        <v/>
      </c>
      <c r="EB302" s="56">
        <f>$BO302-$BO303</f>
        <v/>
      </c>
      <c r="EC302" s="56">
        <f>$BP302-$BP303</f>
        <v/>
      </c>
      <c r="ED302" s="56">
        <f>$BQ302-$BQ303</f>
        <v/>
      </c>
      <c r="EE302" s="56">
        <f>$BR302-$BR303</f>
        <v/>
      </c>
      <c r="EF302" s="56">
        <f>$BS302-$BS303</f>
        <v/>
      </c>
      <c r="EG302" s="56">
        <f>$BT302-$BT303</f>
        <v/>
      </c>
      <c r="EH302" s="56">
        <f>$BU302-$BU303</f>
        <v/>
      </c>
    </row>
    <row r="303">
      <c r="BV303" s="56">
        <f>($D303-$D304)*100</f>
        <v/>
      </c>
      <c r="BW303" s="56">
        <f>($C303-$C304)*100</f>
        <v/>
      </c>
      <c r="BX303" s="57">
        <f>IFERROR($I303/$I304-1,"")</f>
        <v/>
      </c>
      <c r="BY303" s="56">
        <f>($AF303-$AF304)*100</f>
        <v/>
      </c>
      <c r="BZ303" s="56">
        <f>($AG303-$AG304)*100</f>
        <v/>
      </c>
      <c r="CA303" s="56">
        <f>($AH303-$AH304)*100</f>
        <v/>
      </c>
      <c r="CB303" s="56">
        <f>($AI303-$AI304)*100</f>
        <v/>
      </c>
      <c r="CC303" s="56">
        <f>($AJ303-$AJ304)*100</f>
        <v/>
      </c>
      <c r="CD303" s="56">
        <f>($AK303-$AK304)*100</f>
        <v/>
      </c>
      <c r="CE303" s="56">
        <f>($AL303-$AL304)*100</f>
        <v/>
      </c>
      <c r="CF303" s="56">
        <f>($AM303-$AM304)*100</f>
        <v/>
      </c>
      <c r="CG303" s="56">
        <f>($AN303-$AN304)*100</f>
        <v/>
      </c>
      <c r="CH303" s="56">
        <f>($AO303-$AO304)*100</f>
        <v/>
      </c>
      <c r="CI303" s="56">
        <f>($AP303-$AP304)*100</f>
        <v/>
      </c>
      <c r="CJ303" s="56">
        <f>($AQ303-$AQ304)*100</f>
        <v/>
      </c>
      <c r="CK303" s="56">
        <f>($AR303-$AR304)*100</f>
        <v/>
      </c>
      <c r="CL303" s="56">
        <f>($AS303-$AS304)*100</f>
        <v/>
      </c>
      <c r="CM303" s="56">
        <f>($AT303-$AT304)*100</f>
        <v/>
      </c>
      <c r="CN303" s="56">
        <f>($AU303-$AU304)*100</f>
        <v/>
      </c>
      <c r="CO303" s="56">
        <f>($AV303-$AV304)*100</f>
        <v/>
      </c>
      <c r="CP303" s="56">
        <f>($AW303-$AW304)*100</f>
        <v/>
      </c>
      <c r="CQ303" s="56">
        <f>($AX303-$AX304)*100</f>
        <v/>
      </c>
      <c r="CR303" s="56">
        <f>($AY303-$AY304)*100</f>
        <v/>
      </c>
      <c r="CS303" s="57">
        <f>IFERROR($L304/$L303-1,"")</f>
        <v/>
      </c>
      <c r="CT303" s="57">
        <f>IFERROR($M304/$M303-1,"")</f>
        <v/>
      </c>
      <c r="CU303" s="57">
        <f>IFERROR($N304/$N303-1,"")</f>
        <v/>
      </c>
      <c r="CV303" s="57">
        <f>IFERROR($O304/$O303-1,"")</f>
        <v/>
      </c>
      <c r="CW303" s="57">
        <f>IFERROR($P304/$P303-1,"")</f>
        <v/>
      </c>
      <c r="CX303" s="57">
        <f>IFERROR($Q304/$Q303-1,"")</f>
        <v/>
      </c>
      <c r="CY303" s="57">
        <f>IFERROR($R304/$R303-1,"")</f>
        <v/>
      </c>
      <c r="CZ303" s="57">
        <f>IFERROR($S304/$S303-1,"")</f>
        <v/>
      </c>
      <c r="DA303" s="57">
        <f>IFERROR($T304/$T303-1,"")</f>
        <v/>
      </c>
      <c r="DB303" s="57">
        <f>IFERROR($U304/$U303-1,"")</f>
        <v/>
      </c>
      <c r="DC303" s="57">
        <f>IFERROR($V304/$V303-1,"")</f>
        <v/>
      </c>
      <c r="DD303" s="57">
        <f>IFERROR($W304/$W303-1,"")</f>
        <v/>
      </c>
      <c r="DE303" s="57">
        <f>IFERROR($X304/$X303-1,"")</f>
        <v/>
      </c>
      <c r="DF303" s="57">
        <f>IFERROR($Y304/$Y303-1,"")</f>
        <v/>
      </c>
      <c r="DG303" s="57">
        <f>IFERROR($Z304/$Z303-1,"")</f>
        <v/>
      </c>
      <c r="DH303" s="57">
        <f>IFERROR($AA304/$AA303-1,"")</f>
        <v/>
      </c>
      <c r="DI303" s="57">
        <f>IFERROR($AB304/$AB303-1,"")</f>
        <v/>
      </c>
      <c r="DJ303" s="57">
        <f>IFERROR($AC304/$AC303-1,"")</f>
        <v/>
      </c>
      <c r="DK303" s="57">
        <f>IFERROR($AD304/$AD303-1,"")</f>
        <v/>
      </c>
      <c r="DL303" s="57">
        <f>IFERROR($AE304/$AE303-1,"")</f>
        <v/>
      </c>
      <c r="DM303" s="56">
        <f>$AZ303-$AZ304</f>
        <v/>
      </c>
      <c r="DN303" s="56">
        <f>$BA303-$BA304</f>
        <v/>
      </c>
      <c r="DO303" s="56">
        <f>$BB303-$BB304</f>
        <v/>
      </c>
      <c r="DP303" s="56">
        <f>$BC303-$BC304</f>
        <v/>
      </c>
      <c r="DQ303" s="56">
        <f>$BD303-$BD304</f>
        <v/>
      </c>
      <c r="DR303" s="56">
        <f>$BE303-$BE304</f>
        <v/>
      </c>
      <c r="DS303" s="56">
        <f>$BF303-$BF304</f>
        <v/>
      </c>
      <c r="DT303" s="56">
        <f>$BG303-$BG304</f>
        <v/>
      </c>
      <c r="DU303" s="56">
        <f>$BH303-$BH304</f>
        <v/>
      </c>
      <c r="DV303" s="56">
        <f>$BI303-$BI304</f>
        <v/>
      </c>
      <c r="DW303" s="56">
        <f>$BJ303-$BJ304</f>
        <v/>
      </c>
      <c r="DX303" s="56">
        <f>$BK303-$BK304</f>
        <v/>
      </c>
      <c r="DY303" s="56">
        <f>$BL303-$BL304</f>
        <v/>
      </c>
      <c r="DZ303" s="56">
        <f>$BM303-$BM304</f>
        <v/>
      </c>
      <c r="EA303" s="56">
        <f>$BN303-$BN304</f>
        <v/>
      </c>
      <c r="EB303" s="56">
        <f>$BO303-$BO304</f>
        <v/>
      </c>
      <c r="EC303" s="56">
        <f>$BP303-$BP304</f>
        <v/>
      </c>
      <c r="ED303" s="56">
        <f>$BQ303-$BQ304</f>
        <v/>
      </c>
      <c r="EE303" s="56">
        <f>$BR303-$BR304</f>
        <v/>
      </c>
      <c r="EF303" s="56">
        <f>$BS303-$BS304</f>
        <v/>
      </c>
      <c r="EG303" s="56">
        <f>$BT303-$BT304</f>
        <v/>
      </c>
      <c r="EH303" s="56">
        <f>$BU303-$BU304</f>
        <v/>
      </c>
    </row>
    <row r="304">
      <c r="BV304" s="56">
        <f>($D304-$D305)*100</f>
        <v/>
      </c>
      <c r="BW304" s="56">
        <f>($C304-$C305)*100</f>
        <v/>
      </c>
      <c r="BX304" s="57">
        <f>IFERROR($I304/$I305-1,"")</f>
        <v/>
      </c>
      <c r="BY304" s="56">
        <f>($AF304-$AF305)*100</f>
        <v/>
      </c>
      <c r="BZ304" s="56">
        <f>($AG304-$AG305)*100</f>
        <v/>
      </c>
      <c r="CA304" s="56">
        <f>($AH304-$AH305)*100</f>
        <v/>
      </c>
      <c r="CB304" s="56">
        <f>($AI304-$AI305)*100</f>
        <v/>
      </c>
      <c r="CC304" s="56">
        <f>($AJ304-$AJ305)*100</f>
        <v/>
      </c>
      <c r="CD304" s="56">
        <f>($AK304-$AK305)*100</f>
        <v/>
      </c>
      <c r="CE304" s="56">
        <f>($AL304-$AL305)*100</f>
        <v/>
      </c>
      <c r="CF304" s="56">
        <f>($AM304-$AM305)*100</f>
        <v/>
      </c>
      <c r="CG304" s="56">
        <f>($AN304-$AN305)*100</f>
        <v/>
      </c>
      <c r="CH304" s="56">
        <f>($AO304-$AO305)*100</f>
        <v/>
      </c>
      <c r="CI304" s="56">
        <f>($AP304-$AP305)*100</f>
        <v/>
      </c>
      <c r="CJ304" s="56">
        <f>($AQ304-$AQ305)*100</f>
        <v/>
      </c>
      <c r="CK304" s="56">
        <f>($AR304-$AR305)*100</f>
        <v/>
      </c>
      <c r="CL304" s="56">
        <f>($AS304-$AS305)*100</f>
        <v/>
      </c>
      <c r="CM304" s="56">
        <f>($AT304-$AT305)*100</f>
        <v/>
      </c>
      <c r="CN304" s="56">
        <f>($AU304-$AU305)*100</f>
        <v/>
      </c>
      <c r="CO304" s="56">
        <f>($AV304-$AV305)*100</f>
        <v/>
      </c>
      <c r="CP304" s="56">
        <f>($AW304-$AW305)*100</f>
        <v/>
      </c>
      <c r="CQ304" s="56">
        <f>($AX304-$AX305)*100</f>
        <v/>
      </c>
      <c r="CR304" s="56">
        <f>($AY304-$AY305)*100</f>
        <v/>
      </c>
      <c r="CS304" s="57">
        <f>IFERROR($L305/$L304-1,"")</f>
        <v/>
      </c>
      <c r="CT304" s="57">
        <f>IFERROR($M305/$M304-1,"")</f>
        <v/>
      </c>
      <c r="CU304" s="57">
        <f>IFERROR($N305/$N304-1,"")</f>
        <v/>
      </c>
      <c r="CV304" s="57">
        <f>IFERROR($O305/$O304-1,"")</f>
        <v/>
      </c>
      <c r="CW304" s="57">
        <f>IFERROR($P305/$P304-1,"")</f>
        <v/>
      </c>
      <c r="CX304" s="57">
        <f>IFERROR($Q305/$Q304-1,"")</f>
        <v/>
      </c>
      <c r="CY304" s="57">
        <f>IFERROR($R305/$R304-1,"")</f>
        <v/>
      </c>
      <c r="CZ304" s="57">
        <f>IFERROR($S305/$S304-1,"")</f>
        <v/>
      </c>
      <c r="DA304" s="57">
        <f>IFERROR($T305/$T304-1,"")</f>
        <v/>
      </c>
      <c r="DB304" s="57">
        <f>IFERROR($U305/$U304-1,"")</f>
        <v/>
      </c>
      <c r="DC304" s="57">
        <f>IFERROR($V305/$V304-1,"")</f>
        <v/>
      </c>
      <c r="DD304" s="57">
        <f>IFERROR($W305/$W304-1,"")</f>
        <v/>
      </c>
      <c r="DE304" s="57">
        <f>IFERROR($X305/$X304-1,"")</f>
        <v/>
      </c>
      <c r="DF304" s="57">
        <f>IFERROR($Y305/$Y304-1,"")</f>
        <v/>
      </c>
      <c r="DG304" s="57">
        <f>IFERROR($Z305/$Z304-1,"")</f>
        <v/>
      </c>
      <c r="DH304" s="57">
        <f>IFERROR($AA305/$AA304-1,"")</f>
        <v/>
      </c>
      <c r="DI304" s="57">
        <f>IFERROR($AB305/$AB304-1,"")</f>
        <v/>
      </c>
      <c r="DJ304" s="57">
        <f>IFERROR($AC305/$AC304-1,"")</f>
        <v/>
      </c>
      <c r="DK304" s="57">
        <f>IFERROR($AD305/$AD304-1,"")</f>
        <v/>
      </c>
      <c r="DL304" s="57">
        <f>IFERROR($AE305/$AE304-1,"")</f>
        <v/>
      </c>
      <c r="DM304" s="56">
        <f>$AZ304-$AZ305</f>
        <v/>
      </c>
      <c r="DN304" s="56">
        <f>$BA304-$BA305</f>
        <v/>
      </c>
      <c r="DO304" s="56">
        <f>$BB304-$BB305</f>
        <v/>
      </c>
      <c r="DP304" s="56">
        <f>$BC304-$BC305</f>
        <v/>
      </c>
      <c r="DQ304" s="56">
        <f>$BD304-$BD305</f>
        <v/>
      </c>
      <c r="DR304" s="56">
        <f>$BE304-$BE305</f>
        <v/>
      </c>
      <c r="DS304" s="56">
        <f>$BF304-$BF305</f>
        <v/>
      </c>
      <c r="DT304" s="56">
        <f>$BG304-$BG305</f>
        <v/>
      </c>
      <c r="DU304" s="56">
        <f>$BH304-$BH305</f>
        <v/>
      </c>
      <c r="DV304" s="56">
        <f>$BI304-$BI305</f>
        <v/>
      </c>
      <c r="DW304" s="56">
        <f>$BJ304-$BJ305</f>
        <v/>
      </c>
      <c r="DX304" s="56">
        <f>$BK304-$BK305</f>
        <v/>
      </c>
      <c r="DY304" s="56">
        <f>$BL304-$BL305</f>
        <v/>
      </c>
      <c r="DZ304" s="56">
        <f>$BM304-$BM305</f>
        <v/>
      </c>
      <c r="EA304" s="56">
        <f>$BN304-$BN305</f>
        <v/>
      </c>
      <c r="EB304" s="56">
        <f>$BO304-$BO305</f>
        <v/>
      </c>
      <c r="EC304" s="56">
        <f>$BP304-$BP305</f>
        <v/>
      </c>
      <c r="ED304" s="56">
        <f>$BQ304-$BQ305</f>
        <v/>
      </c>
      <c r="EE304" s="56">
        <f>$BR304-$BR305</f>
        <v/>
      </c>
      <c r="EF304" s="56">
        <f>$BS304-$BS305</f>
        <v/>
      </c>
      <c r="EG304" s="56">
        <f>$BT304-$BT305</f>
        <v/>
      </c>
      <c r="EH304" s="56">
        <f>$BU304-$BU305</f>
        <v/>
      </c>
    </row>
    <row r="305">
      <c r="BV305" s="56">
        <f>($D305-$D306)*100</f>
        <v/>
      </c>
      <c r="BW305" s="56">
        <f>($C305-$C306)*100</f>
        <v/>
      </c>
      <c r="BX305" s="57">
        <f>IFERROR($I305/$I306-1,"")</f>
        <v/>
      </c>
      <c r="BY305" s="56">
        <f>($AF305-$AF306)*100</f>
        <v/>
      </c>
      <c r="BZ305" s="56">
        <f>($AG305-$AG306)*100</f>
        <v/>
      </c>
      <c r="CA305" s="56">
        <f>($AH305-$AH306)*100</f>
        <v/>
      </c>
      <c r="CB305" s="56">
        <f>($AI305-$AI306)*100</f>
        <v/>
      </c>
      <c r="CC305" s="56">
        <f>($AJ305-$AJ306)*100</f>
        <v/>
      </c>
      <c r="CD305" s="56">
        <f>($AK305-$AK306)*100</f>
        <v/>
      </c>
      <c r="CE305" s="56">
        <f>($AL305-$AL306)*100</f>
        <v/>
      </c>
      <c r="CF305" s="56">
        <f>($AM305-$AM306)*100</f>
        <v/>
      </c>
      <c r="CG305" s="56">
        <f>($AN305-$AN306)*100</f>
        <v/>
      </c>
      <c r="CH305" s="56">
        <f>($AO305-$AO306)*100</f>
        <v/>
      </c>
      <c r="CI305" s="56">
        <f>($AP305-$AP306)*100</f>
        <v/>
      </c>
      <c r="CJ305" s="56">
        <f>($AQ305-$AQ306)*100</f>
        <v/>
      </c>
      <c r="CK305" s="56">
        <f>($AR305-$AR306)*100</f>
        <v/>
      </c>
      <c r="CL305" s="56">
        <f>($AS305-$AS306)*100</f>
        <v/>
      </c>
      <c r="CM305" s="56">
        <f>($AT305-$AT306)*100</f>
        <v/>
      </c>
      <c r="CN305" s="56">
        <f>($AU305-$AU306)*100</f>
        <v/>
      </c>
      <c r="CO305" s="56">
        <f>($AV305-$AV306)*100</f>
        <v/>
      </c>
      <c r="CP305" s="56">
        <f>($AW305-$AW306)*100</f>
        <v/>
      </c>
      <c r="CQ305" s="56">
        <f>($AX305-$AX306)*100</f>
        <v/>
      </c>
      <c r="CR305" s="56">
        <f>($AY305-$AY306)*100</f>
        <v/>
      </c>
      <c r="CS305" s="57">
        <f>IFERROR($L306/$L305-1,"")</f>
        <v/>
      </c>
      <c r="CT305" s="57">
        <f>IFERROR($M306/$M305-1,"")</f>
        <v/>
      </c>
      <c r="CU305" s="57">
        <f>IFERROR($N306/$N305-1,"")</f>
        <v/>
      </c>
      <c r="CV305" s="57">
        <f>IFERROR($O306/$O305-1,"")</f>
        <v/>
      </c>
      <c r="CW305" s="57">
        <f>IFERROR($P306/$P305-1,"")</f>
        <v/>
      </c>
      <c r="CX305" s="57">
        <f>IFERROR($Q306/$Q305-1,"")</f>
        <v/>
      </c>
      <c r="CY305" s="57">
        <f>IFERROR($R306/$R305-1,"")</f>
        <v/>
      </c>
      <c r="CZ305" s="57">
        <f>IFERROR($S306/$S305-1,"")</f>
        <v/>
      </c>
      <c r="DA305" s="57">
        <f>IFERROR($T306/$T305-1,"")</f>
        <v/>
      </c>
      <c r="DB305" s="57">
        <f>IFERROR($U306/$U305-1,"")</f>
        <v/>
      </c>
      <c r="DC305" s="57">
        <f>IFERROR($V306/$V305-1,"")</f>
        <v/>
      </c>
      <c r="DD305" s="57">
        <f>IFERROR($W306/$W305-1,"")</f>
        <v/>
      </c>
      <c r="DE305" s="57">
        <f>IFERROR($X306/$X305-1,"")</f>
        <v/>
      </c>
      <c r="DF305" s="57">
        <f>IFERROR($Y306/$Y305-1,"")</f>
        <v/>
      </c>
      <c r="DG305" s="57">
        <f>IFERROR($Z306/$Z305-1,"")</f>
        <v/>
      </c>
      <c r="DH305" s="57">
        <f>IFERROR($AA306/$AA305-1,"")</f>
        <v/>
      </c>
      <c r="DI305" s="57">
        <f>IFERROR($AB306/$AB305-1,"")</f>
        <v/>
      </c>
      <c r="DJ305" s="57">
        <f>IFERROR($AC306/$AC305-1,"")</f>
        <v/>
      </c>
      <c r="DK305" s="57">
        <f>IFERROR($AD306/$AD305-1,"")</f>
        <v/>
      </c>
      <c r="DL305" s="57">
        <f>IFERROR($AE306/$AE305-1,"")</f>
        <v/>
      </c>
      <c r="DM305" s="56">
        <f>$AZ305-$AZ306</f>
        <v/>
      </c>
      <c r="DN305" s="56">
        <f>$BA305-$BA306</f>
        <v/>
      </c>
      <c r="DO305" s="56">
        <f>$BB305-$BB306</f>
        <v/>
      </c>
      <c r="DP305" s="56">
        <f>$BC305-$BC306</f>
        <v/>
      </c>
      <c r="DQ305" s="56">
        <f>$BD305-$BD306</f>
        <v/>
      </c>
      <c r="DR305" s="56">
        <f>$BE305-$BE306</f>
        <v/>
      </c>
      <c r="DS305" s="56">
        <f>$BF305-$BF306</f>
        <v/>
      </c>
      <c r="DT305" s="56">
        <f>$BG305-$BG306</f>
        <v/>
      </c>
      <c r="DU305" s="56">
        <f>$BH305-$BH306</f>
        <v/>
      </c>
      <c r="DV305" s="56">
        <f>$BI305-$BI306</f>
        <v/>
      </c>
      <c r="DW305" s="56">
        <f>$BJ305-$BJ306</f>
        <v/>
      </c>
      <c r="DX305" s="56">
        <f>$BK305-$BK306</f>
        <v/>
      </c>
      <c r="DY305" s="56">
        <f>$BL305-$BL306</f>
        <v/>
      </c>
      <c r="DZ305" s="56">
        <f>$BM305-$BM306</f>
        <v/>
      </c>
      <c r="EA305" s="56">
        <f>$BN305-$BN306</f>
        <v/>
      </c>
      <c r="EB305" s="56">
        <f>$BO305-$BO306</f>
        <v/>
      </c>
      <c r="EC305" s="56">
        <f>$BP305-$BP306</f>
        <v/>
      </c>
      <c r="ED305" s="56">
        <f>$BQ305-$BQ306</f>
        <v/>
      </c>
      <c r="EE305" s="56">
        <f>$BR305-$BR306</f>
        <v/>
      </c>
      <c r="EF305" s="56">
        <f>$BS305-$BS306</f>
        <v/>
      </c>
      <c r="EG305" s="56">
        <f>$BT305-$BT306</f>
        <v/>
      </c>
      <c r="EH305" s="56">
        <f>$BU305-$BU306</f>
        <v/>
      </c>
    </row>
    <row r="306">
      <c r="BV306" s="56">
        <f>($D306-$D307)*100</f>
        <v/>
      </c>
      <c r="BW306" s="56">
        <f>($C306-$C307)*100</f>
        <v/>
      </c>
      <c r="BX306" s="57">
        <f>IFERROR($I306/$I307-1,"")</f>
        <v/>
      </c>
      <c r="BY306" s="56">
        <f>($AF306-$AF307)*100</f>
        <v/>
      </c>
      <c r="BZ306" s="56">
        <f>($AG306-$AG307)*100</f>
        <v/>
      </c>
      <c r="CA306" s="56">
        <f>($AH306-$AH307)*100</f>
        <v/>
      </c>
      <c r="CB306" s="56">
        <f>($AI306-$AI307)*100</f>
        <v/>
      </c>
      <c r="CC306" s="56">
        <f>($AJ306-$AJ307)*100</f>
        <v/>
      </c>
      <c r="CD306" s="56">
        <f>($AK306-$AK307)*100</f>
        <v/>
      </c>
      <c r="CE306" s="56">
        <f>($AL306-$AL307)*100</f>
        <v/>
      </c>
      <c r="CF306" s="56">
        <f>($AM306-$AM307)*100</f>
        <v/>
      </c>
      <c r="CG306" s="56">
        <f>($AN306-$AN307)*100</f>
        <v/>
      </c>
      <c r="CH306" s="56">
        <f>($AO306-$AO307)*100</f>
        <v/>
      </c>
      <c r="CI306" s="56">
        <f>($AP306-$AP307)*100</f>
        <v/>
      </c>
      <c r="CJ306" s="56">
        <f>($AQ306-$AQ307)*100</f>
        <v/>
      </c>
      <c r="CK306" s="56">
        <f>($AR306-$AR307)*100</f>
        <v/>
      </c>
      <c r="CL306" s="56">
        <f>($AS306-$AS307)*100</f>
        <v/>
      </c>
      <c r="CM306" s="56">
        <f>($AT306-$AT307)*100</f>
        <v/>
      </c>
      <c r="CN306" s="56">
        <f>($AU306-$AU307)*100</f>
        <v/>
      </c>
      <c r="CO306" s="56">
        <f>($AV306-$AV307)*100</f>
        <v/>
      </c>
      <c r="CP306" s="56">
        <f>($AW306-$AW307)*100</f>
        <v/>
      </c>
      <c r="CQ306" s="56">
        <f>($AX306-$AX307)*100</f>
        <v/>
      </c>
      <c r="CR306" s="56">
        <f>($AY306-$AY307)*100</f>
        <v/>
      </c>
      <c r="CS306" s="57">
        <f>IFERROR($L307/$L306-1,"")</f>
        <v/>
      </c>
      <c r="CT306" s="57">
        <f>IFERROR($M307/$M306-1,"")</f>
        <v/>
      </c>
      <c r="CU306" s="57">
        <f>IFERROR($N307/$N306-1,"")</f>
        <v/>
      </c>
      <c r="CV306" s="57">
        <f>IFERROR($O307/$O306-1,"")</f>
        <v/>
      </c>
      <c r="CW306" s="57">
        <f>IFERROR($P307/$P306-1,"")</f>
        <v/>
      </c>
      <c r="CX306" s="57">
        <f>IFERROR($Q307/$Q306-1,"")</f>
        <v/>
      </c>
      <c r="CY306" s="57">
        <f>IFERROR($R307/$R306-1,"")</f>
        <v/>
      </c>
      <c r="CZ306" s="57">
        <f>IFERROR($S307/$S306-1,"")</f>
        <v/>
      </c>
      <c r="DA306" s="57">
        <f>IFERROR($T307/$T306-1,"")</f>
        <v/>
      </c>
      <c r="DB306" s="57">
        <f>IFERROR($U307/$U306-1,"")</f>
        <v/>
      </c>
      <c r="DC306" s="57">
        <f>IFERROR($V307/$V306-1,"")</f>
        <v/>
      </c>
      <c r="DD306" s="57">
        <f>IFERROR($W307/$W306-1,"")</f>
        <v/>
      </c>
      <c r="DE306" s="57">
        <f>IFERROR($X307/$X306-1,"")</f>
        <v/>
      </c>
      <c r="DF306" s="57">
        <f>IFERROR($Y307/$Y306-1,"")</f>
        <v/>
      </c>
      <c r="DG306" s="57">
        <f>IFERROR($Z307/$Z306-1,"")</f>
        <v/>
      </c>
      <c r="DH306" s="57">
        <f>IFERROR($AA307/$AA306-1,"")</f>
        <v/>
      </c>
      <c r="DI306" s="57">
        <f>IFERROR($AB307/$AB306-1,"")</f>
        <v/>
      </c>
      <c r="DJ306" s="57">
        <f>IFERROR($AC307/$AC306-1,"")</f>
        <v/>
      </c>
      <c r="DK306" s="57">
        <f>IFERROR($AD307/$AD306-1,"")</f>
        <v/>
      </c>
      <c r="DL306" s="57">
        <f>IFERROR($AE307/$AE306-1,"")</f>
        <v/>
      </c>
      <c r="DM306" s="56">
        <f>$AZ306-$AZ307</f>
        <v/>
      </c>
      <c r="DN306" s="56">
        <f>$BA306-$BA307</f>
        <v/>
      </c>
      <c r="DO306" s="56">
        <f>$BB306-$BB307</f>
        <v/>
      </c>
      <c r="DP306" s="56">
        <f>$BC306-$BC307</f>
        <v/>
      </c>
      <c r="DQ306" s="56">
        <f>$BD306-$BD307</f>
        <v/>
      </c>
      <c r="DR306" s="56">
        <f>$BE306-$BE307</f>
        <v/>
      </c>
      <c r="DS306" s="56">
        <f>$BF306-$BF307</f>
        <v/>
      </c>
      <c r="DT306" s="56">
        <f>$BG306-$BG307</f>
        <v/>
      </c>
      <c r="DU306" s="56">
        <f>$BH306-$BH307</f>
        <v/>
      </c>
      <c r="DV306" s="56">
        <f>$BI306-$BI307</f>
        <v/>
      </c>
      <c r="DW306" s="56">
        <f>$BJ306-$BJ307</f>
        <v/>
      </c>
      <c r="DX306" s="56">
        <f>$BK306-$BK307</f>
        <v/>
      </c>
      <c r="DY306" s="56">
        <f>$BL306-$BL307</f>
        <v/>
      </c>
      <c r="DZ306" s="56">
        <f>$BM306-$BM307</f>
        <v/>
      </c>
      <c r="EA306" s="56">
        <f>$BN306-$BN307</f>
        <v/>
      </c>
      <c r="EB306" s="56">
        <f>$BO306-$BO307</f>
        <v/>
      </c>
      <c r="EC306" s="56">
        <f>$BP306-$BP307</f>
        <v/>
      </c>
      <c r="ED306" s="56">
        <f>$BQ306-$BQ307</f>
        <v/>
      </c>
      <c r="EE306" s="56">
        <f>$BR306-$BR307</f>
        <v/>
      </c>
      <c r="EF306" s="56">
        <f>$BS306-$BS307</f>
        <v/>
      </c>
      <c r="EG306" s="56">
        <f>$BT306-$BT307</f>
        <v/>
      </c>
      <c r="EH306" s="56">
        <f>$BU306-$BU307</f>
        <v/>
      </c>
    </row>
    <row r="307">
      <c r="BV307" s="56">
        <f>($D307-$D308)*100</f>
        <v/>
      </c>
      <c r="BW307" s="56">
        <f>($C307-$C308)*100</f>
        <v/>
      </c>
      <c r="BX307" s="57">
        <f>IFERROR($I307/$I308-1,"")</f>
        <v/>
      </c>
      <c r="BY307" s="56">
        <f>($AF307-$AF308)*100</f>
        <v/>
      </c>
      <c r="BZ307" s="56">
        <f>($AG307-$AG308)*100</f>
        <v/>
      </c>
      <c r="CA307" s="56">
        <f>($AH307-$AH308)*100</f>
        <v/>
      </c>
      <c r="CB307" s="56">
        <f>($AI307-$AI308)*100</f>
        <v/>
      </c>
      <c r="CC307" s="56">
        <f>($AJ307-$AJ308)*100</f>
        <v/>
      </c>
      <c r="CD307" s="56">
        <f>($AK307-$AK308)*100</f>
        <v/>
      </c>
      <c r="CE307" s="56">
        <f>($AL307-$AL308)*100</f>
        <v/>
      </c>
      <c r="CF307" s="56">
        <f>($AM307-$AM308)*100</f>
        <v/>
      </c>
      <c r="CG307" s="56">
        <f>($AN307-$AN308)*100</f>
        <v/>
      </c>
      <c r="CH307" s="56">
        <f>($AO307-$AO308)*100</f>
        <v/>
      </c>
      <c r="CI307" s="56">
        <f>($AP307-$AP308)*100</f>
        <v/>
      </c>
      <c r="CJ307" s="56">
        <f>($AQ307-$AQ308)*100</f>
        <v/>
      </c>
      <c r="CK307" s="56">
        <f>($AR307-$AR308)*100</f>
        <v/>
      </c>
      <c r="CL307" s="56">
        <f>($AS307-$AS308)*100</f>
        <v/>
      </c>
      <c r="CM307" s="56">
        <f>($AT307-$AT308)*100</f>
        <v/>
      </c>
      <c r="CN307" s="56">
        <f>($AU307-$AU308)*100</f>
        <v/>
      </c>
      <c r="CO307" s="56">
        <f>($AV307-$AV308)*100</f>
        <v/>
      </c>
      <c r="CP307" s="56">
        <f>($AW307-$AW308)*100</f>
        <v/>
      </c>
      <c r="CQ307" s="56">
        <f>($AX307-$AX308)*100</f>
        <v/>
      </c>
      <c r="CR307" s="56">
        <f>($AY307-$AY308)*100</f>
        <v/>
      </c>
      <c r="CS307" s="57">
        <f>IFERROR($L308/$L307-1,"")</f>
        <v/>
      </c>
      <c r="CT307" s="57">
        <f>IFERROR($M308/$M307-1,"")</f>
        <v/>
      </c>
      <c r="CU307" s="57">
        <f>IFERROR($N308/$N307-1,"")</f>
        <v/>
      </c>
      <c r="CV307" s="57">
        <f>IFERROR($O308/$O307-1,"")</f>
        <v/>
      </c>
      <c r="CW307" s="57">
        <f>IFERROR($P308/$P307-1,"")</f>
        <v/>
      </c>
      <c r="CX307" s="57">
        <f>IFERROR($Q308/$Q307-1,"")</f>
        <v/>
      </c>
      <c r="CY307" s="57">
        <f>IFERROR($R308/$R307-1,"")</f>
        <v/>
      </c>
      <c r="CZ307" s="57">
        <f>IFERROR($S308/$S307-1,"")</f>
        <v/>
      </c>
      <c r="DA307" s="57">
        <f>IFERROR($T308/$T307-1,"")</f>
        <v/>
      </c>
      <c r="DB307" s="57">
        <f>IFERROR($U308/$U307-1,"")</f>
        <v/>
      </c>
      <c r="DC307" s="57">
        <f>IFERROR($V308/$V307-1,"")</f>
        <v/>
      </c>
      <c r="DD307" s="57">
        <f>IFERROR($W308/$W307-1,"")</f>
        <v/>
      </c>
      <c r="DE307" s="57">
        <f>IFERROR($X308/$X307-1,"")</f>
        <v/>
      </c>
      <c r="DF307" s="57">
        <f>IFERROR($Y308/$Y307-1,"")</f>
        <v/>
      </c>
      <c r="DG307" s="57">
        <f>IFERROR($Z308/$Z307-1,"")</f>
        <v/>
      </c>
      <c r="DH307" s="57">
        <f>IFERROR($AA308/$AA307-1,"")</f>
        <v/>
      </c>
      <c r="DI307" s="57">
        <f>IFERROR($AB308/$AB307-1,"")</f>
        <v/>
      </c>
      <c r="DJ307" s="57">
        <f>IFERROR($AC308/$AC307-1,"")</f>
        <v/>
      </c>
      <c r="DK307" s="57">
        <f>IFERROR($AD308/$AD307-1,"")</f>
        <v/>
      </c>
      <c r="DL307" s="57">
        <f>IFERROR($AE308/$AE307-1,"")</f>
        <v/>
      </c>
      <c r="DM307" s="56">
        <f>$AZ307-$AZ308</f>
        <v/>
      </c>
      <c r="DN307" s="56">
        <f>$BA307-$BA308</f>
        <v/>
      </c>
      <c r="DO307" s="56">
        <f>$BB307-$BB308</f>
        <v/>
      </c>
      <c r="DP307" s="56">
        <f>$BC307-$BC308</f>
        <v/>
      </c>
      <c r="DQ307" s="56">
        <f>$BD307-$BD308</f>
        <v/>
      </c>
      <c r="DR307" s="56">
        <f>$BE307-$BE308</f>
        <v/>
      </c>
      <c r="DS307" s="56">
        <f>$BF307-$BF308</f>
        <v/>
      </c>
      <c r="DT307" s="56">
        <f>$BG307-$BG308</f>
        <v/>
      </c>
      <c r="DU307" s="56">
        <f>$BH307-$BH308</f>
        <v/>
      </c>
      <c r="DV307" s="56">
        <f>$BI307-$BI308</f>
        <v/>
      </c>
      <c r="DW307" s="56">
        <f>$BJ307-$BJ308</f>
        <v/>
      </c>
      <c r="DX307" s="56">
        <f>$BK307-$BK308</f>
        <v/>
      </c>
      <c r="DY307" s="56">
        <f>$BL307-$BL308</f>
        <v/>
      </c>
      <c r="DZ307" s="56">
        <f>$BM307-$BM308</f>
        <v/>
      </c>
      <c r="EA307" s="56">
        <f>$BN307-$BN308</f>
        <v/>
      </c>
      <c r="EB307" s="56">
        <f>$BO307-$BO308</f>
        <v/>
      </c>
      <c r="EC307" s="56">
        <f>$BP307-$BP308</f>
        <v/>
      </c>
      <c r="ED307" s="56">
        <f>$BQ307-$BQ308</f>
        <v/>
      </c>
      <c r="EE307" s="56">
        <f>$BR307-$BR308</f>
        <v/>
      </c>
      <c r="EF307" s="56">
        <f>$BS307-$BS308</f>
        <v/>
      </c>
      <c r="EG307" s="56">
        <f>$BT307-$BT308</f>
        <v/>
      </c>
      <c r="EH307" s="56">
        <f>$BU307-$BU308</f>
        <v/>
      </c>
    </row>
    <row r="308">
      <c r="BV308" s="56">
        <f>($D308-$D309)*100</f>
        <v/>
      </c>
      <c r="BW308" s="56">
        <f>($C308-$C309)*100</f>
        <v/>
      </c>
      <c r="BX308" s="57">
        <f>IFERROR($I308/$I309-1,"")</f>
        <v/>
      </c>
      <c r="BY308" s="56">
        <f>($AF308-$AF309)*100</f>
        <v/>
      </c>
      <c r="BZ308" s="56">
        <f>($AG308-$AG309)*100</f>
        <v/>
      </c>
      <c r="CA308" s="56">
        <f>($AH308-$AH309)*100</f>
        <v/>
      </c>
      <c r="CB308" s="56">
        <f>($AI308-$AI309)*100</f>
        <v/>
      </c>
      <c r="CC308" s="56">
        <f>($AJ308-$AJ309)*100</f>
        <v/>
      </c>
      <c r="CD308" s="56">
        <f>($AK308-$AK309)*100</f>
        <v/>
      </c>
      <c r="CE308" s="56">
        <f>($AL308-$AL309)*100</f>
        <v/>
      </c>
      <c r="CF308" s="56">
        <f>($AM308-$AM309)*100</f>
        <v/>
      </c>
      <c r="CG308" s="56">
        <f>($AN308-$AN309)*100</f>
        <v/>
      </c>
      <c r="CH308" s="56">
        <f>($AO308-$AO309)*100</f>
        <v/>
      </c>
      <c r="CI308" s="56">
        <f>($AP308-$AP309)*100</f>
        <v/>
      </c>
      <c r="CJ308" s="56">
        <f>($AQ308-$AQ309)*100</f>
        <v/>
      </c>
      <c r="CK308" s="56">
        <f>($AR308-$AR309)*100</f>
        <v/>
      </c>
      <c r="CL308" s="56">
        <f>($AS308-$AS309)*100</f>
        <v/>
      </c>
      <c r="CM308" s="56">
        <f>($AT308-$AT309)*100</f>
        <v/>
      </c>
      <c r="CN308" s="56">
        <f>($AU308-$AU309)*100</f>
        <v/>
      </c>
      <c r="CO308" s="56">
        <f>($AV308-$AV309)*100</f>
        <v/>
      </c>
      <c r="CP308" s="56">
        <f>($AW308-$AW309)*100</f>
        <v/>
      </c>
      <c r="CQ308" s="56">
        <f>($AX308-$AX309)*100</f>
        <v/>
      </c>
      <c r="CR308" s="56">
        <f>($AY308-$AY309)*100</f>
        <v/>
      </c>
      <c r="CS308" s="57">
        <f>IFERROR($L309/$L308-1,"")</f>
        <v/>
      </c>
      <c r="CT308" s="57">
        <f>IFERROR($M309/$M308-1,"")</f>
        <v/>
      </c>
      <c r="CU308" s="57">
        <f>IFERROR($N309/$N308-1,"")</f>
        <v/>
      </c>
      <c r="CV308" s="57">
        <f>IFERROR($O309/$O308-1,"")</f>
        <v/>
      </c>
      <c r="CW308" s="57">
        <f>IFERROR($P309/$P308-1,"")</f>
        <v/>
      </c>
      <c r="CX308" s="57">
        <f>IFERROR($Q309/$Q308-1,"")</f>
        <v/>
      </c>
      <c r="CY308" s="57">
        <f>IFERROR($R309/$R308-1,"")</f>
        <v/>
      </c>
      <c r="CZ308" s="57">
        <f>IFERROR($S309/$S308-1,"")</f>
        <v/>
      </c>
      <c r="DA308" s="57">
        <f>IFERROR($T309/$T308-1,"")</f>
        <v/>
      </c>
      <c r="DB308" s="57">
        <f>IFERROR($U309/$U308-1,"")</f>
        <v/>
      </c>
      <c r="DC308" s="57">
        <f>IFERROR($V309/$V308-1,"")</f>
        <v/>
      </c>
      <c r="DD308" s="57">
        <f>IFERROR($W309/$W308-1,"")</f>
        <v/>
      </c>
      <c r="DE308" s="57">
        <f>IFERROR($X309/$X308-1,"")</f>
        <v/>
      </c>
      <c r="DF308" s="57">
        <f>IFERROR($Y309/$Y308-1,"")</f>
        <v/>
      </c>
      <c r="DG308" s="57">
        <f>IFERROR($Z309/$Z308-1,"")</f>
        <v/>
      </c>
      <c r="DH308" s="57">
        <f>IFERROR($AA309/$AA308-1,"")</f>
        <v/>
      </c>
      <c r="DI308" s="57">
        <f>IFERROR($AB309/$AB308-1,"")</f>
        <v/>
      </c>
      <c r="DJ308" s="57">
        <f>IFERROR($AC309/$AC308-1,"")</f>
        <v/>
      </c>
      <c r="DK308" s="57">
        <f>IFERROR($AD309/$AD308-1,"")</f>
        <v/>
      </c>
      <c r="DL308" s="57">
        <f>IFERROR($AE309/$AE308-1,"")</f>
        <v/>
      </c>
      <c r="DM308" s="56">
        <f>$AZ308-$AZ309</f>
        <v/>
      </c>
      <c r="DN308" s="56">
        <f>$BA308-$BA309</f>
        <v/>
      </c>
      <c r="DO308" s="56">
        <f>$BB308-$BB309</f>
        <v/>
      </c>
      <c r="DP308" s="56">
        <f>$BC308-$BC309</f>
        <v/>
      </c>
      <c r="DQ308" s="56">
        <f>$BD308-$BD309</f>
        <v/>
      </c>
      <c r="DR308" s="56">
        <f>$BE308-$BE309</f>
        <v/>
      </c>
      <c r="DS308" s="56">
        <f>$BF308-$BF309</f>
        <v/>
      </c>
      <c r="DT308" s="56">
        <f>$BG308-$BG309</f>
        <v/>
      </c>
      <c r="DU308" s="56">
        <f>$BH308-$BH309</f>
        <v/>
      </c>
      <c r="DV308" s="56">
        <f>$BI308-$BI309</f>
        <v/>
      </c>
      <c r="DW308" s="56">
        <f>$BJ308-$BJ309</f>
        <v/>
      </c>
      <c r="DX308" s="56">
        <f>$BK308-$BK309</f>
        <v/>
      </c>
      <c r="DY308" s="56">
        <f>$BL308-$BL309</f>
        <v/>
      </c>
      <c r="DZ308" s="56">
        <f>$BM308-$BM309</f>
        <v/>
      </c>
      <c r="EA308" s="56">
        <f>$BN308-$BN309</f>
        <v/>
      </c>
      <c r="EB308" s="56">
        <f>$BO308-$BO309</f>
        <v/>
      </c>
      <c r="EC308" s="56">
        <f>$BP308-$BP309</f>
        <v/>
      </c>
      <c r="ED308" s="56">
        <f>$BQ308-$BQ309</f>
        <v/>
      </c>
      <c r="EE308" s="56">
        <f>$BR308-$BR309</f>
        <v/>
      </c>
      <c r="EF308" s="56">
        <f>$BS308-$BS309</f>
        <v/>
      </c>
      <c r="EG308" s="56">
        <f>$BT308-$BT309</f>
        <v/>
      </c>
      <c r="EH308" s="56">
        <f>$BU308-$BU309</f>
        <v/>
      </c>
    </row>
    <row r="309">
      <c r="BV309" s="56">
        <f>($D309-$D310)*100</f>
        <v/>
      </c>
      <c r="BW309" s="56">
        <f>($C309-$C310)*100</f>
        <v/>
      </c>
      <c r="BX309" s="57">
        <f>IFERROR($I309/$I310-1,"")</f>
        <v/>
      </c>
      <c r="BY309" s="56">
        <f>($AF309-$AF310)*100</f>
        <v/>
      </c>
      <c r="BZ309" s="56">
        <f>($AG309-$AG310)*100</f>
        <v/>
      </c>
      <c r="CA309" s="56">
        <f>($AH309-$AH310)*100</f>
        <v/>
      </c>
      <c r="CB309" s="56">
        <f>($AI309-$AI310)*100</f>
        <v/>
      </c>
      <c r="CC309" s="56">
        <f>($AJ309-$AJ310)*100</f>
        <v/>
      </c>
      <c r="CD309" s="56">
        <f>($AK309-$AK310)*100</f>
        <v/>
      </c>
      <c r="CE309" s="56">
        <f>($AL309-$AL310)*100</f>
        <v/>
      </c>
      <c r="CF309" s="56">
        <f>($AM309-$AM310)*100</f>
        <v/>
      </c>
      <c r="CG309" s="56">
        <f>($AN309-$AN310)*100</f>
        <v/>
      </c>
      <c r="CH309" s="56">
        <f>($AO309-$AO310)*100</f>
        <v/>
      </c>
      <c r="CI309" s="56">
        <f>($AP309-$AP310)*100</f>
        <v/>
      </c>
      <c r="CJ309" s="56">
        <f>($AQ309-$AQ310)*100</f>
        <v/>
      </c>
      <c r="CK309" s="56">
        <f>($AR309-$AR310)*100</f>
        <v/>
      </c>
      <c r="CL309" s="56">
        <f>($AS309-$AS310)*100</f>
        <v/>
      </c>
      <c r="CM309" s="56">
        <f>($AT309-$AT310)*100</f>
        <v/>
      </c>
      <c r="CN309" s="56">
        <f>($AU309-$AU310)*100</f>
        <v/>
      </c>
      <c r="CO309" s="56">
        <f>($AV309-$AV310)*100</f>
        <v/>
      </c>
      <c r="CP309" s="56">
        <f>($AW309-$AW310)*100</f>
        <v/>
      </c>
      <c r="CQ309" s="56">
        <f>($AX309-$AX310)*100</f>
        <v/>
      </c>
      <c r="CR309" s="56">
        <f>($AY309-$AY310)*100</f>
        <v/>
      </c>
      <c r="CS309" s="57">
        <f>IFERROR($L310/$L309-1,"")</f>
        <v/>
      </c>
      <c r="CT309" s="57">
        <f>IFERROR($M310/$M309-1,"")</f>
        <v/>
      </c>
      <c r="CU309" s="57">
        <f>IFERROR($N310/$N309-1,"")</f>
        <v/>
      </c>
      <c r="CV309" s="57">
        <f>IFERROR($O310/$O309-1,"")</f>
        <v/>
      </c>
      <c r="CW309" s="57">
        <f>IFERROR($P310/$P309-1,"")</f>
        <v/>
      </c>
      <c r="CX309" s="57">
        <f>IFERROR($Q310/$Q309-1,"")</f>
        <v/>
      </c>
      <c r="CY309" s="57">
        <f>IFERROR($R310/$R309-1,"")</f>
        <v/>
      </c>
      <c r="CZ309" s="57">
        <f>IFERROR($S310/$S309-1,"")</f>
        <v/>
      </c>
      <c r="DA309" s="57">
        <f>IFERROR($T310/$T309-1,"")</f>
        <v/>
      </c>
      <c r="DB309" s="57">
        <f>IFERROR($U310/$U309-1,"")</f>
        <v/>
      </c>
      <c r="DC309" s="57">
        <f>IFERROR($V310/$V309-1,"")</f>
        <v/>
      </c>
      <c r="DD309" s="57">
        <f>IFERROR($W310/$W309-1,"")</f>
        <v/>
      </c>
      <c r="DE309" s="57">
        <f>IFERROR($X310/$X309-1,"")</f>
        <v/>
      </c>
      <c r="DF309" s="57">
        <f>IFERROR($Y310/$Y309-1,"")</f>
        <v/>
      </c>
      <c r="DG309" s="57">
        <f>IFERROR($Z310/$Z309-1,"")</f>
        <v/>
      </c>
      <c r="DH309" s="57">
        <f>IFERROR($AA310/$AA309-1,"")</f>
        <v/>
      </c>
      <c r="DI309" s="57">
        <f>IFERROR($AB310/$AB309-1,"")</f>
        <v/>
      </c>
      <c r="DJ309" s="57">
        <f>IFERROR($AC310/$AC309-1,"")</f>
        <v/>
      </c>
      <c r="DK309" s="57">
        <f>IFERROR($AD310/$AD309-1,"")</f>
        <v/>
      </c>
      <c r="DL309" s="57">
        <f>IFERROR($AE310/$AE309-1,"")</f>
        <v/>
      </c>
      <c r="DM309" s="56">
        <f>$AZ309-$AZ310</f>
        <v/>
      </c>
      <c r="DN309" s="56">
        <f>$BA309-$BA310</f>
        <v/>
      </c>
      <c r="DO309" s="56">
        <f>$BB309-$BB310</f>
        <v/>
      </c>
      <c r="DP309" s="56">
        <f>$BC309-$BC310</f>
        <v/>
      </c>
      <c r="DQ309" s="56">
        <f>$BD309-$BD310</f>
        <v/>
      </c>
      <c r="DR309" s="56">
        <f>$BE309-$BE310</f>
        <v/>
      </c>
      <c r="DS309" s="56">
        <f>$BF309-$BF310</f>
        <v/>
      </c>
      <c r="DT309" s="56">
        <f>$BG309-$BG310</f>
        <v/>
      </c>
      <c r="DU309" s="56">
        <f>$BH309-$BH310</f>
        <v/>
      </c>
      <c r="DV309" s="56">
        <f>$BI309-$BI310</f>
        <v/>
      </c>
      <c r="DW309" s="56">
        <f>$BJ309-$BJ310</f>
        <v/>
      </c>
      <c r="DX309" s="56">
        <f>$BK309-$BK310</f>
        <v/>
      </c>
      <c r="DY309" s="56">
        <f>$BL309-$BL310</f>
        <v/>
      </c>
      <c r="DZ309" s="56">
        <f>$BM309-$BM310</f>
        <v/>
      </c>
      <c r="EA309" s="56">
        <f>$BN309-$BN310</f>
        <v/>
      </c>
      <c r="EB309" s="56">
        <f>$BO309-$BO310</f>
        <v/>
      </c>
      <c r="EC309" s="56">
        <f>$BP309-$BP310</f>
        <v/>
      </c>
      <c r="ED309" s="56">
        <f>$BQ309-$BQ310</f>
        <v/>
      </c>
      <c r="EE309" s="56">
        <f>$BR309-$BR310</f>
        <v/>
      </c>
      <c r="EF309" s="56">
        <f>$BS309-$BS310</f>
        <v/>
      </c>
      <c r="EG309" s="56">
        <f>$BT309-$BT310</f>
        <v/>
      </c>
      <c r="EH309" s="56">
        <f>$BU309-$BU310</f>
        <v/>
      </c>
    </row>
    <row r="310">
      <c r="BV310" s="56">
        <f>($D310-$D311)*100</f>
        <v/>
      </c>
      <c r="BW310" s="56">
        <f>($C310-$C311)*100</f>
        <v/>
      </c>
      <c r="BX310" s="57">
        <f>IFERROR($I310/$I311-1,"")</f>
        <v/>
      </c>
      <c r="BY310" s="56">
        <f>($AF310-$AF311)*100</f>
        <v/>
      </c>
      <c r="BZ310" s="56">
        <f>($AG310-$AG311)*100</f>
        <v/>
      </c>
      <c r="CA310" s="56">
        <f>($AH310-$AH311)*100</f>
        <v/>
      </c>
      <c r="CB310" s="56">
        <f>($AI310-$AI311)*100</f>
        <v/>
      </c>
      <c r="CC310" s="56">
        <f>($AJ310-$AJ311)*100</f>
        <v/>
      </c>
      <c r="CD310" s="56">
        <f>($AK310-$AK311)*100</f>
        <v/>
      </c>
      <c r="CE310" s="56">
        <f>($AL310-$AL311)*100</f>
        <v/>
      </c>
      <c r="CF310" s="56">
        <f>($AM310-$AM311)*100</f>
        <v/>
      </c>
      <c r="CG310" s="56">
        <f>($AN310-$AN311)*100</f>
        <v/>
      </c>
      <c r="CH310" s="56">
        <f>($AO310-$AO311)*100</f>
        <v/>
      </c>
      <c r="CI310" s="56">
        <f>($AP310-$AP311)*100</f>
        <v/>
      </c>
      <c r="CJ310" s="56">
        <f>($AQ310-$AQ311)*100</f>
        <v/>
      </c>
      <c r="CK310" s="56">
        <f>($AR310-$AR311)*100</f>
        <v/>
      </c>
      <c r="CL310" s="56">
        <f>($AS310-$AS311)*100</f>
        <v/>
      </c>
      <c r="CM310" s="56">
        <f>($AT310-$AT311)*100</f>
        <v/>
      </c>
      <c r="CN310" s="56">
        <f>($AU310-$AU311)*100</f>
        <v/>
      </c>
      <c r="CO310" s="56">
        <f>($AV310-$AV311)*100</f>
        <v/>
      </c>
      <c r="CP310" s="56">
        <f>($AW310-$AW311)*100</f>
        <v/>
      </c>
      <c r="CQ310" s="56">
        <f>($AX310-$AX311)*100</f>
        <v/>
      </c>
      <c r="CR310" s="56">
        <f>($AY310-$AY311)*100</f>
        <v/>
      </c>
      <c r="CS310" s="57">
        <f>IFERROR($L311/$L310-1,"")</f>
        <v/>
      </c>
      <c r="CT310" s="57">
        <f>IFERROR($M311/$M310-1,"")</f>
        <v/>
      </c>
      <c r="CU310" s="57">
        <f>IFERROR($N311/$N310-1,"")</f>
        <v/>
      </c>
      <c r="CV310" s="57">
        <f>IFERROR($O311/$O310-1,"")</f>
        <v/>
      </c>
      <c r="CW310" s="57">
        <f>IFERROR($P311/$P310-1,"")</f>
        <v/>
      </c>
      <c r="CX310" s="57">
        <f>IFERROR($Q311/$Q310-1,"")</f>
        <v/>
      </c>
      <c r="CY310" s="57">
        <f>IFERROR($R311/$R310-1,"")</f>
        <v/>
      </c>
      <c r="CZ310" s="57">
        <f>IFERROR($S311/$S310-1,"")</f>
        <v/>
      </c>
      <c r="DA310" s="57">
        <f>IFERROR($T311/$T310-1,"")</f>
        <v/>
      </c>
      <c r="DB310" s="57">
        <f>IFERROR($U311/$U310-1,"")</f>
        <v/>
      </c>
      <c r="DC310" s="57">
        <f>IFERROR($V311/$V310-1,"")</f>
        <v/>
      </c>
      <c r="DD310" s="57">
        <f>IFERROR($W311/$W310-1,"")</f>
        <v/>
      </c>
      <c r="DE310" s="57">
        <f>IFERROR($X311/$X310-1,"")</f>
        <v/>
      </c>
      <c r="DF310" s="57">
        <f>IFERROR($Y311/$Y310-1,"")</f>
        <v/>
      </c>
      <c r="DG310" s="57">
        <f>IFERROR($Z311/$Z310-1,"")</f>
        <v/>
      </c>
      <c r="DH310" s="57">
        <f>IFERROR($AA311/$AA310-1,"")</f>
        <v/>
      </c>
      <c r="DI310" s="57">
        <f>IFERROR($AB311/$AB310-1,"")</f>
        <v/>
      </c>
      <c r="DJ310" s="57">
        <f>IFERROR($AC311/$AC310-1,"")</f>
        <v/>
      </c>
      <c r="DK310" s="57">
        <f>IFERROR($AD311/$AD310-1,"")</f>
        <v/>
      </c>
      <c r="DL310" s="57">
        <f>IFERROR($AE311/$AE310-1,"")</f>
        <v/>
      </c>
      <c r="DM310" s="56">
        <f>$AZ310-$AZ311</f>
        <v/>
      </c>
      <c r="DN310" s="56">
        <f>$BA310-$BA311</f>
        <v/>
      </c>
      <c r="DO310" s="56">
        <f>$BB310-$BB311</f>
        <v/>
      </c>
      <c r="DP310" s="56">
        <f>$BC310-$BC311</f>
        <v/>
      </c>
      <c r="DQ310" s="56">
        <f>$BD310-$BD311</f>
        <v/>
      </c>
      <c r="DR310" s="56">
        <f>$BE310-$BE311</f>
        <v/>
      </c>
      <c r="DS310" s="56">
        <f>$BF310-$BF311</f>
        <v/>
      </c>
      <c r="DT310" s="56">
        <f>$BG310-$BG311</f>
        <v/>
      </c>
      <c r="DU310" s="56">
        <f>$BH310-$BH311</f>
        <v/>
      </c>
      <c r="DV310" s="56">
        <f>$BI310-$BI311</f>
        <v/>
      </c>
      <c r="DW310" s="56">
        <f>$BJ310-$BJ311</f>
        <v/>
      </c>
      <c r="DX310" s="56">
        <f>$BK310-$BK311</f>
        <v/>
      </c>
      <c r="DY310" s="56">
        <f>$BL310-$BL311</f>
        <v/>
      </c>
      <c r="DZ310" s="56">
        <f>$BM310-$BM311</f>
        <v/>
      </c>
      <c r="EA310" s="56">
        <f>$BN310-$BN311</f>
        <v/>
      </c>
      <c r="EB310" s="56">
        <f>$BO310-$BO311</f>
        <v/>
      </c>
      <c r="EC310" s="56">
        <f>$BP310-$BP311</f>
        <v/>
      </c>
      <c r="ED310" s="56">
        <f>$BQ310-$BQ311</f>
        <v/>
      </c>
      <c r="EE310" s="56">
        <f>$BR310-$BR311</f>
        <v/>
      </c>
      <c r="EF310" s="56">
        <f>$BS310-$BS311</f>
        <v/>
      </c>
      <c r="EG310" s="56">
        <f>$BT310-$BT311</f>
        <v/>
      </c>
      <c r="EH310" s="56">
        <f>$BU310-$BU311</f>
        <v/>
      </c>
    </row>
    <row r="311">
      <c r="BV311" s="56">
        <f>($D311-$D312)*100</f>
        <v/>
      </c>
      <c r="BW311" s="56">
        <f>($C311-$C312)*100</f>
        <v/>
      </c>
      <c r="BX311" s="57">
        <f>IFERROR($I311/$I312-1,"")</f>
        <v/>
      </c>
      <c r="BY311" s="56">
        <f>($AF311-$AF312)*100</f>
        <v/>
      </c>
      <c r="BZ311" s="56">
        <f>($AG311-$AG312)*100</f>
        <v/>
      </c>
      <c r="CA311" s="56">
        <f>($AH311-$AH312)*100</f>
        <v/>
      </c>
      <c r="CB311" s="56">
        <f>($AI311-$AI312)*100</f>
        <v/>
      </c>
      <c r="CC311" s="56">
        <f>($AJ311-$AJ312)*100</f>
        <v/>
      </c>
      <c r="CD311" s="56">
        <f>($AK311-$AK312)*100</f>
        <v/>
      </c>
      <c r="CE311" s="56">
        <f>($AL311-$AL312)*100</f>
        <v/>
      </c>
      <c r="CF311" s="56">
        <f>($AM311-$AM312)*100</f>
        <v/>
      </c>
      <c r="CG311" s="56">
        <f>($AN311-$AN312)*100</f>
        <v/>
      </c>
      <c r="CH311" s="56">
        <f>($AO311-$AO312)*100</f>
        <v/>
      </c>
      <c r="CI311" s="56">
        <f>($AP311-$AP312)*100</f>
        <v/>
      </c>
      <c r="CJ311" s="56">
        <f>($AQ311-$AQ312)*100</f>
        <v/>
      </c>
      <c r="CK311" s="56">
        <f>($AR311-$AR312)*100</f>
        <v/>
      </c>
      <c r="CL311" s="56">
        <f>($AS311-$AS312)*100</f>
        <v/>
      </c>
      <c r="CM311" s="56">
        <f>($AT311-$AT312)*100</f>
        <v/>
      </c>
      <c r="CN311" s="56">
        <f>($AU311-$AU312)*100</f>
        <v/>
      </c>
      <c r="CO311" s="56">
        <f>($AV311-$AV312)*100</f>
        <v/>
      </c>
      <c r="CP311" s="56">
        <f>($AW311-$AW312)*100</f>
        <v/>
      </c>
      <c r="CQ311" s="56">
        <f>($AX311-$AX312)*100</f>
        <v/>
      </c>
      <c r="CR311" s="56">
        <f>($AY311-$AY312)*100</f>
        <v/>
      </c>
      <c r="CS311" s="57">
        <f>IFERROR($L312/$L311-1,"")</f>
        <v/>
      </c>
      <c r="CT311" s="57">
        <f>IFERROR($M312/$M311-1,"")</f>
        <v/>
      </c>
      <c r="CU311" s="57">
        <f>IFERROR($N312/$N311-1,"")</f>
        <v/>
      </c>
      <c r="CV311" s="57">
        <f>IFERROR($O312/$O311-1,"")</f>
        <v/>
      </c>
      <c r="CW311" s="57">
        <f>IFERROR($P312/$P311-1,"")</f>
        <v/>
      </c>
      <c r="CX311" s="57">
        <f>IFERROR($Q312/$Q311-1,"")</f>
        <v/>
      </c>
      <c r="CY311" s="57">
        <f>IFERROR($R312/$R311-1,"")</f>
        <v/>
      </c>
      <c r="CZ311" s="57">
        <f>IFERROR($S312/$S311-1,"")</f>
        <v/>
      </c>
      <c r="DA311" s="57">
        <f>IFERROR($T312/$T311-1,"")</f>
        <v/>
      </c>
      <c r="DB311" s="57">
        <f>IFERROR($U312/$U311-1,"")</f>
        <v/>
      </c>
      <c r="DC311" s="57">
        <f>IFERROR($V312/$V311-1,"")</f>
        <v/>
      </c>
      <c r="DD311" s="57">
        <f>IFERROR($W312/$W311-1,"")</f>
        <v/>
      </c>
      <c r="DE311" s="57">
        <f>IFERROR($X312/$X311-1,"")</f>
        <v/>
      </c>
      <c r="DF311" s="57">
        <f>IFERROR($Y312/$Y311-1,"")</f>
        <v/>
      </c>
      <c r="DG311" s="57">
        <f>IFERROR($Z312/$Z311-1,"")</f>
        <v/>
      </c>
      <c r="DH311" s="57">
        <f>IFERROR($AA312/$AA311-1,"")</f>
        <v/>
      </c>
      <c r="DI311" s="57">
        <f>IFERROR($AB312/$AB311-1,"")</f>
        <v/>
      </c>
      <c r="DJ311" s="57">
        <f>IFERROR($AC312/$AC311-1,"")</f>
        <v/>
      </c>
      <c r="DK311" s="57">
        <f>IFERROR($AD312/$AD311-1,"")</f>
        <v/>
      </c>
      <c r="DL311" s="57">
        <f>IFERROR($AE312/$AE311-1,"")</f>
        <v/>
      </c>
      <c r="DM311" s="56">
        <f>$AZ311-$AZ312</f>
        <v/>
      </c>
      <c r="DN311" s="56">
        <f>$BA311-$BA312</f>
        <v/>
      </c>
      <c r="DO311" s="56">
        <f>$BB311-$BB312</f>
        <v/>
      </c>
      <c r="DP311" s="56">
        <f>$BC311-$BC312</f>
        <v/>
      </c>
      <c r="DQ311" s="56">
        <f>$BD311-$BD312</f>
        <v/>
      </c>
      <c r="DR311" s="56">
        <f>$BE311-$BE312</f>
        <v/>
      </c>
      <c r="DS311" s="56">
        <f>$BF311-$BF312</f>
        <v/>
      </c>
      <c r="DT311" s="56">
        <f>$BG311-$BG312</f>
        <v/>
      </c>
      <c r="DU311" s="56">
        <f>$BH311-$BH312</f>
        <v/>
      </c>
      <c r="DV311" s="56">
        <f>$BI311-$BI312</f>
        <v/>
      </c>
      <c r="DW311" s="56">
        <f>$BJ311-$BJ312</f>
        <v/>
      </c>
      <c r="DX311" s="56">
        <f>$BK311-$BK312</f>
        <v/>
      </c>
      <c r="DY311" s="56">
        <f>$BL311-$BL312</f>
        <v/>
      </c>
      <c r="DZ311" s="56">
        <f>$BM311-$BM312</f>
        <v/>
      </c>
      <c r="EA311" s="56">
        <f>$BN311-$BN312</f>
        <v/>
      </c>
      <c r="EB311" s="56">
        <f>$BO311-$BO312</f>
        <v/>
      </c>
      <c r="EC311" s="56">
        <f>$BP311-$BP312</f>
        <v/>
      </c>
      <c r="ED311" s="56">
        <f>$BQ311-$BQ312</f>
        <v/>
      </c>
      <c r="EE311" s="56">
        <f>$BR311-$BR312</f>
        <v/>
      </c>
      <c r="EF311" s="56">
        <f>$BS311-$BS312</f>
        <v/>
      </c>
      <c r="EG311" s="56">
        <f>$BT311-$BT312</f>
        <v/>
      </c>
      <c r="EH311" s="56">
        <f>$BU311-$BU312</f>
        <v/>
      </c>
    </row>
    <row r="312">
      <c r="BV312" s="56">
        <f>($D312-$D313)*100</f>
        <v/>
      </c>
      <c r="BW312" s="56">
        <f>($C312-$C313)*100</f>
        <v/>
      </c>
      <c r="BX312" s="57">
        <f>IFERROR($I312/$I313-1,"")</f>
        <v/>
      </c>
      <c r="BY312" s="56">
        <f>($AF312-$AF313)*100</f>
        <v/>
      </c>
      <c r="BZ312" s="56">
        <f>($AG312-$AG313)*100</f>
        <v/>
      </c>
      <c r="CA312" s="56">
        <f>($AH312-$AH313)*100</f>
        <v/>
      </c>
      <c r="CB312" s="56">
        <f>($AI312-$AI313)*100</f>
        <v/>
      </c>
      <c r="CC312" s="56">
        <f>($AJ312-$AJ313)*100</f>
        <v/>
      </c>
      <c r="CD312" s="56">
        <f>($AK312-$AK313)*100</f>
        <v/>
      </c>
      <c r="CE312" s="56">
        <f>($AL312-$AL313)*100</f>
        <v/>
      </c>
      <c r="CF312" s="56">
        <f>($AM312-$AM313)*100</f>
        <v/>
      </c>
      <c r="CG312" s="56">
        <f>($AN312-$AN313)*100</f>
        <v/>
      </c>
      <c r="CH312" s="56">
        <f>($AO312-$AO313)*100</f>
        <v/>
      </c>
      <c r="CI312" s="56">
        <f>($AP312-$AP313)*100</f>
        <v/>
      </c>
      <c r="CJ312" s="56">
        <f>($AQ312-$AQ313)*100</f>
        <v/>
      </c>
      <c r="CK312" s="56">
        <f>($AR312-$AR313)*100</f>
        <v/>
      </c>
      <c r="CL312" s="56">
        <f>($AS312-$AS313)*100</f>
        <v/>
      </c>
      <c r="CM312" s="56">
        <f>($AT312-$AT313)*100</f>
        <v/>
      </c>
      <c r="CN312" s="56">
        <f>($AU312-$AU313)*100</f>
        <v/>
      </c>
      <c r="CO312" s="56">
        <f>($AV312-$AV313)*100</f>
        <v/>
      </c>
      <c r="CP312" s="56">
        <f>($AW312-$AW313)*100</f>
        <v/>
      </c>
      <c r="CQ312" s="56">
        <f>($AX312-$AX313)*100</f>
        <v/>
      </c>
      <c r="CR312" s="56">
        <f>($AY312-$AY313)*100</f>
        <v/>
      </c>
      <c r="CS312" s="57">
        <f>IFERROR($L313/$L312-1,"")</f>
        <v/>
      </c>
      <c r="CT312" s="57">
        <f>IFERROR($M313/$M312-1,"")</f>
        <v/>
      </c>
      <c r="CU312" s="57">
        <f>IFERROR($N313/$N312-1,"")</f>
        <v/>
      </c>
      <c r="CV312" s="57">
        <f>IFERROR($O313/$O312-1,"")</f>
        <v/>
      </c>
      <c r="CW312" s="57">
        <f>IFERROR($P313/$P312-1,"")</f>
        <v/>
      </c>
      <c r="CX312" s="57">
        <f>IFERROR($Q313/$Q312-1,"")</f>
        <v/>
      </c>
      <c r="CY312" s="57">
        <f>IFERROR($R313/$R312-1,"")</f>
        <v/>
      </c>
      <c r="CZ312" s="57">
        <f>IFERROR($S313/$S312-1,"")</f>
        <v/>
      </c>
      <c r="DA312" s="57">
        <f>IFERROR($T313/$T312-1,"")</f>
        <v/>
      </c>
      <c r="DB312" s="57">
        <f>IFERROR($U313/$U312-1,"")</f>
        <v/>
      </c>
      <c r="DC312" s="57">
        <f>IFERROR($V313/$V312-1,"")</f>
        <v/>
      </c>
      <c r="DD312" s="57">
        <f>IFERROR($W313/$W312-1,"")</f>
        <v/>
      </c>
      <c r="DE312" s="57">
        <f>IFERROR($X313/$X312-1,"")</f>
        <v/>
      </c>
      <c r="DF312" s="57">
        <f>IFERROR($Y313/$Y312-1,"")</f>
        <v/>
      </c>
      <c r="DG312" s="57">
        <f>IFERROR($Z313/$Z312-1,"")</f>
        <v/>
      </c>
      <c r="DH312" s="57">
        <f>IFERROR($AA313/$AA312-1,"")</f>
        <v/>
      </c>
      <c r="DI312" s="57">
        <f>IFERROR($AB313/$AB312-1,"")</f>
        <v/>
      </c>
      <c r="DJ312" s="57">
        <f>IFERROR($AC313/$AC312-1,"")</f>
        <v/>
      </c>
      <c r="DK312" s="57">
        <f>IFERROR($AD313/$AD312-1,"")</f>
        <v/>
      </c>
      <c r="DL312" s="57">
        <f>IFERROR($AE313/$AE312-1,"")</f>
        <v/>
      </c>
      <c r="DM312" s="56">
        <f>$AZ312-$AZ313</f>
        <v/>
      </c>
      <c r="DN312" s="56">
        <f>$BA312-$BA313</f>
        <v/>
      </c>
      <c r="DO312" s="56">
        <f>$BB312-$BB313</f>
        <v/>
      </c>
      <c r="DP312" s="56">
        <f>$BC312-$BC313</f>
        <v/>
      </c>
      <c r="DQ312" s="56">
        <f>$BD312-$BD313</f>
        <v/>
      </c>
      <c r="DR312" s="56">
        <f>$BE312-$BE313</f>
        <v/>
      </c>
      <c r="DS312" s="56">
        <f>$BF312-$BF313</f>
        <v/>
      </c>
      <c r="DT312" s="56">
        <f>$BG312-$BG313</f>
        <v/>
      </c>
      <c r="DU312" s="56">
        <f>$BH312-$BH313</f>
        <v/>
      </c>
      <c r="DV312" s="56">
        <f>$BI312-$BI313</f>
        <v/>
      </c>
      <c r="DW312" s="56">
        <f>$BJ312-$BJ313</f>
        <v/>
      </c>
      <c r="DX312" s="56">
        <f>$BK312-$BK313</f>
        <v/>
      </c>
      <c r="DY312" s="56">
        <f>$BL312-$BL313</f>
        <v/>
      </c>
      <c r="DZ312" s="56">
        <f>$BM312-$BM313</f>
        <v/>
      </c>
      <c r="EA312" s="56">
        <f>$BN312-$BN313</f>
        <v/>
      </c>
      <c r="EB312" s="56">
        <f>$BO312-$BO313</f>
        <v/>
      </c>
      <c r="EC312" s="56">
        <f>$BP312-$BP313</f>
        <v/>
      </c>
      <c r="ED312" s="56">
        <f>$BQ312-$BQ313</f>
        <v/>
      </c>
      <c r="EE312" s="56">
        <f>$BR312-$BR313</f>
        <v/>
      </c>
      <c r="EF312" s="56">
        <f>$BS312-$BS313</f>
        <v/>
      </c>
      <c r="EG312" s="56">
        <f>$BT312-$BT313</f>
        <v/>
      </c>
      <c r="EH312" s="56">
        <f>$BU312-$BU313</f>
        <v/>
      </c>
    </row>
    <row r="313">
      <c r="BV313" s="56">
        <f>($D313-$D314)*100</f>
        <v/>
      </c>
      <c r="BW313" s="56">
        <f>($C313-$C314)*100</f>
        <v/>
      </c>
      <c r="BX313" s="57">
        <f>IFERROR($I313/$I314-1,"")</f>
        <v/>
      </c>
      <c r="BY313" s="56">
        <f>($AF313-$AF314)*100</f>
        <v/>
      </c>
      <c r="BZ313" s="56">
        <f>($AG313-$AG314)*100</f>
        <v/>
      </c>
      <c r="CA313" s="56">
        <f>($AH313-$AH314)*100</f>
        <v/>
      </c>
      <c r="CB313" s="56">
        <f>($AI313-$AI314)*100</f>
        <v/>
      </c>
      <c r="CC313" s="56">
        <f>($AJ313-$AJ314)*100</f>
        <v/>
      </c>
      <c r="CD313" s="56">
        <f>($AK313-$AK314)*100</f>
        <v/>
      </c>
      <c r="CE313" s="56">
        <f>($AL313-$AL314)*100</f>
        <v/>
      </c>
      <c r="CF313" s="56">
        <f>($AM313-$AM314)*100</f>
        <v/>
      </c>
      <c r="CG313" s="56">
        <f>($AN313-$AN314)*100</f>
        <v/>
      </c>
      <c r="CH313" s="56">
        <f>($AO313-$AO314)*100</f>
        <v/>
      </c>
      <c r="CI313" s="56">
        <f>($AP313-$AP314)*100</f>
        <v/>
      </c>
      <c r="CJ313" s="56">
        <f>($AQ313-$AQ314)*100</f>
        <v/>
      </c>
      <c r="CK313" s="56">
        <f>($AR313-$AR314)*100</f>
        <v/>
      </c>
      <c r="CL313" s="56">
        <f>($AS313-$AS314)*100</f>
        <v/>
      </c>
      <c r="CM313" s="56">
        <f>($AT313-$AT314)*100</f>
        <v/>
      </c>
      <c r="CN313" s="56">
        <f>($AU313-$AU314)*100</f>
        <v/>
      </c>
      <c r="CO313" s="56">
        <f>($AV313-$AV314)*100</f>
        <v/>
      </c>
      <c r="CP313" s="56">
        <f>($AW313-$AW314)*100</f>
        <v/>
      </c>
      <c r="CQ313" s="56">
        <f>($AX313-$AX314)*100</f>
        <v/>
      </c>
      <c r="CR313" s="56">
        <f>($AY313-$AY314)*100</f>
        <v/>
      </c>
      <c r="CS313" s="57">
        <f>IFERROR($L314/$L313-1,"")</f>
        <v/>
      </c>
      <c r="CT313" s="57">
        <f>IFERROR($M314/$M313-1,"")</f>
        <v/>
      </c>
      <c r="CU313" s="57">
        <f>IFERROR($N314/$N313-1,"")</f>
        <v/>
      </c>
      <c r="CV313" s="57">
        <f>IFERROR($O314/$O313-1,"")</f>
        <v/>
      </c>
      <c r="CW313" s="57">
        <f>IFERROR($P314/$P313-1,"")</f>
        <v/>
      </c>
      <c r="CX313" s="57">
        <f>IFERROR($Q314/$Q313-1,"")</f>
        <v/>
      </c>
      <c r="CY313" s="57">
        <f>IFERROR($R314/$R313-1,"")</f>
        <v/>
      </c>
      <c r="CZ313" s="57">
        <f>IFERROR($S314/$S313-1,"")</f>
        <v/>
      </c>
      <c r="DA313" s="57">
        <f>IFERROR($T314/$T313-1,"")</f>
        <v/>
      </c>
      <c r="DB313" s="57">
        <f>IFERROR($U314/$U313-1,"")</f>
        <v/>
      </c>
      <c r="DC313" s="57">
        <f>IFERROR($V314/$V313-1,"")</f>
        <v/>
      </c>
      <c r="DD313" s="57">
        <f>IFERROR($W314/$W313-1,"")</f>
        <v/>
      </c>
      <c r="DE313" s="57">
        <f>IFERROR($X314/$X313-1,"")</f>
        <v/>
      </c>
      <c r="DF313" s="57">
        <f>IFERROR($Y314/$Y313-1,"")</f>
        <v/>
      </c>
      <c r="DG313" s="57">
        <f>IFERROR($Z314/$Z313-1,"")</f>
        <v/>
      </c>
      <c r="DH313" s="57">
        <f>IFERROR($AA314/$AA313-1,"")</f>
        <v/>
      </c>
      <c r="DI313" s="57">
        <f>IFERROR($AB314/$AB313-1,"")</f>
        <v/>
      </c>
      <c r="DJ313" s="57">
        <f>IFERROR($AC314/$AC313-1,"")</f>
        <v/>
      </c>
      <c r="DK313" s="57">
        <f>IFERROR($AD314/$AD313-1,"")</f>
        <v/>
      </c>
      <c r="DL313" s="57">
        <f>IFERROR($AE314/$AE313-1,"")</f>
        <v/>
      </c>
      <c r="DM313" s="56">
        <f>$AZ313-$AZ314</f>
        <v/>
      </c>
      <c r="DN313" s="56">
        <f>$BA313-$BA314</f>
        <v/>
      </c>
      <c r="DO313" s="56">
        <f>$BB313-$BB314</f>
        <v/>
      </c>
      <c r="DP313" s="56">
        <f>$BC313-$BC314</f>
        <v/>
      </c>
      <c r="DQ313" s="56">
        <f>$BD313-$BD314</f>
        <v/>
      </c>
      <c r="DR313" s="56">
        <f>$BE313-$BE314</f>
        <v/>
      </c>
      <c r="DS313" s="56">
        <f>$BF313-$BF314</f>
        <v/>
      </c>
      <c r="DT313" s="56">
        <f>$BG313-$BG314</f>
        <v/>
      </c>
      <c r="DU313" s="56">
        <f>$BH313-$BH314</f>
        <v/>
      </c>
      <c r="DV313" s="56">
        <f>$BI313-$BI314</f>
        <v/>
      </c>
      <c r="DW313" s="56">
        <f>$BJ313-$BJ314</f>
        <v/>
      </c>
      <c r="DX313" s="56">
        <f>$BK313-$BK314</f>
        <v/>
      </c>
      <c r="DY313" s="56">
        <f>$BL313-$BL314</f>
        <v/>
      </c>
      <c r="DZ313" s="56">
        <f>$BM313-$BM314</f>
        <v/>
      </c>
      <c r="EA313" s="56">
        <f>$BN313-$BN314</f>
        <v/>
      </c>
      <c r="EB313" s="56">
        <f>$BO313-$BO314</f>
        <v/>
      </c>
      <c r="EC313" s="56">
        <f>$BP313-$BP314</f>
        <v/>
      </c>
      <c r="ED313" s="56">
        <f>$BQ313-$BQ314</f>
        <v/>
      </c>
      <c r="EE313" s="56">
        <f>$BR313-$BR314</f>
        <v/>
      </c>
      <c r="EF313" s="56">
        <f>$BS313-$BS314</f>
        <v/>
      </c>
      <c r="EG313" s="56">
        <f>$BT313-$BT314</f>
        <v/>
      </c>
      <c r="EH313" s="56">
        <f>$BU313-$BU314</f>
        <v/>
      </c>
    </row>
    <row r="314">
      <c r="BV314" s="56">
        <f>($D314-$D315)*100</f>
        <v/>
      </c>
      <c r="BW314" s="56">
        <f>($C314-$C315)*100</f>
        <v/>
      </c>
      <c r="BX314" s="57">
        <f>IFERROR($I314/$I315-1,"")</f>
        <v/>
      </c>
      <c r="BY314" s="56">
        <f>($AF314-$AF315)*100</f>
        <v/>
      </c>
      <c r="BZ314" s="56">
        <f>($AG314-$AG315)*100</f>
        <v/>
      </c>
      <c r="CA314" s="56">
        <f>($AH314-$AH315)*100</f>
        <v/>
      </c>
      <c r="CB314" s="56">
        <f>($AI314-$AI315)*100</f>
        <v/>
      </c>
      <c r="CC314" s="56">
        <f>($AJ314-$AJ315)*100</f>
        <v/>
      </c>
      <c r="CD314" s="56">
        <f>($AK314-$AK315)*100</f>
        <v/>
      </c>
      <c r="CE314" s="56">
        <f>($AL314-$AL315)*100</f>
        <v/>
      </c>
      <c r="CF314" s="56">
        <f>($AM314-$AM315)*100</f>
        <v/>
      </c>
      <c r="CG314" s="56">
        <f>($AN314-$AN315)*100</f>
        <v/>
      </c>
      <c r="CH314" s="56">
        <f>($AO314-$AO315)*100</f>
        <v/>
      </c>
      <c r="CI314" s="56">
        <f>($AP314-$AP315)*100</f>
        <v/>
      </c>
      <c r="CJ314" s="56">
        <f>($AQ314-$AQ315)*100</f>
        <v/>
      </c>
      <c r="CK314" s="56">
        <f>($AR314-$AR315)*100</f>
        <v/>
      </c>
      <c r="CL314" s="56">
        <f>($AS314-$AS315)*100</f>
        <v/>
      </c>
      <c r="CM314" s="56">
        <f>($AT314-$AT315)*100</f>
        <v/>
      </c>
      <c r="CN314" s="56">
        <f>($AU314-$AU315)*100</f>
        <v/>
      </c>
      <c r="CO314" s="56">
        <f>($AV314-$AV315)*100</f>
        <v/>
      </c>
      <c r="CP314" s="56">
        <f>($AW314-$AW315)*100</f>
        <v/>
      </c>
      <c r="CQ314" s="56">
        <f>($AX314-$AX315)*100</f>
        <v/>
      </c>
      <c r="CR314" s="56">
        <f>($AY314-$AY315)*100</f>
        <v/>
      </c>
      <c r="CS314" s="57">
        <f>IFERROR($L315/$L314-1,"")</f>
        <v/>
      </c>
      <c r="CT314" s="57">
        <f>IFERROR($M315/$M314-1,"")</f>
        <v/>
      </c>
      <c r="CU314" s="57">
        <f>IFERROR($N315/$N314-1,"")</f>
        <v/>
      </c>
      <c r="CV314" s="57">
        <f>IFERROR($O315/$O314-1,"")</f>
        <v/>
      </c>
      <c r="CW314" s="57">
        <f>IFERROR($P315/$P314-1,"")</f>
        <v/>
      </c>
      <c r="CX314" s="57">
        <f>IFERROR($Q315/$Q314-1,"")</f>
        <v/>
      </c>
      <c r="CY314" s="57">
        <f>IFERROR($R315/$R314-1,"")</f>
        <v/>
      </c>
      <c r="CZ314" s="57">
        <f>IFERROR($S315/$S314-1,"")</f>
        <v/>
      </c>
      <c r="DA314" s="57">
        <f>IFERROR($T315/$T314-1,"")</f>
        <v/>
      </c>
      <c r="DB314" s="57">
        <f>IFERROR($U315/$U314-1,"")</f>
        <v/>
      </c>
      <c r="DC314" s="57">
        <f>IFERROR($V315/$V314-1,"")</f>
        <v/>
      </c>
      <c r="DD314" s="57">
        <f>IFERROR($W315/$W314-1,"")</f>
        <v/>
      </c>
      <c r="DE314" s="57">
        <f>IFERROR($X315/$X314-1,"")</f>
        <v/>
      </c>
      <c r="DF314" s="57">
        <f>IFERROR($Y315/$Y314-1,"")</f>
        <v/>
      </c>
      <c r="DG314" s="57">
        <f>IFERROR($Z315/$Z314-1,"")</f>
        <v/>
      </c>
      <c r="DH314" s="57">
        <f>IFERROR($AA315/$AA314-1,"")</f>
        <v/>
      </c>
      <c r="DI314" s="57">
        <f>IFERROR($AB315/$AB314-1,"")</f>
        <v/>
      </c>
      <c r="DJ314" s="57">
        <f>IFERROR($AC315/$AC314-1,"")</f>
        <v/>
      </c>
      <c r="DK314" s="57">
        <f>IFERROR($AD315/$AD314-1,"")</f>
        <v/>
      </c>
      <c r="DL314" s="57">
        <f>IFERROR($AE315/$AE314-1,"")</f>
        <v/>
      </c>
      <c r="DM314" s="56">
        <f>$AZ314-$AZ315</f>
        <v/>
      </c>
      <c r="DN314" s="56">
        <f>$BA314-$BA315</f>
        <v/>
      </c>
      <c r="DO314" s="56">
        <f>$BB314-$BB315</f>
        <v/>
      </c>
      <c r="DP314" s="56">
        <f>$BC314-$BC315</f>
        <v/>
      </c>
      <c r="DQ314" s="56">
        <f>$BD314-$BD315</f>
        <v/>
      </c>
      <c r="DR314" s="56">
        <f>$BE314-$BE315</f>
        <v/>
      </c>
      <c r="DS314" s="56">
        <f>$BF314-$BF315</f>
        <v/>
      </c>
      <c r="DT314" s="56">
        <f>$BG314-$BG315</f>
        <v/>
      </c>
      <c r="DU314" s="56">
        <f>$BH314-$BH315</f>
        <v/>
      </c>
      <c r="DV314" s="56">
        <f>$BI314-$BI315</f>
        <v/>
      </c>
      <c r="DW314" s="56">
        <f>$BJ314-$BJ315</f>
        <v/>
      </c>
      <c r="DX314" s="56">
        <f>$BK314-$BK315</f>
        <v/>
      </c>
      <c r="DY314" s="56">
        <f>$BL314-$BL315</f>
        <v/>
      </c>
      <c r="DZ314" s="56">
        <f>$BM314-$BM315</f>
        <v/>
      </c>
      <c r="EA314" s="56">
        <f>$BN314-$BN315</f>
        <v/>
      </c>
      <c r="EB314" s="56">
        <f>$BO314-$BO315</f>
        <v/>
      </c>
      <c r="EC314" s="56">
        <f>$BP314-$BP315</f>
        <v/>
      </c>
      <c r="ED314" s="56">
        <f>$BQ314-$BQ315</f>
        <v/>
      </c>
      <c r="EE314" s="56">
        <f>$BR314-$BR315</f>
        <v/>
      </c>
      <c r="EF314" s="56">
        <f>$BS314-$BS315</f>
        <v/>
      </c>
      <c r="EG314" s="56">
        <f>$BT314-$BT315</f>
        <v/>
      </c>
      <c r="EH314" s="56">
        <f>$BU314-$BU315</f>
        <v/>
      </c>
    </row>
    <row r="315">
      <c r="BV315" s="56">
        <f>($D315-$D316)*100</f>
        <v/>
      </c>
      <c r="BW315" s="56">
        <f>($C315-$C316)*100</f>
        <v/>
      </c>
      <c r="BX315" s="57">
        <f>IFERROR($I315/$I316-1,"")</f>
        <v/>
      </c>
      <c r="BY315" s="56">
        <f>($AF315-$AF316)*100</f>
        <v/>
      </c>
      <c r="BZ315" s="56">
        <f>($AG315-$AG316)*100</f>
        <v/>
      </c>
      <c r="CA315" s="56">
        <f>($AH315-$AH316)*100</f>
        <v/>
      </c>
      <c r="CB315" s="56">
        <f>($AI315-$AI316)*100</f>
        <v/>
      </c>
      <c r="CC315" s="56">
        <f>($AJ315-$AJ316)*100</f>
        <v/>
      </c>
      <c r="CD315" s="56">
        <f>($AK315-$AK316)*100</f>
        <v/>
      </c>
      <c r="CE315" s="56">
        <f>($AL315-$AL316)*100</f>
        <v/>
      </c>
      <c r="CF315" s="56">
        <f>($AM315-$AM316)*100</f>
        <v/>
      </c>
      <c r="CG315" s="56">
        <f>($AN315-$AN316)*100</f>
        <v/>
      </c>
      <c r="CH315" s="56">
        <f>($AO315-$AO316)*100</f>
        <v/>
      </c>
      <c r="CI315" s="56">
        <f>($AP315-$AP316)*100</f>
        <v/>
      </c>
      <c r="CJ315" s="56">
        <f>($AQ315-$AQ316)*100</f>
        <v/>
      </c>
      <c r="CK315" s="56">
        <f>($AR315-$AR316)*100</f>
        <v/>
      </c>
      <c r="CL315" s="56">
        <f>($AS315-$AS316)*100</f>
        <v/>
      </c>
      <c r="CM315" s="56">
        <f>($AT315-$AT316)*100</f>
        <v/>
      </c>
      <c r="CN315" s="56">
        <f>($AU315-$AU316)*100</f>
        <v/>
      </c>
      <c r="CO315" s="56">
        <f>($AV315-$AV316)*100</f>
        <v/>
      </c>
      <c r="CP315" s="56">
        <f>($AW315-$AW316)*100</f>
        <v/>
      </c>
      <c r="CQ315" s="56">
        <f>($AX315-$AX316)*100</f>
        <v/>
      </c>
      <c r="CR315" s="56">
        <f>($AY315-$AY316)*100</f>
        <v/>
      </c>
      <c r="CS315" s="57">
        <f>IFERROR($L316/$L315-1,"")</f>
        <v/>
      </c>
      <c r="CT315" s="57">
        <f>IFERROR($M316/$M315-1,"")</f>
        <v/>
      </c>
      <c r="CU315" s="57">
        <f>IFERROR($N316/$N315-1,"")</f>
        <v/>
      </c>
      <c r="CV315" s="57">
        <f>IFERROR($O316/$O315-1,"")</f>
        <v/>
      </c>
      <c r="CW315" s="57">
        <f>IFERROR($P316/$P315-1,"")</f>
        <v/>
      </c>
      <c r="CX315" s="57">
        <f>IFERROR($Q316/$Q315-1,"")</f>
        <v/>
      </c>
      <c r="CY315" s="57">
        <f>IFERROR($R316/$R315-1,"")</f>
        <v/>
      </c>
      <c r="CZ315" s="57">
        <f>IFERROR($S316/$S315-1,"")</f>
        <v/>
      </c>
      <c r="DA315" s="57">
        <f>IFERROR($T316/$T315-1,"")</f>
        <v/>
      </c>
      <c r="DB315" s="57">
        <f>IFERROR($U316/$U315-1,"")</f>
        <v/>
      </c>
      <c r="DC315" s="57">
        <f>IFERROR($V316/$V315-1,"")</f>
        <v/>
      </c>
      <c r="DD315" s="57">
        <f>IFERROR($W316/$W315-1,"")</f>
        <v/>
      </c>
      <c r="DE315" s="57">
        <f>IFERROR($X316/$X315-1,"")</f>
        <v/>
      </c>
      <c r="DF315" s="57">
        <f>IFERROR($Y316/$Y315-1,"")</f>
        <v/>
      </c>
      <c r="DG315" s="57">
        <f>IFERROR($Z316/$Z315-1,"")</f>
        <v/>
      </c>
      <c r="DH315" s="57">
        <f>IFERROR($AA316/$AA315-1,"")</f>
        <v/>
      </c>
      <c r="DI315" s="57">
        <f>IFERROR($AB316/$AB315-1,"")</f>
        <v/>
      </c>
      <c r="DJ315" s="57">
        <f>IFERROR($AC316/$AC315-1,"")</f>
        <v/>
      </c>
      <c r="DK315" s="57">
        <f>IFERROR($AD316/$AD315-1,"")</f>
        <v/>
      </c>
      <c r="DL315" s="57">
        <f>IFERROR($AE316/$AE315-1,"")</f>
        <v/>
      </c>
      <c r="DM315" s="56">
        <f>$AZ315-$AZ316</f>
        <v/>
      </c>
      <c r="DN315" s="56">
        <f>$BA315-$BA316</f>
        <v/>
      </c>
      <c r="DO315" s="56">
        <f>$BB315-$BB316</f>
        <v/>
      </c>
      <c r="DP315" s="56">
        <f>$BC315-$BC316</f>
        <v/>
      </c>
      <c r="DQ315" s="56">
        <f>$BD315-$BD316</f>
        <v/>
      </c>
      <c r="DR315" s="56">
        <f>$BE315-$BE316</f>
        <v/>
      </c>
      <c r="DS315" s="56">
        <f>$BF315-$BF316</f>
        <v/>
      </c>
      <c r="DT315" s="56">
        <f>$BG315-$BG316</f>
        <v/>
      </c>
      <c r="DU315" s="56">
        <f>$BH315-$BH316</f>
        <v/>
      </c>
      <c r="DV315" s="56">
        <f>$BI315-$BI316</f>
        <v/>
      </c>
      <c r="DW315" s="56">
        <f>$BJ315-$BJ316</f>
        <v/>
      </c>
      <c r="DX315" s="56">
        <f>$BK315-$BK316</f>
        <v/>
      </c>
      <c r="DY315" s="56">
        <f>$BL315-$BL316</f>
        <v/>
      </c>
      <c r="DZ315" s="56">
        <f>$BM315-$BM316</f>
        <v/>
      </c>
      <c r="EA315" s="56">
        <f>$BN315-$BN316</f>
        <v/>
      </c>
      <c r="EB315" s="56">
        <f>$BO315-$BO316</f>
        <v/>
      </c>
      <c r="EC315" s="56">
        <f>$BP315-$BP316</f>
        <v/>
      </c>
      <c r="ED315" s="56">
        <f>$BQ315-$BQ316</f>
        <v/>
      </c>
      <c r="EE315" s="56">
        <f>$BR315-$BR316</f>
        <v/>
      </c>
      <c r="EF315" s="56">
        <f>$BS315-$BS316</f>
        <v/>
      </c>
      <c r="EG315" s="56">
        <f>$BT315-$BT316</f>
        <v/>
      </c>
      <c r="EH315" s="56">
        <f>$BU315-$BU316</f>
        <v/>
      </c>
    </row>
    <row r="316">
      <c r="BV316" s="56">
        <f>($D316-$D317)*100</f>
        <v/>
      </c>
      <c r="BW316" s="56">
        <f>($C316-$C317)*100</f>
        <v/>
      </c>
      <c r="BX316" s="57">
        <f>IFERROR($I316/$I317-1,"")</f>
        <v/>
      </c>
      <c r="BY316" s="56">
        <f>($AF316-$AF317)*100</f>
        <v/>
      </c>
      <c r="BZ316" s="56">
        <f>($AG316-$AG317)*100</f>
        <v/>
      </c>
      <c r="CA316" s="56">
        <f>($AH316-$AH317)*100</f>
        <v/>
      </c>
      <c r="CB316" s="56">
        <f>($AI316-$AI317)*100</f>
        <v/>
      </c>
      <c r="CC316" s="56">
        <f>($AJ316-$AJ317)*100</f>
        <v/>
      </c>
      <c r="CD316" s="56">
        <f>($AK316-$AK317)*100</f>
        <v/>
      </c>
      <c r="CE316" s="56">
        <f>($AL316-$AL317)*100</f>
        <v/>
      </c>
      <c r="CF316" s="56">
        <f>($AM316-$AM317)*100</f>
        <v/>
      </c>
      <c r="CG316" s="56">
        <f>($AN316-$AN317)*100</f>
        <v/>
      </c>
      <c r="CH316" s="56">
        <f>($AO316-$AO317)*100</f>
        <v/>
      </c>
      <c r="CI316" s="56">
        <f>($AP316-$AP317)*100</f>
        <v/>
      </c>
      <c r="CJ316" s="56">
        <f>($AQ316-$AQ317)*100</f>
        <v/>
      </c>
      <c r="CK316" s="56">
        <f>($AR316-$AR317)*100</f>
        <v/>
      </c>
      <c r="CL316" s="56">
        <f>($AS316-$AS317)*100</f>
        <v/>
      </c>
      <c r="CM316" s="56">
        <f>($AT316-$AT317)*100</f>
        <v/>
      </c>
      <c r="CN316" s="56">
        <f>($AU316-$AU317)*100</f>
        <v/>
      </c>
      <c r="CO316" s="56">
        <f>($AV316-$AV317)*100</f>
        <v/>
      </c>
      <c r="CP316" s="56">
        <f>($AW316-$AW317)*100</f>
        <v/>
      </c>
      <c r="CQ316" s="56">
        <f>($AX316-$AX317)*100</f>
        <v/>
      </c>
      <c r="CR316" s="56">
        <f>($AY316-$AY317)*100</f>
        <v/>
      </c>
      <c r="CS316" s="57">
        <f>IFERROR($L317/$L316-1,"")</f>
        <v/>
      </c>
      <c r="CT316" s="57">
        <f>IFERROR($M317/$M316-1,"")</f>
        <v/>
      </c>
      <c r="CU316" s="57">
        <f>IFERROR($N317/$N316-1,"")</f>
        <v/>
      </c>
      <c r="CV316" s="57">
        <f>IFERROR($O317/$O316-1,"")</f>
        <v/>
      </c>
      <c r="CW316" s="57">
        <f>IFERROR($P317/$P316-1,"")</f>
        <v/>
      </c>
      <c r="CX316" s="57">
        <f>IFERROR($Q317/$Q316-1,"")</f>
        <v/>
      </c>
      <c r="CY316" s="57">
        <f>IFERROR($R317/$R316-1,"")</f>
        <v/>
      </c>
      <c r="CZ316" s="57">
        <f>IFERROR($S317/$S316-1,"")</f>
        <v/>
      </c>
      <c r="DA316" s="57">
        <f>IFERROR($T317/$T316-1,"")</f>
        <v/>
      </c>
      <c r="DB316" s="57">
        <f>IFERROR($U317/$U316-1,"")</f>
        <v/>
      </c>
      <c r="DC316" s="57">
        <f>IFERROR($V317/$V316-1,"")</f>
        <v/>
      </c>
      <c r="DD316" s="57">
        <f>IFERROR($W317/$W316-1,"")</f>
        <v/>
      </c>
      <c r="DE316" s="57">
        <f>IFERROR($X317/$X316-1,"")</f>
        <v/>
      </c>
      <c r="DF316" s="57">
        <f>IFERROR($Y317/$Y316-1,"")</f>
        <v/>
      </c>
      <c r="DG316" s="57">
        <f>IFERROR($Z317/$Z316-1,"")</f>
        <v/>
      </c>
      <c r="DH316" s="57">
        <f>IFERROR($AA317/$AA316-1,"")</f>
        <v/>
      </c>
      <c r="DI316" s="57">
        <f>IFERROR($AB317/$AB316-1,"")</f>
        <v/>
      </c>
      <c r="DJ316" s="57">
        <f>IFERROR($AC317/$AC316-1,"")</f>
        <v/>
      </c>
      <c r="DK316" s="57">
        <f>IFERROR($AD317/$AD316-1,"")</f>
        <v/>
      </c>
      <c r="DL316" s="57">
        <f>IFERROR($AE317/$AE316-1,"")</f>
        <v/>
      </c>
      <c r="DM316" s="56">
        <f>$AZ316-$AZ317</f>
        <v/>
      </c>
      <c r="DN316" s="56">
        <f>$BA316-$BA317</f>
        <v/>
      </c>
      <c r="DO316" s="56">
        <f>$BB316-$BB317</f>
        <v/>
      </c>
      <c r="DP316" s="56">
        <f>$BC316-$BC317</f>
        <v/>
      </c>
      <c r="DQ316" s="56">
        <f>$BD316-$BD317</f>
        <v/>
      </c>
      <c r="DR316" s="56">
        <f>$BE316-$BE317</f>
        <v/>
      </c>
      <c r="DS316" s="56">
        <f>$BF316-$BF317</f>
        <v/>
      </c>
      <c r="DT316" s="56">
        <f>$BG316-$BG317</f>
        <v/>
      </c>
      <c r="DU316" s="56">
        <f>$BH316-$BH317</f>
        <v/>
      </c>
      <c r="DV316" s="56">
        <f>$BI316-$BI317</f>
        <v/>
      </c>
      <c r="DW316" s="56">
        <f>$BJ316-$BJ317</f>
        <v/>
      </c>
      <c r="DX316" s="56">
        <f>$BK316-$BK317</f>
        <v/>
      </c>
      <c r="DY316" s="56">
        <f>$BL316-$BL317</f>
        <v/>
      </c>
      <c r="DZ316" s="56">
        <f>$BM316-$BM317</f>
        <v/>
      </c>
      <c r="EA316" s="56">
        <f>$BN316-$BN317</f>
        <v/>
      </c>
      <c r="EB316" s="56">
        <f>$BO316-$BO317</f>
        <v/>
      </c>
      <c r="EC316" s="56">
        <f>$BP316-$BP317</f>
        <v/>
      </c>
      <c r="ED316" s="56">
        <f>$BQ316-$BQ317</f>
        <v/>
      </c>
      <c r="EE316" s="56">
        <f>$BR316-$BR317</f>
        <v/>
      </c>
      <c r="EF316" s="56">
        <f>$BS316-$BS317</f>
        <v/>
      </c>
      <c r="EG316" s="56">
        <f>$BT316-$BT317</f>
        <v/>
      </c>
      <c r="EH316" s="56">
        <f>$BU316-$BU317</f>
        <v/>
      </c>
    </row>
    <row r="317">
      <c r="BV317" s="56">
        <f>($D317-$D318)*100</f>
        <v/>
      </c>
      <c r="BW317" s="56">
        <f>($C317-$C318)*100</f>
        <v/>
      </c>
      <c r="BX317" s="57">
        <f>IFERROR($I317/$I318-1,"")</f>
        <v/>
      </c>
      <c r="BY317" s="56">
        <f>($AF317-$AF318)*100</f>
        <v/>
      </c>
      <c r="BZ317" s="56">
        <f>($AG317-$AG318)*100</f>
        <v/>
      </c>
      <c r="CA317" s="56">
        <f>($AH317-$AH318)*100</f>
        <v/>
      </c>
      <c r="CB317" s="56">
        <f>($AI317-$AI318)*100</f>
        <v/>
      </c>
      <c r="CC317" s="56">
        <f>($AJ317-$AJ318)*100</f>
        <v/>
      </c>
      <c r="CD317" s="56">
        <f>($AK317-$AK318)*100</f>
        <v/>
      </c>
      <c r="CE317" s="56">
        <f>($AL317-$AL318)*100</f>
        <v/>
      </c>
      <c r="CF317" s="56">
        <f>($AM317-$AM318)*100</f>
        <v/>
      </c>
      <c r="CG317" s="56">
        <f>($AN317-$AN318)*100</f>
        <v/>
      </c>
      <c r="CH317" s="56">
        <f>($AO317-$AO318)*100</f>
        <v/>
      </c>
      <c r="CI317" s="56">
        <f>($AP317-$AP318)*100</f>
        <v/>
      </c>
      <c r="CJ317" s="56">
        <f>($AQ317-$AQ318)*100</f>
        <v/>
      </c>
      <c r="CK317" s="56">
        <f>($AR317-$AR318)*100</f>
        <v/>
      </c>
      <c r="CL317" s="56">
        <f>($AS317-$AS318)*100</f>
        <v/>
      </c>
      <c r="CM317" s="56">
        <f>($AT317-$AT318)*100</f>
        <v/>
      </c>
      <c r="CN317" s="56">
        <f>($AU317-$AU318)*100</f>
        <v/>
      </c>
      <c r="CO317" s="56">
        <f>($AV317-$AV318)*100</f>
        <v/>
      </c>
      <c r="CP317" s="56">
        <f>($AW317-$AW318)*100</f>
        <v/>
      </c>
      <c r="CQ317" s="56">
        <f>($AX317-$AX318)*100</f>
        <v/>
      </c>
      <c r="CR317" s="56">
        <f>($AY317-$AY318)*100</f>
        <v/>
      </c>
      <c r="CS317" s="57">
        <f>IFERROR($L318/$L317-1,"")</f>
        <v/>
      </c>
      <c r="CT317" s="57">
        <f>IFERROR($M318/$M317-1,"")</f>
        <v/>
      </c>
      <c r="CU317" s="57">
        <f>IFERROR($N318/$N317-1,"")</f>
        <v/>
      </c>
      <c r="CV317" s="57">
        <f>IFERROR($O318/$O317-1,"")</f>
        <v/>
      </c>
      <c r="CW317" s="57">
        <f>IFERROR($P318/$P317-1,"")</f>
        <v/>
      </c>
      <c r="CX317" s="57">
        <f>IFERROR($Q318/$Q317-1,"")</f>
        <v/>
      </c>
      <c r="CY317" s="57">
        <f>IFERROR($R318/$R317-1,"")</f>
        <v/>
      </c>
      <c r="CZ317" s="57">
        <f>IFERROR($S318/$S317-1,"")</f>
        <v/>
      </c>
      <c r="DA317" s="57">
        <f>IFERROR($T318/$T317-1,"")</f>
        <v/>
      </c>
      <c r="DB317" s="57">
        <f>IFERROR($U318/$U317-1,"")</f>
        <v/>
      </c>
      <c r="DC317" s="57">
        <f>IFERROR($V318/$V317-1,"")</f>
        <v/>
      </c>
      <c r="DD317" s="57">
        <f>IFERROR($W318/$W317-1,"")</f>
        <v/>
      </c>
      <c r="DE317" s="57">
        <f>IFERROR($X318/$X317-1,"")</f>
        <v/>
      </c>
      <c r="DF317" s="57">
        <f>IFERROR($Y318/$Y317-1,"")</f>
        <v/>
      </c>
      <c r="DG317" s="57">
        <f>IFERROR($Z318/$Z317-1,"")</f>
        <v/>
      </c>
      <c r="DH317" s="57">
        <f>IFERROR($AA318/$AA317-1,"")</f>
        <v/>
      </c>
      <c r="DI317" s="57">
        <f>IFERROR($AB318/$AB317-1,"")</f>
        <v/>
      </c>
      <c r="DJ317" s="57">
        <f>IFERROR($AC318/$AC317-1,"")</f>
        <v/>
      </c>
      <c r="DK317" s="57">
        <f>IFERROR($AD318/$AD317-1,"")</f>
        <v/>
      </c>
      <c r="DL317" s="57">
        <f>IFERROR($AE318/$AE317-1,"")</f>
        <v/>
      </c>
      <c r="DM317" s="56">
        <f>$AZ317-$AZ318</f>
        <v/>
      </c>
      <c r="DN317" s="56">
        <f>$BA317-$BA318</f>
        <v/>
      </c>
      <c r="DO317" s="56">
        <f>$BB317-$BB318</f>
        <v/>
      </c>
      <c r="DP317" s="56">
        <f>$BC317-$BC318</f>
        <v/>
      </c>
      <c r="DQ317" s="56">
        <f>$BD317-$BD318</f>
        <v/>
      </c>
      <c r="DR317" s="56">
        <f>$BE317-$BE318</f>
        <v/>
      </c>
      <c r="DS317" s="56">
        <f>$BF317-$BF318</f>
        <v/>
      </c>
      <c r="DT317" s="56">
        <f>$BG317-$BG318</f>
        <v/>
      </c>
      <c r="DU317" s="56">
        <f>$BH317-$BH318</f>
        <v/>
      </c>
      <c r="DV317" s="56">
        <f>$BI317-$BI318</f>
        <v/>
      </c>
      <c r="DW317" s="56">
        <f>$BJ317-$BJ318</f>
        <v/>
      </c>
      <c r="DX317" s="56">
        <f>$BK317-$BK318</f>
        <v/>
      </c>
      <c r="DY317" s="56">
        <f>$BL317-$BL318</f>
        <v/>
      </c>
      <c r="DZ317" s="56">
        <f>$BM317-$BM318</f>
        <v/>
      </c>
      <c r="EA317" s="56">
        <f>$BN317-$BN318</f>
        <v/>
      </c>
      <c r="EB317" s="56">
        <f>$BO317-$BO318</f>
        <v/>
      </c>
      <c r="EC317" s="56">
        <f>$BP317-$BP318</f>
        <v/>
      </c>
      <c r="ED317" s="56">
        <f>$BQ317-$BQ318</f>
        <v/>
      </c>
      <c r="EE317" s="56">
        <f>$BR317-$BR318</f>
        <v/>
      </c>
      <c r="EF317" s="56">
        <f>$BS317-$BS318</f>
        <v/>
      </c>
      <c r="EG317" s="56">
        <f>$BT317-$BT318</f>
        <v/>
      </c>
      <c r="EH317" s="56">
        <f>$BU317-$BU318</f>
        <v/>
      </c>
    </row>
    <row r="318">
      <c r="BV318" s="56">
        <f>($D318-$D319)*100</f>
        <v/>
      </c>
      <c r="BW318" s="56">
        <f>($C318-$C319)*100</f>
        <v/>
      </c>
      <c r="BX318" s="57">
        <f>IFERROR($I318/$I319-1,"")</f>
        <v/>
      </c>
      <c r="BY318" s="56">
        <f>($AF318-$AF319)*100</f>
        <v/>
      </c>
      <c r="BZ318" s="56">
        <f>($AG318-$AG319)*100</f>
        <v/>
      </c>
      <c r="CA318" s="56">
        <f>($AH318-$AH319)*100</f>
        <v/>
      </c>
      <c r="CB318" s="56">
        <f>($AI318-$AI319)*100</f>
        <v/>
      </c>
      <c r="CC318" s="56">
        <f>($AJ318-$AJ319)*100</f>
        <v/>
      </c>
      <c r="CD318" s="56">
        <f>($AK318-$AK319)*100</f>
        <v/>
      </c>
      <c r="CE318" s="56">
        <f>($AL318-$AL319)*100</f>
        <v/>
      </c>
      <c r="CF318" s="56">
        <f>($AM318-$AM319)*100</f>
        <v/>
      </c>
      <c r="CG318" s="56">
        <f>($AN318-$AN319)*100</f>
        <v/>
      </c>
      <c r="CH318" s="56">
        <f>($AO318-$AO319)*100</f>
        <v/>
      </c>
      <c r="CI318" s="56">
        <f>($AP318-$AP319)*100</f>
        <v/>
      </c>
      <c r="CJ318" s="56">
        <f>($AQ318-$AQ319)*100</f>
        <v/>
      </c>
      <c r="CK318" s="56">
        <f>($AR318-$AR319)*100</f>
        <v/>
      </c>
      <c r="CL318" s="56">
        <f>($AS318-$AS319)*100</f>
        <v/>
      </c>
      <c r="CM318" s="56">
        <f>($AT318-$AT319)*100</f>
        <v/>
      </c>
      <c r="CN318" s="56">
        <f>($AU318-$AU319)*100</f>
        <v/>
      </c>
      <c r="CO318" s="56">
        <f>($AV318-$AV319)*100</f>
        <v/>
      </c>
      <c r="CP318" s="56">
        <f>($AW318-$AW319)*100</f>
        <v/>
      </c>
      <c r="CQ318" s="56">
        <f>($AX318-$AX319)*100</f>
        <v/>
      </c>
      <c r="CR318" s="56">
        <f>($AY318-$AY319)*100</f>
        <v/>
      </c>
      <c r="CS318" s="57">
        <f>IFERROR($L319/$L318-1,"")</f>
        <v/>
      </c>
      <c r="CT318" s="57">
        <f>IFERROR($M319/$M318-1,"")</f>
        <v/>
      </c>
      <c r="CU318" s="57">
        <f>IFERROR($N319/$N318-1,"")</f>
        <v/>
      </c>
      <c r="CV318" s="57">
        <f>IFERROR($O319/$O318-1,"")</f>
        <v/>
      </c>
      <c r="CW318" s="57">
        <f>IFERROR($P319/$P318-1,"")</f>
        <v/>
      </c>
      <c r="CX318" s="57">
        <f>IFERROR($Q319/$Q318-1,"")</f>
        <v/>
      </c>
      <c r="CY318" s="57">
        <f>IFERROR($R319/$R318-1,"")</f>
        <v/>
      </c>
      <c r="CZ318" s="57">
        <f>IFERROR($S319/$S318-1,"")</f>
        <v/>
      </c>
      <c r="DA318" s="57">
        <f>IFERROR($T319/$T318-1,"")</f>
        <v/>
      </c>
      <c r="DB318" s="57">
        <f>IFERROR($U319/$U318-1,"")</f>
        <v/>
      </c>
      <c r="DC318" s="57">
        <f>IFERROR($V319/$V318-1,"")</f>
        <v/>
      </c>
      <c r="DD318" s="57">
        <f>IFERROR($W319/$W318-1,"")</f>
        <v/>
      </c>
      <c r="DE318" s="57">
        <f>IFERROR($X319/$X318-1,"")</f>
        <v/>
      </c>
      <c r="DF318" s="57">
        <f>IFERROR($Y319/$Y318-1,"")</f>
        <v/>
      </c>
      <c r="DG318" s="57">
        <f>IFERROR($Z319/$Z318-1,"")</f>
        <v/>
      </c>
      <c r="DH318" s="57">
        <f>IFERROR($AA319/$AA318-1,"")</f>
        <v/>
      </c>
      <c r="DI318" s="57">
        <f>IFERROR($AB319/$AB318-1,"")</f>
        <v/>
      </c>
      <c r="DJ318" s="57">
        <f>IFERROR($AC319/$AC318-1,"")</f>
        <v/>
      </c>
      <c r="DK318" s="57">
        <f>IFERROR($AD319/$AD318-1,"")</f>
        <v/>
      </c>
      <c r="DL318" s="57">
        <f>IFERROR($AE319/$AE318-1,"")</f>
        <v/>
      </c>
      <c r="DM318" s="56">
        <f>$AZ318-$AZ319</f>
        <v/>
      </c>
      <c r="DN318" s="56">
        <f>$BA318-$BA319</f>
        <v/>
      </c>
      <c r="DO318" s="56">
        <f>$BB318-$BB319</f>
        <v/>
      </c>
      <c r="DP318" s="56">
        <f>$BC318-$BC319</f>
        <v/>
      </c>
      <c r="DQ318" s="56">
        <f>$BD318-$BD319</f>
        <v/>
      </c>
      <c r="DR318" s="56">
        <f>$BE318-$BE319</f>
        <v/>
      </c>
      <c r="DS318" s="56">
        <f>$BF318-$BF319</f>
        <v/>
      </c>
      <c r="DT318" s="56">
        <f>$BG318-$BG319</f>
        <v/>
      </c>
      <c r="DU318" s="56">
        <f>$BH318-$BH319</f>
        <v/>
      </c>
      <c r="DV318" s="56">
        <f>$BI318-$BI319</f>
        <v/>
      </c>
      <c r="DW318" s="56">
        <f>$BJ318-$BJ319</f>
        <v/>
      </c>
      <c r="DX318" s="56">
        <f>$BK318-$BK319</f>
        <v/>
      </c>
      <c r="DY318" s="56">
        <f>$BL318-$BL319</f>
        <v/>
      </c>
      <c r="DZ318" s="56">
        <f>$BM318-$BM319</f>
        <v/>
      </c>
      <c r="EA318" s="56">
        <f>$BN318-$BN319</f>
        <v/>
      </c>
      <c r="EB318" s="56">
        <f>$BO318-$BO319</f>
        <v/>
      </c>
      <c r="EC318" s="56">
        <f>$BP318-$BP319</f>
        <v/>
      </c>
      <c r="ED318" s="56">
        <f>$BQ318-$BQ319</f>
        <v/>
      </c>
      <c r="EE318" s="56">
        <f>$BR318-$BR319</f>
        <v/>
      </c>
      <c r="EF318" s="56">
        <f>$BS318-$BS319</f>
        <v/>
      </c>
      <c r="EG318" s="56">
        <f>$BT318-$BT319</f>
        <v/>
      </c>
      <c r="EH318" s="56">
        <f>$BU318-$BU319</f>
        <v/>
      </c>
    </row>
    <row r="319">
      <c r="BV319" s="56">
        <f>($D319-$D320)*100</f>
        <v/>
      </c>
      <c r="BW319" s="56">
        <f>($C319-$C320)*100</f>
        <v/>
      </c>
      <c r="BX319" s="57">
        <f>IFERROR($I319/$I320-1,"")</f>
        <v/>
      </c>
      <c r="BY319" s="56">
        <f>($AF319-$AF320)*100</f>
        <v/>
      </c>
      <c r="BZ319" s="56">
        <f>($AG319-$AG320)*100</f>
        <v/>
      </c>
      <c r="CA319" s="56">
        <f>($AH319-$AH320)*100</f>
        <v/>
      </c>
      <c r="CB319" s="56">
        <f>($AI319-$AI320)*100</f>
        <v/>
      </c>
      <c r="CC319" s="56">
        <f>($AJ319-$AJ320)*100</f>
        <v/>
      </c>
      <c r="CD319" s="56">
        <f>($AK319-$AK320)*100</f>
        <v/>
      </c>
      <c r="CE319" s="56">
        <f>($AL319-$AL320)*100</f>
        <v/>
      </c>
      <c r="CF319" s="56">
        <f>($AM319-$AM320)*100</f>
        <v/>
      </c>
      <c r="CG319" s="56">
        <f>($AN319-$AN320)*100</f>
        <v/>
      </c>
      <c r="CH319" s="56">
        <f>($AO319-$AO320)*100</f>
        <v/>
      </c>
      <c r="CI319" s="56">
        <f>($AP319-$AP320)*100</f>
        <v/>
      </c>
      <c r="CJ319" s="56">
        <f>($AQ319-$AQ320)*100</f>
        <v/>
      </c>
      <c r="CK319" s="56">
        <f>($AR319-$AR320)*100</f>
        <v/>
      </c>
      <c r="CL319" s="56">
        <f>($AS319-$AS320)*100</f>
        <v/>
      </c>
      <c r="CM319" s="56">
        <f>($AT319-$AT320)*100</f>
        <v/>
      </c>
      <c r="CN319" s="56">
        <f>($AU319-$AU320)*100</f>
        <v/>
      </c>
      <c r="CO319" s="56">
        <f>($AV319-$AV320)*100</f>
        <v/>
      </c>
      <c r="CP319" s="56">
        <f>($AW319-$AW320)*100</f>
        <v/>
      </c>
      <c r="CQ319" s="56">
        <f>($AX319-$AX320)*100</f>
        <v/>
      </c>
      <c r="CR319" s="56">
        <f>($AY319-$AY320)*100</f>
        <v/>
      </c>
      <c r="CS319" s="57">
        <f>IFERROR($L320/$L319-1,"")</f>
        <v/>
      </c>
      <c r="CT319" s="57">
        <f>IFERROR($M320/$M319-1,"")</f>
        <v/>
      </c>
      <c r="CU319" s="57">
        <f>IFERROR($N320/$N319-1,"")</f>
        <v/>
      </c>
      <c r="CV319" s="57">
        <f>IFERROR($O320/$O319-1,"")</f>
        <v/>
      </c>
      <c r="CW319" s="57">
        <f>IFERROR($P320/$P319-1,"")</f>
        <v/>
      </c>
      <c r="CX319" s="57">
        <f>IFERROR($Q320/$Q319-1,"")</f>
        <v/>
      </c>
      <c r="CY319" s="57">
        <f>IFERROR($R320/$R319-1,"")</f>
        <v/>
      </c>
      <c r="CZ319" s="57">
        <f>IFERROR($S320/$S319-1,"")</f>
        <v/>
      </c>
      <c r="DA319" s="57">
        <f>IFERROR($T320/$T319-1,"")</f>
        <v/>
      </c>
      <c r="DB319" s="57">
        <f>IFERROR($U320/$U319-1,"")</f>
        <v/>
      </c>
      <c r="DC319" s="57">
        <f>IFERROR($V320/$V319-1,"")</f>
        <v/>
      </c>
      <c r="DD319" s="57">
        <f>IFERROR($W320/$W319-1,"")</f>
        <v/>
      </c>
      <c r="DE319" s="57">
        <f>IFERROR($X320/$X319-1,"")</f>
        <v/>
      </c>
      <c r="DF319" s="57">
        <f>IFERROR($Y320/$Y319-1,"")</f>
        <v/>
      </c>
      <c r="DG319" s="57">
        <f>IFERROR($Z320/$Z319-1,"")</f>
        <v/>
      </c>
      <c r="DH319" s="57">
        <f>IFERROR($AA320/$AA319-1,"")</f>
        <v/>
      </c>
      <c r="DI319" s="57">
        <f>IFERROR($AB320/$AB319-1,"")</f>
        <v/>
      </c>
      <c r="DJ319" s="57">
        <f>IFERROR($AC320/$AC319-1,"")</f>
        <v/>
      </c>
      <c r="DK319" s="57">
        <f>IFERROR($AD320/$AD319-1,"")</f>
        <v/>
      </c>
      <c r="DL319" s="57">
        <f>IFERROR($AE320/$AE319-1,"")</f>
        <v/>
      </c>
      <c r="DM319" s="56">
        <f>$AZ319-$AZ320</f>
        <v/>
      </c>
      <c r="DN319" s="56">
        <f>$BA319-$BA320</f>
        <v/>
      </c>
      <c r="DO319" s="56">
        <f>$BB319-$BB320</f>
        <v/>
      </c>
      <c r="DP319" s="56">
        <f>$BC319-$BC320</f>
        <v/>
      </c>
      <c r="DQ319" s="56">
        <f>$BD319-$BD320</f>
        <v/>
      </c>
      <c r="DR319" s="56">
        <f>$BE319-$BE320</f>
        <v/>
      </c>
      <c r="DS319" s="56">
        <f>$BF319-$BF320</f>
        <v/>
      </c>
      <c r="DT319" s="56">
        <f>$BG319-$BG320</f>
        <v/>
      </c>
      <c r="DU319" s="56">
        <f>$BH319-$BH320</f>
        <v/>
      </c>
      <c r="DV319" s="56">
        <f>$BI319-$BI320</f>
        <v/>
      </c>
      <c r="DW319" s="56">
        <f>$BJ319-$BJ320</f>
        <v/>
      </c>
      <c r="DX319" s="56">
        <f>$BK319-$BK320</f>
        <v/>
      </c>
      <c r="DY319" s="56">
        <f>$BL319-$BL320</f>
        <v/>
      </c>
      <c r="DZ319" s="56">
        <f>$BM319-$BM320</f>
        <v/>
      </c>
      <c r="EA319" s="56">
        <f>$BN319-$BN320</f>
        <v/>
      </c>
      <c r="EB319" s="56">
        <f>$BO319-$BO320</f>
        <v/>
      </c>
      <c r="EC319" s="56">
        <f>$BP319-$BP320</f>
        <v/>
      </c>
      <c r="ED319" s="56">
        <f>$BQ319-$BQ320</f>
        <v/>
      </c>
      <c r="EE319" s="56">
        <f>$BR319-$BR320</f>
        <v/>
      </c>
      <c r="EF319" s="56">
        <f>$BS319-$BS320</f>
        <v/>
      </c>
      <c r="EG319" s="56">
        <f>$BT319-$BT320</f>
        <v/>
      </c>
      <c r="EH319" s="56">
        <f>$BU319-$BU320</f>
        <v/>
      </c>
    </row>
    <row r="320">
      <c r="BV320" s="56">
        <f>($D320-$D321)*100</f>
        <v/>
      </c>
      <c r="BW320" s="56">
        <f>($C320-$C321)*100</f>
        <v/>
      </c>
      <c r="BX320" s="57">
        <f>IFERROR($I320/$I321-1,"")</f>
        <v/>
      </c>
      <c r="BY320" s="56">
        <f>($AF320-$AF321)*100</f>
        <v/>
      </c>
      <c r="BZ320" s="56">
        <f>($AG320-$AG321)*100</f>
        <v/>
      </c>
      <c r="CA320" s="56">
        <f>($AH320-$AH321)*100</f>
        <v/>
      </c>
      <c r="CB320" s="56">
        <f>($AI320-$AI321)*100</f>
        <v/>
      </c>
      <c r="CC320" s="56">
        <f>($AJ320-$AJ321)*100</f>
        <v/>
      </c>
      <c r="CD320" s="56">
        <f>($AK320-$AK321)*100</f>
        <v/>
      </c>
      <c r="CE320" s="56">
        <f>($AL320-$AL321)*100</f>
        <v/>
      </c>
      <c r="CF320" s="56">
        <f>($AM320-$AM321)*100</f>
        <v/>
      </c>
      <c r="CG320" s="56">
        <f>($AN320-$AN321)*100</f>
        <v/>
      </c>
      <c r="CH320" s="56">
        <f>($AO320-$AO321)*100</f>
        <v/>
      </c>
      <c r="CI320" s="56">
        <f>($AP320-$AP321)*100</f>
        <v/>
      </c>
      <c r="CJ320" s="56">
        <f>($AQ320-$AQ321)*100</f>
        <v/>
      </c>
      <c r="CK320" s="56">
        <f>($AR320-$AR321)*100</f>
        <v/>
      </c>
      <c r="CL320" s="56">
        <f>($AS320-$AS321)*100</f>
        <v/>
      </c>
      <c r="CM320" s="56">
        <f>($AT320-$AT321)*100</f>
        <v/>
      </c>
      <c r="CN320" s="56">
        <f>($AU320-$AU321)*100</f>
        <v/>
      </c>
      <c r="CO320" s="56">
        <f>($AV320-$AV321)*100</f>
        <v/>
      </c>
      <c r="CP320" s="56">
        <f>($AW320-$AW321)*100</f>
        <v/>
      </c>
      <c r="CQ320" s="56">
        <f>($AX320-$AX321)*100</f>
        <v/>
      </c>
      <c r="CR320" s="56">
        <f>($AY320-$AY321)*100</f>
        <v/>
      </c>
      <c r="CS320" s="57">
        <f>IFERROR($L321/$L320-1,"")</f>
        <v/>
      </c>
      <c r="CT320" s="57">
        <f>IFERROR($M321/$M320-1,"")</f>
        <v/>
      </c>
      <c r="CU320" s="57">
        <f>IFERROR($N321/$N320-1,"")</f>
        <v/>
      </c>
      <c r="CV320" s="57">
        <f>IFERROR($O321/$O320-1,"")</f>
        <v/>
      </c>
      <c r="CW320" s="57">
        <f>IFERROR($P321/$P320-1,"")</f>
        <v/>
      </c>
      <c r="CX320" s="57">
        <f>IFERROR($Q321/$Q320-1,"")</f>
        <v/>
      </c>
      <c r="CY320" s="57">
        <f>IFERROR($R321/$R320-1,"")</f>
        <v/>
      </c>
      <c r="CZ320" s="57">
        <f>IFERROR($S321/$S320-1,"")</f>
        <v/>
      </c>
      <c r="DA320" s="57">
        <f>IFERROR($T321/$T320-1,"")</f>
        <v/>
      </c>
      <c r="DB320" s="57">
        <f>IFERROR($U321/$U320-1,"")</f>
        <v/>
      </c>
      <c r="DC320" s="57">
        <f>IFERROR($V321/$V320-1,"")</f>
        <v/>
      </c>
      <c r="DD320" s="57">
        <f>IFERROR($W321/$W320-1,"")</f>
        <v/>
      </c>
      <c r="DE320" s="57">
        <f>IFERROR($X321/$X320-1,"")</f>
        <v/>
      </c>
      <c r="DF320" s="57">
        <f>IFERROR($Y321/$Y320-1,"")</f>
        <v/>
      </c>
      <c r="DG320" s="57">
        <f>IFERROR($Z321/$Z320-1,"")</f>
        <v/>
      </c>
      <c r="DH320" s="57">
        <f>IFERROR($AA321/$AA320-1,"")</f>
        <v/>
      </c>
      <c r="DI320" s="57">
        <f>IFERROR($AB321/$AB320-1,"")</f>
        <v/>
      </c>
      <c r="DJ320" s="57">
        <f>IFERROR($AC321/$AC320-1,"")</f>
        <v/>
      </c>
      <c r="DK320" s="57">
        <f>IFERROR($AD321/$AD320-1,"")</f>
        <v/>
      </c>
      <c r="DL320" s="57">
        <f>IFERROR($AE321/$AE320-1,"")</f>
        <v/>
      </c>
      <c r="DM320" s="56">
        <f>$AZ320-$AZ321</f>
        <v/>
      </c>
      <c r="DN320" s="56">
        <f>$BA320-$BA321</f>
        <v/>
      </c>
      <c r="DO320" s="56">
        <f>$BB320-$BB321</f>
        <v/>
      </c>
      <c r="DP320" s="56">
        <f>$BC320-$BC321</f>
        <v/>
      </c>
      <c r="DQ320" s="56">
        <f>$BD320-$BD321</f>
        <v/>
      </c>
      <c r="DR320" s="56">
        <f>$BE320-$BE321</f>
        <v/>
      </c>
      <c r="DS320" s="56">
        <f>$BF320-$BF321</f>
        <v/>
      </c>
      <c r="DT320" s="56">
        <f>$BG320-$BG321</f>
        <v/>
      </c>
      <c r="DU320" s="56">
        <f>$BH320-$BH321</f>
        <v/>
      </c>
      <c r="DV320" s="56">
        <f>$BI320-$BI321</f>
        <v/>
      </c>
      <c r="DW320" s="56">
        <f>$BJ320-$BJ321</f>
        <v/>
      </c>
      <c r="DX320" s="56">
        <f>$BK320-$BK321</f>
        <v/>
      </c>
      <c r="DY320" s="56">
        <f>$BL320-$BL321</f>
        <v/>
      </c>
      <c r="DZ320" s="56">
        <f>$BM320-$BM321</f>
        <v/>
      </c>
      <c r="EA320" s="56">
        <f>$BN320-$BN321</f>
        <v/>
      </c>
      <c r="EB320" s="56">
        <f>$BO320-$BO321</f>
        <v/>
      </c>
      <c r="EC320" s="56">
        <f>$BP320-$BP321</f>
        <v/>
      </c>
      <c r="ED320" s="56">
        <f>$BQ320-$BQ321</f>
        <v/>
      </c>
      <c r="EE320" s="56">
        <f>$BR320-$BR321</f>
        <v/>
      </c>
      <c r="EF320" s="56">
        <f>$BS320-$BS321</f>
        <v/>
      </c>
      <c r="EG320" s="56">
        <f>$BT320-$BT321</f>
        <v/>
      </c>
      <c r="EH320" s="56">
        <f>$BU320-$BU321</f>
        <v/>
      </c>
    </row>
    <row r="321">
      <c r="BV321" s="56">
        <f>($D321-$D322)*100</f>
        <v/>
      </c>
      <c r="BW321" s="56">
        <f>($C321-$C322)*100</f>
        <v/>
      </c>
      <c r="BX321" s="57">
        <f>IFERROR($I321/$I322-1,"")</f>
        <v/>
      </c>
      <c r="BY321" s="56">
        <f>($AF321-$AF322)*100</f>
        <v/>
      </c>
      <c r="BZ321" s="56">
        <f>($AG321-$AG322)*100</f>
        <v/>
      </c>
      <c r="CA321" s="56">
        <f>($AH321-$AH322)*100</f>
        <v/>
      </c>
      <c r="CB321" s="56">
        <f>($AI321-$AI322)*100</f>
        <v/>
      </c>
      <c r="CC321" s="56">
        <f>($AJ321-$AJ322)*100</f>
        <v/>
      </c>
      <c r="CD321" s="56">
        <f>($AK321-$AK322)*100</f>
        <v/>
      </c>
      <c r="CE321" s="56">
        <f>($AL321-$AL322)*100</f>
        <v/>
      </c>
      <c r="CF321" s="56">
        <f>($AM321-$AM322)*100</f>
        <v/>
      </c>
      <c r="CG321" s="56">
        <f>($AN321-$AN322)*100</f>
        <v/>
      </c>
      <c r="CH321" s="56">
        <f>($AO321-$AO322)*100</f>
        <v/>
      </c>
      <c r="CI321" s="56">
        <f>($AP321-$AP322)*100</f>
        <v/>
      </c>
      <c r="CJ321" s="56">
        <f>($AQ321-$AQ322)*100</f>
        <v/>
      </c>
      <c r="CK321" s="56">
        <f>($AR321-$AR322)*100</f>
        <v/>
      </c>
      <c r="CL321" s="56">
        <f>($AS321-$AS322)*100</f>
        <v/>
      </c>
      <c r="CM321" s="56">
        <f>($AT321-$AT322)*100</f>
        <v/>
      </c>
      <c r="CN321" s="56">
        <f>($AU321-$AU322)*100</f>
        <v/>
      </c>
      <c r="CO321" s="56">
        <f>($AV321-$AV322)*100</f>
        <v/>
      </c>
      <c r="CP321" s="56">
        <f>($AW321-$AW322)*100</f>
        <v/>
      </c>
      <c r="CQ321" s="56">
        <f>($AX321-$AX322)*100</f>
        <v/>
      </c>
      <c r="CR321" s="56">
        <f>($AY321-$AY322)*100</f>
        <v/>
      </c>
      <c r="CS321" s="57">
        <f>IFERROR($L322/$L321-1,"")</f>
        <v/>
      </c>
      <c r="CT321" s="57">
        <f>IFERROR($M322/$M321-1,"")</f>
        <v/>
      </c>
      <c r="CU321" s="57">
        <f>IFERROR($N322/$N321-1,"")</f>
        <v/>
      </c>
      <c r="CV321" s="57">
        <f>IFERROR($O322/$O321-1,"")</f>
        <v/>
      </c>
      <c r="CW321" s="57">
        <f>IFERROR($P322/$P321-1,"")</f>
        <v/>
      </c>
      <c r="CX321" s="57">
        <f>IFERROR($Q322/$Q321-1,"")</f>
        <v/>
      </c>
      <c r="CY321" s="57">
        <f>IFERROR($R322/$R321-1,"")</f>
        <v/>
      </c>
      <c r="CZ321" s="57">
        <f>IFERROR($S322/$S321-1,"")</f>
        <v/>
      </c>
      <c r="DA321" s="57">
        <f>IFERROR($T322/$T321-1,"")</f>
        <v/>
      </c>
      <c r="DB321" s="57">
        <f>IFERROR($U322/$U321-1,"")</f>
        <v/>
      </c>
      <c r="DC321" s="57">
        <f>IFERROR($V322/$V321-1,"")</f>
        <v/>
      </c>
      <c r="DD321" s="57">
        <f>IFERROR($W322/$W321-1,"")</f>
        <v/>
      </c>
      <c r="DE321" s="57">
        <f>IFERROR($X322/$X321-1,"")</f>
        <v/>
      </c>
      <c r="DF321" s="57">
        <f>IFERROR($Y322/$Y321-1,"")</f>
        <v/>
      </c>
      <c r="DG321" s="57">
        <f>IFERROR($Z322/$Z321-1,"")</f>
        <v/>
      </c>
      <c r="DH321" s="57">
        <f>IFERROR($AA322/$AA321-1,"")</f>
        <v/>
      </c>
      <c r="DI321" s="57">
        <f>IFERROR($AB322/$AB321-1,"")</f>
        <v/>
      </c>
      <c r="DJ321" s="57">
        <f>IFERROR($AC322/$AC321-1,"")</f>
        <v/>
      </c>
      <c r="DK321" s="57">
        <f>IFERROR($AD322/$AD321-1,"")</f>
        <v/>
      </c>
      <c r="DL321" s="57">
        <f>IFERROR($AE322/$AE321-1,"")</f>
        <v/>
      </c>
      <c r="DM321" s="56">
        <f>$AZ321-$AZ322</f>
        <v/>
      </c>
      <c r="DN321" s="56">
        <f>$BA321-$BA322</f>
        <v/>
      </c>
      <c r="DO321" s="56">
        <f>$BB321-$BB322</f>
        <v/>
      </c>
      <c r="DP321" s="56">
        <f>$BC321-$BC322</f>
        <v/>
      </c>
      <c r="DQ321" s="56">
        <f>$BD321-$BD322</f>
        <v/>
      </c>
      <c r="DR321" s="56">
        <f>$BE321-$BE322</f>
        <v/>
      </c>
      <c r="DS321" s="56">
        <f>$BF321-$BF322</f>
        <v/>
      </c>
      <c r="DT321" s="56">
        <f>$BG321-$BG322</f>
        <v/>
      </c>
      <c r="DU321" s="56">
        <f>$BH321-$BH322</f>
        <v/>
      </c>
      <c r="DV321" s="56">
        <f>$BI321-$BI322</f>
        <v/>
      </c>
      <c r="DW321" s="56">
        <f>$BJ321-$BJ322</f>
        <v/>
      </c>
      <c r="DX321" s="56">
        <f>$BK321-$BK322</f>
        <v/>
      </c>
      <c r="DY321" s="56">
        <f>$BL321-$BL322</f>
        <v/>
      </c>
      <c r="DZ321" s="56">
        <f>$BM321-$BM322</f>
        <v/>
      </c>
      <c r="EA321" s="56">
        <f>$BN321-$BN322</f>
        <v/>
      </c>
      <c r="EB321" s="56">
        <f>$BO321-$BO322</f>
        <v/>
      </c>
      <c r="EC321" s="56">
        <f>$BP321-$BP322</f>
        <v/>
      </c>
      <c r="ED321" s="56">
        <f>$BQ321-$BQ322</f>
        <v/>
      </c>
      <c r="EE321" s="56">
        <f>$BR321-$BR322</f>
        <v/>
      </c>
      <c r="EF321" s="56">
        <f>$BS321-$BS322</f>
        <v/>
      </c>
      <c r="EG321" s="56">
        <f>$BT321-$BT322</f>
        <v/>
      </c>
      <c r="EH321" s="56">
        <f>$BU321-$BU322</f>
        <v/>
      </c>
    </row>
    <row r="322">
      <c r="BV322" s="56">
        <f>($D322-$D323)*100</f>
        <v/>
      </c>
      <c r="BW322" s="56">
        <f>($C322-$C323)*100</f>
        <v/>
      </c>
      <c r="BX322" s="57">
        <f>IFERROR($I322/$I323-1,"")</f>
        <v/>
      </c>
      <c r="BY322" s="56">
        <f>($AF322-$AF323)*100</f>
        <v/>
      </c>
      <c r="BZ322" s="56">
        <f>($AG322-$AG323)*100</f>
        <v/>
      </c>
      <c r="CA322" s="56">
        <f>($AH322-$AH323)*100</f>
        <v/>
      </c>
      <c r="CB322" s="56">
        <f>($AI322-$AI323)*100</f>
        <v/>
      </c>
      <c r="CC322" s="56">
        <f>($AJ322-$AJ323)*100</f>
        <v/>
      </c>
      <c r="CD322" s="56">
        <f>($AK322-$AK323)*100</f>
        <v/>
      </c>
      <c r="CE322" s="56">
        <f>($AL322-$AL323)*100</f>
        <v/>
      </c>
      <c r="CF322" s="56">
        <f>($AM322-$AM323)*100</f>
        <v/>
      </c>
      <c r="CG322" s="56">
        <f>($AN322-$AN323)*100</f>
        <v/>
      </c>
      <c r="CH322" s="56">
        <f>($AO322-$AO323)*100</f>
        <v/>
      </c>
      <c r="CI322" s="56">
        <f>($AP322-$AP323)*100</f>
        <v/>
      </c>
      <c r="CJ322" s="56">
        <f>($AQ322-$AQ323)*100</f>
        <v/>
      </c>
      <c r="CK322" s="56">
        <f>($AR322-$AR323)*100</f>
        <v/>
      </c>
      <c r="CL322" s="56">
        <f>($AS322-$AS323)*100</f>
        <v/>
      </c>
      <c r="CM322" s="56">
        <f>($AT322-$AT323)*100</f>
        <v/>
      </c>
      <c r="CN322" s="56">
        <f>($AU322-$AU323)*100</f>
        <v/>
      </c>
      <c r="CO322" s="56">
        <f>($AV322-$AV323)*100</f>
        <v/>
      </c>
      <c r="CP322" s="56">
        <f>($AW322-$AW323)*100</f>
        <v/>
      </c>
      <c r="CQ322" s="56">
        <f>($AX322-$AX323)*100</f>
        <v/>
      </c>
      <c r="CR322" s="56">
        <f>($AY322-$AY323)*100</f>
        <v/>
      </c>
      <c r="CS322" s="57">
        <f>IFERROR($L323/$L322-1,"")</f>
        <v/>
      </c>
      <c r="CT322" s="57">
        <f>IFERROR($M323/$M322-1,"")</f>
        <v/>
      </c>
      <c r="CU322" s="57">
        <f>IFERROR($N323/$N322-1,"")</f>
        <v/>
      </c>
      <c r="CV322" s="57">
        <f>IFERROR($O323/$O322-1,"")</f>
        <v/>
      </c>
      <c r="CW322" s="57">
        <f>IFERROR($P323/$P322-1,"")</f>
        <v/>
      </c>
      <c r="CX322" s="57">
        <f>IFERROR($Q323/$Q322-1,"")</f>
        <v/>
      </c>
      <c r="CY322" s="57">
        <f>IFERROR($R323/$R322-1,"")</f>
        <v/>
      </c>
      <c r="CZ322" s="57">
        <f>IFERROR($S323/$S322-1,"")</f>
        <v/>
      </c>
      <c r="DA322" s="57">
        <f>IFERROR($T323/$T322-1,"")</f>
        <v/>
      </c>
      <c r="DB322" s="57">
        <f>IFERROR($U323/$U322-1,"")</f>
        <v/>
      </c>
      <c r="DC322" s="57">
        <f>IFERROR($V323/$V322-1,"")</f>
        <v/>
      </c>
      <c r="DD322" s="57">
        <f>IFERROR($W323/$W322-1,"")</f>
        <v/>
      </c>
      <c r="DE322" s="57">
        <f>IFERROR($X323/$X322-1,"")</f>
        <v/>
      </c>
      <c r="DF322" s="57">
        <f>IFERROR($Y323/$Y322-1,"")</f>
        <v/>
      </c>
      <c r="DG322" s="57">
        <f>IFERROR($Z323/$Z322-1,"")</f>
        <v/>
      </c>
      <c r="DH322" s="57">
        <f>IFERROR($AA323/$AA322-1,"")</f>
        <v/>
      </c>
      <c r="DI322" s="57">
        <f>IFERROR($AB323/$AB322-1,"")</f>
        <v/>
      </c>
      <c r="DJ322" s="57">
        <f>IFERROR($AC323/$AC322-1,"")</f>
        <v/>
      </c>
      <c r="DK322" s="57">
        <f>IFERROR($AD323/$AD322-1,"")</f>
        <v/>
      </c>
      <c r="DL322" s="57">
        <f>IFERROR($AE323/$AE322-1,"")</f>
        <v/>
      </c>
      <c r="DM322" s="56">
        <f>$AZ322-$AZ323</f>
        <v/>
      </c>
      <c r="DN322" s="56">
        <f>$BA322-$BA323</f>
        <v/>
      </c>
      <c r="DO322" s="56">
        <f>$BB322-$BB323</f>
        <v/>
      </c>
      <c r="DP322" s="56">
        <f>$BC322-$BC323</f>
        <v/>
      </c>
      <c r="DQ322" s="56">
        <f>$BD322-$BD323</f>
        <v/>
      </c>
      <c r="DR322" s="56">
        <f>$BE322-$BE323</f>
        <v/>
      </c>
      <c r="DS322" s="56">
        <f>$BF322-$BF323</f>
        <v/>
      </c>
      <c r="DT322" s="56">
        <f>$BG322-$BG323</f>
        <v/>
      </c>
      <c r="DU322" s="56">
        <f>$BH322-$BH323</f>
        <v/>
      </c>
      <c r="DV322" s="56">
        <f>$BI322-$BI323</f>
        <v/>
      </c>
      <c r="DW322" s="56">
        <f>$BJ322-$BJ323</f>
        <v/>
      </c>
      <c r="DX322" s="56">
        <f>$BK322-$BK323</f>
        <v/>
      </c>
      <c r="DY322" s="56">
        <f>$BL322-$BL323</f>
        <v/>
      </c>
      <c r="DZ322" s="56">
        <f>$BM322-$BM323</f>
        <v/>
      </c>
      <c r="EA322" s="56">
        <f>$BN322-$BN323</f>
        <v/>
      </c>
      <c r="EB322" s="56">
        <f>$BO322-$BO323</f>
        <v/>
      </c>
      <c r="EC322" s="56">
        <f>$BP322-$BP323</f>
        <v/>
      </c>
      <c r="ED322" s="56">
        <f>$BQ322-$BQ323</f>
        <v/>
      </c>
      <c r="EE322" s="56">
        <f>$BR322-$BR323</f>
        <v/>
      </c>
      <c r="EF322" s="56">
        <f>$BS322-$BS323</f>
        <v/>
      </c>
      <c r="EG322" s="56">
        <f>$BT322-$BT323</f>
        <v/>
      </c>
      <c r="EH322" s="56">
        <f>$BU322-$BU323</f>
        <v/>
      </c>
    </row>
    <row r="323">
      <c r="BV323" s="56">
        <f>($D323-$D324)*100</f>
        <v/>
      </c>
      <c r="BW323" s="56">
        <f>($C323-$C324)*100</f>
        <v/>
      </c>
      <c r="BX323" s="57">
        <f>IFERROR($I323/$I324-1,"")</f>
        <v/>
      </c>
      <c r="BY323" s="56">
        <f>($AF323-$AF324)*100</f>
        <v/>
      </c>
      <c r="BZ323" s="56">
        <f>($AG323-$AG324)*100</f>
        <v/>
      </c>
      <c r="CA323" s="56">
        <f>($AH323-$AH324)*100</f>
        <v/>
      </c>
      <c r="CB323" s="56">
        <f>($AI323-$AI324)*100</f>
        <v/>
      </c>
      <c r="CC323" s="56">
        <f>($AJ323-$AJ324)*100</f>
        <v/>
      </c>
      <c r="CD323" s="56">
        <f>($AK323-$AK324)*100</f>
        <v/>
      </c>
      <c r="CE323" s="56">
        <f>($AL323-$AL324)*100</f>
        <v/>
      </c>
      <c r="CF323" s="56">
        <f>($AM323-$AM324)*100</f>
        <v/>
      </c>
      <c r="CG323" s="56">
        <f>($AN323-$AN324)*100</f>
        <v/>
      </c>
      <c r="CH323" s="56">
        <f>($AO323-$AO324)*100</f>
        <v/>
      </c>
      <c r="CI323" s="56">
        <f>($AP323-$AP324)*100</f>
        <v/>
      </c>
      <c r="CJ323" s="56">
        <f>($AQ323-$AQ324)*100</f>
        <v/>
      </c>
      <c r="CK323" s="56">
        <f>($AR323-$AR324)*100</f>
        <v/>
      </c>
      <c r="CL323" s="56">
        <f>($AS323-$AS324)*100</f>
        <v/>
      </c>
      <c r="CM323" s="56">
        <f>($AT323-$AT324)*100</f>
        <v/>
      </c>
      <c r="CN323" s="56">
        <f>($AU323-$AU324)*100</f>
        <v/>
      </c>
      <c r="CO323" s="56">
        <f>($AV323-$AV324)*100</f>
        <v/>
      </c>
      <c r="CP323" s="56">
        <f>($AW323-$AW324)*100</f>
        <v/>
      </c>
      <c r="CQ323" s="56">
        <f>($AX323-$AX324)*100</f>
        <v/>
      </c>
      <c r="CR323" s="56">
        <f>($AY323-$AY324)*100</f>
        <v/>
      </c>
      <c r="CS323" s="57">
        <f>IFERROR($L324/$L323-1,"")</f>
        <v/>
      </c>
      <c r="CT323" s="57">
        <f>IFERROR($M324/$M323-1,"")</f>
        <v/>
      </c>
      <c r="CU323" s="57">
        <f>IFERROR($N324/$N323-1,"")</f>
        <v/>
      </c>
      <c r="CV323" s="57">
        <f>IFERROR($O324/$O323-1,"")</f>
        <v/>
      </c>
      <c r="CW323" s="57">
        <f>IFERROR($P324/$P323-1,"")</f>
        <v/>
      </c>
      <c r="CX323" s="57">
        <f>IFERROR($Q324/$Q323-1,"")</f>
        <v/>
      </c>
      <c r="CY323" s="57">
        <f>IFERROR($R324/$R323-1,"")</f>
        <v/>
      </c>
      <c r="CZ323" s="57">
        <f>IFERROR($S324/$S323-1,"")</f>
        <v/>
      </c>
      <c r="DA323" s="57">
        <f>IFERROR($T324/$T323-1,"")</f>
        <v/>
      </c>
      <c r="DB323" s="57">
        <f>IFERROR($U324/$U323-1,"")</f>
        <v/>
      </c>
      <c r="DC323" s="57">
        <f>IFERROR($V324/$V323-1,"")</f>
        <v/>
      </c>
      <c r="DD323" s="57">
        <f>IFERROR($W324/$W323-1,"")</f>
        <v/>
      </c>
      <c r="DE323" s="57">
        <f>IFERROR($X324/$X323-1,"")</f>
        <v/>
      </c>
      <c r="DF323" s="57">
        <f>IFERROR($Y324/$Y323-1,"")</f>
        <v/>
      </c>
      <c r="DG323" s="57">
        <f>IFERROR($Z324/$Z323-1,"")</f>
        <v/>
      </c>
      <c r="DH323" s="57">
        <f>IFERROR($AA324/$AA323-1,"")</f>
        <v/>
      </c>
      <c r="DI323" s="57">
        <f>IFERROR($AB324/$AB323-1,"")</f>
        <v/>
      </c>
      <c r="DJ323" s="57">
        <f>IFERROR($AC324/$AC323-1,"")</f>
        <v/>
      </c>
      <c r="DK323" s="57">
        <f>IFERROR($AD324/$AD323-1,"")</f>
        <v/>
      </c>
      <c r="DL323" s="57">
        <f>IFERROR($AE324/$AE323-1,"")</f>
        <v/>
      </c>
      <c r="DM323" s="56">
        <f>$AZ323-$AZ324</f>
        <v/>
      </c>
      <c r="DN323" s="56">
        <f>$BA323-$BA324</f>
        <v/>
      </c>
      <c r="DO323" s="56">
        <f>$BB323-$BB324</f>
        <v/>
      </c>
      <c r="DP323" s="56">
        <f>$BC323-$BC324</f>
        <v/>
      </c>
      <c r="DQ323" s="56">
        <f>$BD323-$BD324</f>
        <v/>
      </c>
      <c r="DR323" s="56">
        <f>$BE323-$BE324</f>
        <v/>
      </c>
      <c r="DS323" s="56">
        <f>$BF323-$BF324</f>
        <v/>
      </c>
      <c r="DT323" s="56">
        <f>$BG323-$BG324</f>
        <v/>
      </c>
      <c r="DU323" s="56">
        <f>$BH323-$BH324</f>
        <v/>
      </c>
      <c r="DV323" s="56">
        <f>$BI323-$BI324</f>
        <v/>
      </c>
      <c r="DW323" s="56">
        <f>$BJ323-$BJ324</f>
        <v/>
      </c>
      <c r="DX323" s="56">
        <f>$BK323-$BK324</f>
        <v/>
      </c>
      <c r="DY323" s="56">
        <f>$BL323-$BL324</f>
        <v/>
      </c>
      <c r="DZ323" s="56">
        <f>$BM323-$BM324</f>
        <v/>
      </c>
      <c r="EA323" s="56">
        <f>$BN323-$BN324</f>
        <v/>
      </c>
      <c r="EB323" s="56">
        <f>$BO323-$BO324</f>
        <v/>
      </c>
      <c r="EC323" s="56">
        <f>$BP323-$BP324</f>
        <v/>
      </c>
      <c r="ED323" s="56">
        <f>$BQ323-$BQ324</f>
        <v/>
      </c>
      <c r="EE323" s="56">
        <f>$BR323-$BR324</f>
        <v/>
      </c>
      <c r="EF323" s="56">
        <f>$BS323-$BS324</f>
        <v/>
      </c>
      <c r="EG323" s="56">
        <f>$BT323-$BT324</f>
        <v/>
      </c>
      <c r="EH323" s="56">
        <f>$BU323-$BU324</f>
        <v/>
      </c>
    </row>
    <row r="324">
      <c r="BV324" s="56">
        <f>($D324-$D325)*100</f>
        <v/>
      </c>
      <c r="BW324" s="56">
        <f>($C324-$C325)*100</f>
        <v/>
      </c>
      <c r="BX324" s="57">
        <f>IFERROR($I324/$I325-1,"")</f>
        <v/>
      </c>
      <c r="BY324" s="56">
        <f>($AF324-$AF325)*100</f>
        <v/>
      </c>
      <c r="BZ324" s="56">
        <f>($AG324-$AG325)*100</f>
        <v/>
      </c>
      <c r="CA324" s="56">
        <f>($AH324-$AH325)*100</f>
        <v/>
      </c>
      <c r="CB324" s="56">
        <f>($AI324-$AI325)*100</f>
        <v/>
      </c>
      <c r="CC324" s="56">
        <f>($AJ324-$AJ325)*100</f>
        <v/>
      </c>
      <c r="CD324" s="56">
        <f>($AK324-$AK325)*100</f>
        <v/>
      </c>
      <c r="CE324" s="56">
        <f>($AL324-$AL325)*100</f>
        <v/>
      </c>
      <c r="CF324" s="56">
        <f>($AM324-$AM325)*100</f>
        <v/>
      </c>
      <c r="CG324" s="56">
        <f>($AN324-$AN325)*100</f>
        <v/>
      </c>
      <c r="CH324" s="56">
        <f>($AO324-$AO325)*100</f>
        <v/>
      </c>
      <c r="CI324" s="56">
        <f>($AP324-$AP325)*100</f>
        <v/>
      </c>
      <c r="CJ324" s="56">
        <f>($AQ324-$AQ325)*100</f>
        <v/>
      </c>
      <c r="CK324" s="56">
        <f>($AR324-$AR325)*100</f>
        <v/>
      </c>
      <c r="CL324" s="56">
        <f>($AS324-$AS325)*100</f>
        <v/>
      </c>
      <c r="CM324" s="56">
        <f>($AT324-$AT325)*100</f>
        <v/>
      </c>
      <c r="CN324" s="56">
        <f>($AU324-$AU325)*100</f>
        <v/>
      </c>
      <c r="CO324" s="56">
        <f>($AV324-$AV325)*100</f>
        <v/>
      </c>
      <c r="CP324" s="56">
        <f>($AW324-$AW325)*100</f>
        <v/>
      </c>
      <c r="CQ324" s="56">
        <f>($AX324-$AX325)*100</f>
        <v/>
      </c>
      <c r="CR324" s="56">
        <f>($AY324-$AY325)*100</f>
        <v/>
      </c>
      <c r="CS324" s="57">
        <f>IFERROR($L325/$L324-1,"")</f>
        <v/>
      </c>
      <c r="CT324" s="57">
        <f>IFERROR($M325/$M324-1,"")</f>
        <v/>
      </c>
      <c r="CU324" s="57">
        <f>IFERROR($N325/$N324-1,"")</f>
        <v/>
      </c>
      <c r="CV324" s="57">
        <f>IFERROR($O325/$O324-1,"")</f>
        <v/>
      </c>
      <c r="CW324" s="57">
        <f>IFERROR($P325/$P324-1,"")</f>
        <v/>
      </c>
      <c r="CX324" s="57">
        <f>IFERROR($Q325/$Q324-1,"")</f>
        <v/>
      </c>
      <c r="CY324" s="57">
        <f>IFERROR($R325/$R324-1,"")</f>
        <v/>
      </c>
      <c r="CZ324" s="57">
        <f>IFERROR($S325/$S324-1,"")</f>
        <v/>
      </c>
      <c r="DA324" s="57">
        <f>IFERROR($T325/$T324-1,"")</f>
        <v/>
      </c>
      <c r="DB324" s="57">
        <f>IFERROR($U325/$U324-1,"")</f>
        <v/>
      </c>
      <c r="DC324" s="57">
        <f>IFERROR($V325/$V324-1,"")</f>
        <v/>
      </c>
      <c r="DD324" s="57">
        <f>IFERROR($W325/$W324-1,"")</f>
        <v/>
      </c>
      <c r="DE324" s="57">
        <f>IFERROR($X325/$X324-1,"")</f>
        <v/>
      </c>
      <c r="DF324" s="57">
        <f>IFERROR($Y325/$Y324-1,"")</f>
        <v/>
      </c>
      <c r="DG324" s="57">
        <f>IFERROR($Z325/$Z324-1,"")</f>
        <v/>
      </c>
      <c r="DH324" s="57">
        <f>IFERROR($AA325/$AA324-1,"")</f>
        <v/>
      </c>
      <c r="DI324" s="57">
        <f>IFERROR($AB325/$AB324-1,"")</f>
        <v/>
      </c>
      <c r="DJ324" s="57">
        <f>IFERROR($AC325/$AC324-1,"")</f>
        <v/>
      </c>
      <c r="DK324" s="57">
        <f>IFERROR($AD325/$AD324-1,"")</f>
        <v/>
      </c>
      <c r="DL324" s="57">
        <f>IFERROR($AE325/$AE324-1,"")</f>
        <v/>
      </c>
      <c r="DM324" s="56">
        <f>$AZ324-$AZ325</f>
        <v/>
      </c>
      <c r="DN324" s="56">
        <f>$BA324-$BA325</f>
        <v/>
      </c>
      <c r="DO324" s="56">
        <f>$BB324-$BB325</f>
        <v/>
      </c>
      <c r="DP324" s="56">
        <f>$BC324-$BC325</f>
        <v/>
      </c>
      <c r="DQ324" s="56">
        <f>$BD324-$BD325</f>
        <v/>
      </c>
      <c r="DR324" s="56">
        <f>$BE324-$BE325</f>
        <v/>
      </c>
      <c r="DS324" s="56">
        <f>$BF324-$BF325</f>
        <v/>
      </c>
      <c r="DT324" s="56">
        <f>$BG324-$BG325</f>
        <v/>
      </c>
      <c r="DU324" s="56">
        <f>$BH324-$BH325</f>
        <v/>
      </c>
      <c r="DV324" s="56">
        <f>$BI324-$BI325</f>
        <v/>
      </c>
      <c r="DW324" s="56">
        <f>$BJ324-$BJ325</f>
        <v/>
      </c>
      <c r="DX324" s="56">
        <f>$BK324-$BK325</f>
        <v/>
      </c>
      <c r="DY324" s="56">
        <f>$BL324-$BL325</f>
        <v/>
      </c>
      <c r="DZ324" s="56">
        <f>$BM324-$BM325</f>
        <v/>
      </c>
      <c r="EA324" s="56">
        <f>$BN324-$BN325</f>
        <v/>
      </c>
      <c r="EB324" s="56">
        <f>$BO324-$BO325</f>
        <v/>
      </c>
      <c r="EC324" s="56">
        <f>$BP324-$BP325</f>
        <v/>
      </c>
      <c r="ED324" s="56">
        <f>$BQ324-$BQ325</f>
        <v/>
      </c>
      <c r="EE324" s="56">
        <f>$BR324-$BR325</f>
        <v/>
      </c>
      <c r="EF324" s="56">
        <f>$BS324-$BS325</f>
        <v/>
      </c>
      <c r="EG324" s="56">
        <f>$BT324-$BT325</f>
        <v/>
      </c>
      <c r="EH324" s="56">
        <f>$BU324-$BU325</f>
        <v/>
      </c>
    </row>
    <row r="325">
      <c r="BV325" s="56">
        <f>($D325-$D326)*100</f>
        <v/>
      </c>
      <c r="BW325" s="56">
        <f>($C325-$C326)*100</f>
        <v/>
      </c>
      <c r="BX325" s="57">
        <f>IFERROR($I325/$I326-1,"")</f>
        <v/>
      </c>
      <c r="BY325" s="56">
        <f>($AF325-$AF326)*100</f>
        <v/>
      </c>
      <c r="BZ325" s="56">
        <f>($AG325-$AG326)*100</f>
        <v/>
      </c>
      <c r="CA325" s="56">
        <f>($AH325-$AH326)*100</f>
        <v/>
      </c>
      <c r="CB325" s="56">
        <f>($AI325-$AI326)*100</f>
        <v/>
      </c>
      <c r="CC325" s="56">
        <f>($AJ325-$AJ326)*100</f>
        <v/>
      </c>
      <c r="CD325" s="56">
        <f>($AK325-$AK326)*100</f>
        <v/>
      </c>
      <c r="CE325" s="56">
        <f>($AL325-$AL326)*100</f>
        <v/>
      </c>
      <c r="CF325" s="56">
        <f>($AM325-$AM326)*100</f>
        <v/>
      </c>
      <c r="CG325" s="56">
        <f>($AN325-$AN326)*100</f>
        <v/>
      </c>
      <c r="CH325" s="56">
        <f>($AO325-$AO326)*100</f>
        <v/>
      </c>
      <c r="CI325" s="56">
        <f>($AP325-$AP326)*100</f>
        <v/>
      </c>
      <c r="CJ325" s="56">
        <f>($AQ325-$AQ326)*100</f>
        <v/>
      </c>
      <c r="CK325" s="56">
        <f>($AR325-$AR326)*100</f>
        <v/>
      </c>
      <c r="CL325" s="56">
        <f>($AS325-$AS326)*100</f>
        <v/>
      </c>
      <c r="CM325" s="56">
        <f>($AT325-$AT326)*100</f>
        <v/>
      </c>
      <c r="CN325" s="56">
        <f>($AU325-$AU326)*100</f>
        <v/>
      </c>
      <c r="CO325" s="56">
        <f>($AV325-$AV326)*100</f>
        <v/>
      </c>
      <c r="CP325" s="56">
        <f>($AW325-$AW326)*100</f>
        <v/>
      </c>
      <c r="CQ325" s="56">
        <f>($AX325-$AX326)*100</f>
        <v/>
      </c>
      <c r="CR325" s="56">
        <f>($AY325-$AY326)*100</f>
        <v/>
      </c>
      <c r="CS325" s="57">
        <f>IFERROR($L326/$L325-1,"")</f>
        <v/>
      </c>
      <c r="CT325" s="57">
        <f>IFERROR($M326/$M325-1,"")</f>
        <v/>
      </c>
      <c r="CU325" s="57">
        <f>IFERROR($N326/$N325-1,"")</f>
        <v/>
      </c>
      <c r="CV325" s="57">
        <f>IFERROR($O326/$O325-1,"")</f>
        <v/>
      </c>
      <c r="CW325" s="57">
        <f>IFERROR($P326/$P325-1,"")</f>
        <v/>
      </c>
      <c r="CX325" s="57">
        <f>IFERROR($Q326/$Q325-1,"")</f>
        <v/>
      </c>
      <c r="CY325" s="57">
        <f>IFERROR($R326/$R325-1,"")</f>
        <v/>
      </c>
      <c r="CZ325" s="57">
        <f>IFERROR($S326/$S325-1,"")</f>
        <v/>
      </c>
      <c r="DA325" s="57">
        <f>IFERROR($T326/$T325-1,"")</f>
        <v/>
      </c>
      <c r="DB325" s="57">
        <f>IFERROR($U326/$U325-1,"")</f>
        <v/>
      </c>
      <c r="DC325" s="57">
        <f>IFERROR($V326/$V325-1,"")</f>
        <v/>
      </c>
      <c r="DD325" s="57">
        <f>IFERROR($W326/$W325-1,"")</f>
        <v/>
      </c>
      <c r="DE325" s="57">
        <f>IFERROR($X326/$X325-1,"")</f>
        <v/>
      </c>
      <c r="DF325" s="57">
        <f>IFERROR($Y326/$Y325-1,"")</f>
        <v/>
      </c>
      <c r="DG325" s="57">
        <f>IFERROR($Z326/$Z325-1,"")</f>
        <v/>
      </c>
      <c r="DH325" s="57">
        <f>IFERROR($AA326/$AA325-1,"")</f>
        <v/>
      </c>
      <c r="DI325" s="57">
        <f>IFERROR($AB326/$AB325-1,"")</f>
        <v/>
      </c>
      <c r="DJ325" s="57">
        <f>IFERROR($AC326/$AC325-1,"")</f>
        <v/>
      </c>
      <c r="DK325" s="57">
        <f>IFERROR($AD326/$AD325-1,"")</f>
        <v/>
      </c>
      <c r="DL325" s="57">
        <f>IFERROR($AE326/$AE325-1,"")</f>
        <v/>
      </c>
      <c r="DM325" s="56">
        <f>$AZ325-$AZ326</f>
        <v/>
      </c>
      <c r="DN325" s="56">
        <f>$BA325-$BA326</f>
        <v/>
      </c>
      <c r="DO325" s="56">
        <f>$BB325-$BB326</f>
        <v/>
      </c>
      <c r="DP325" s="56">
        <f>$BC325-$BC326</f>
        <v/>
      </c>
      <c r="DQ325" s="56">
        <f>$BD325-$BD326</f>
        <v/>
      </c>
      <c r="DR325" s="56">
        <f>$BE325-$BE326</f>
        <v/>
      </c>
      <c r="DS325" s="56">
        <f>$BF325-$BF326</f>
        <v/>
      </c>
      <c r="DT325" s="56">
        <f>$BG325-$BG326</f>
        <v/>
      </c>
      <c r="DU325" s="56">
        <f>$BH325-$BH326</f>
        <v/>
      </c>
      <c r="DV325" s="56">
        <f>$BI325-$BI326</f>
        <v/>
      </c>
      <c r="DW325" s="56">
        <f>$BJ325-$BJ326</f>
        <v/>
      </c>
      <c r="DX325" s="56">
        <f>$BK325-$BK326</f>
        <v/>
      </c>
      <c r="DY325" s="56">
        <f>$BL325-$BL326</f>
        <v/>
      </c>
      <c r="DZ325" s="56">
        <f>$BM325-$BM326</f>
        <v/>
      </c>
      <c r="EA325" s="56">
        <f>$BN325-$BN326</f>
        <v/>
      </c>
      <c r="EB325" s="56">
        <f>$BO325-$BO326</f>
        <v/>
      </c>
      <c r="EC325" s="56">
        <f>$BP325-$BP326</f>
        <v/>
      </c>
      <c r="ED325" s="56">
        <f>$BQ325-$BQ326</f>
        <v/>
      </c>
      <c r="EE325" s="56">
        <f>$BR325-$BR326</f>
        <v/>
      </c>
      <c r="EF325" s="56">
        <f>$BS325-$BS326</f>
        <v/>
      </c>
      <c r="EG325" s="56">
        <f>$BT325-$BT326</f>
        <v/>
      </c>
      <c r="EH325" s="56">
        <f>$BU325-$BU326</f>
        <v/>
      </c>
    </row>
    <row r="326">
      <c r="BV326" s="56">
        <f>($D326-$D327)*100</f>
        <v/>
      </c>
      <c r="BW326" s="56">
        <f>($C326-$C327)*100</f>
        <v/>
      </c>
      <c r="BX326" s="57">
        <f>IFERROR($I326/$I327-1,"")</f>
        <v/>
      </c>
      <c r="BY326" s="56">
        <f>($AF326-$AF327)*100</f>
        <v/>
      </c>
      <c r="BZ326" s="56">
        <f>($AG326-$AG327)*100</f>
        <v/>
      </c>
      <c r="CA326" s="56">
        <f>($AH326-$AH327)*100</f>
        <v/>
      </c>
      <c r="CB326" s="56">
        <f>($AI326-$AI327)*100</f>
        <v/>
      </c>
      <c r="CC326" s="56">
        <f>($AJ326-$AJ327)*100</f>
        <v/>
      </c>
      <c r="CD326" s="56">
        <f>($AK326-$AK327)*100</f>
        <v/>
      </c>
      <c r="CE326" s="56">
        <f>($AL326-$AL327)*100</f>
        <v/>
      </c>
      <c r="CF326" s="56">
        <f>($AM326-$AM327)*100</f>
        <v/>
      </c>
      <c r="CG326" s="56">
        <f>($AN326-$AN327)*100</f>
        <v/>
      </c>
      <c r="CH326" s="56">
        <f>($AO326-$AO327)*100</f>
        <v/>
      </c>
      <c r="CI326" s="56">
        <f>($AP326-$AP327)*100</f>
        <v/>
      </c>
      <c r="CJ326" s="56">
        <f>($AQ326-$AQ327)*100</f>
        <v/>
      </c>
      <c r="CK326" s="56">
        <f>($AR326-$AR327)*100</f>
        <v/>
      </c>
      <c r="CL326" s="56">
        <f>($AS326-$AS327)*100</f>
        <v/>
      </c>
      <c r="CM326" s="56">
        <f>($AT326-$AT327)*100</f>
        <v/>
      </c>
      <c r="CN326" s="56">
        <f>($AU326-$AU327)*100</f>
        <v/>
      </c>
      <c r="CO326" s="56">
        <f>($AV326-$AV327)*100</f>
        <v/>
      </c>
      <c r="CP326" s="56">
        <f>($AW326-$AW327)*100</f>
        <v/>
      </c>
      <c r="CQ326" s="56">
        <f>($AX326-$AX327)*100</f>
        <v/>
      </c>
      <c r="CR326" s="56">
        <f>($AY326-$AY327)*100</f>
        <v/>
      </c>
      <c r="CS326" s="57">
        <f>IFERROR($L327/$L326-1,"")</f>
        <v/>
      </c>
      <c r="CT326" s="57">
        <f>IFERROR($M327/$M326-1,"")</f>
        <v/>
      </c>
      <c r="CU326" s="57">
        <f>IFERROR($N327/$N326-1,"")</f>
        <v/>
      </c>
      <c r="CV326" s="57">
        <f>IFERROR($O327/$O326-1,"")</f>
        <v/>
      </c>
      <c r="CW326" s="57">
        <f>IFERROR($P327/$P326-1,"")</f>
        <v/>
      </c>
      <c r="CX326" s="57">
        <f>IFERROR($Q327/$Q326-1,"")</f>
        <v/>
      </c>
      <c r="CY326" s="57">
        <f>IFERROR($R327/$R326-1,"")</f>
        <v/>
      </c>
      <c r="CZ326" s="57">
        <f>IFERROR($S327/$S326-1,"")</f>
        <v/>
      </c>
      <c r="DA326" s="57">
        <f>IFERROR($T327/$T326-1,"")</f>
        <v/>
      </c>
      <c r="DB326" s="57">
        <f>IFERROR($U327/$U326-1,"")</f>
        <v/>
      </c>
      <c r="DC326" s="57">
        <f>IFERROR($V327/$V326-1,"")</f>
        <v/>
      </c>
      <c r="DD326" s="57">
        <f>IFERROR($W327/$W326-1,"")</f>
        <v/>
      </c>
      <c r="DE326" s="57">
        <f>IFERROR($X327/$X326-1,"")</f>
        <v/>
      </c>
      <c r="DF326" s="57">
        <f>IFERROR($Y327/$Y326-1,"")</f>
        <v/>
      </c>
      <c r="DG326" s="57">
        <f>IFERROR($Z327/$Z326-1,"")</f>
        <v/>
      </c>
      <c r="DH326" s="57">
        <f>IFERROR($AA327/$AA326-1,"")</f>
        <v/>
      </c>
      <c r="DI326" s="57">
        <f>IFERROR($AB327/$AB326-1,"")</f>
        <v/>
      </c>
      <c r="DJ326" s="57">
        <f>IFERROR($AC327/$AC326-1,"")</f>
        <v/>
      </c>
      <c r="DK326" s="57">
        <f>IFERROR($AD327/$AD326-1,"")</f>
        <v/>
      </c>
      <c r="DL326" s="57">
        <f>IFERROR($AE327/$AE326-1,"")</f>
        <v/>
      </c>
      <c r="DM326" s="56">
        <f>$AZ326-$AZ327</f>
        <v/>
      </c>
      <c r="DN326" s="56">
        <f>$BA326-$BA327</f>
        <v/>
      </c>
      <c r="DO326" s="56">
        <f>$BB326-$BB327</f>
        <v/>
      </c>
      <c r="DP326" s="56">
        <f>$BC326-$BC327</f>
        <v/>
      </c>
      <c r="DQ326" s="56">
        <f>$BD326-$BD327</f>
        <v/>
      </c>
      <c r="DR326" s="56">
        <f>$BE326-$BE327</f>
        <v/>
      </c>
      <c r="DS326" s="56">
        <f>$BF326-$BF327</f>
        <v/>
      </c>
      <c r="DT326" s="56">
        <f>$BG326-$BG327</f>
        <v/>
      </c>
      <c r="DU326" s="56">
        <f>$BH326-$BH327</f>
        <v/>
      </c>
      <c r="DV326" s="56">
        <f>$BI326-$BI327</f>
        <v/>
      </c>
      <c r="DW326" s="56">
        <f>$BJ326-$BJ327</f>
        <v/>
      </c>
      <c r="DX326" s="56">
        <f>$BK326-$BK327</f>
        <v/>
      </c>
      <c r="DY326" s="56">
        <f>$BL326-$BL327</f>
        <v/>
      </c>
      <c r="DZ326" s="56">
        <f>$BM326-$BM327</f>
        <v/>
      </c>
      <c r="EA326" s="56">
        <f>$BN326-$BN327</f>
        <v/>
      </c>
      <c r="EB326" s="56">
        <f>$BO326-$BO327</f>
        <v/>
      </c>
      <c r="EC326" s="56">
        <f>$BP326-$BP327</f>
        <v/>
      </c>
      <c r="ED326" s="56">
        <f>$BQ326-$BQ327</f>
        <v/>
      </c>
      <c r="EE326" s="56">
        <f>$BR326-$BR327</f>
        <v/>
      </c>
      <c r="EF326" s="56">
        <f>$BS326-$BS327</f>
        <v/>
      </c>
      <c r="EG326" s="56">
        <f>$BT326-$BT327</f>
        <v/>
      </c>
      <c r="EH326" s="56">
        <f>$BU326-$BU327</f>
        <v/>
      </c>
    </row>
    <row r="327">
      <c r="BV327" s="56">
        <f>($D327-$D328)*100</f>
        <v/>
      </c>
      <c r="BW327" s="56">
        <f>($C327-$C328)*100</f>
        <v/>
      </c>
      <c r="BX327" s="57">
        <f>IFERROR($I327/$I328-1,"")</f>
        <v/>
      </c>
      <c r="BY327" s="56">
        <f>($AF327-$AF328)*100</f>
        <v/>
      </c>
      <c r="BZ327" s="56">
        <f>($AG327-$AG328)*100</f>
        <v/>
      </c>
      <c r="CA327" s="56">
        <f>($AH327-$AH328)*100</f>
        <v/>
      </c>
      <c r="CB327" s="56">
        <f>($AI327-$AI328)*100</f>
        <v/>
      </c>
      <c r="CC327" s="56">
        <f>($AJ327-$AJ328)*100</f>
        <v/>
      </c>
      <c r="CD327" s="56">
        <f>($AK327-$AK328)*100</f>
        <v/>
      </c>
      <c r="CE327" s="56">
        <f>($AL327-$AL328)*100</f>
        <v/>
      </c>
      <c r="CF327" s="56">
        <f>($AM327-$AM328)*100</f>
        <v/>
      </c>
      <c r="CG327" s="56">
        <f>($AN327-$AN328)*100</f>
        <v/>
      </c>
      <c r="CH327" s="56">
        <f>($AO327-$AO328)*100</f>
        <v/>
      </c>
      <c r="CI327" s="56">
        <f>($AP327-$AP328)*100</f>
        <v/>
      </c>
      <c r="CJ327" s="56">
        <f>($AQ327-$AQ328)*100</f>
        <v/>
      </c>
      <c r="CK327" s="56">
        <f>($AR327-$AR328)*100</f>
        <v/>
      </c>
      <c r="CL327" s="56">
        <f>($AS327-$AS328)*100</f>
        <v/>
      </c>
      <c r="CM327" s="56">
        <f>($AT327-$AT328)*100</f>
        <v/>
      </c>
      <c r="CN327" s="56">
        <f>($AU327-$AU328)*100</f>
        <v/>
      </c>
      <c r="CO327" s="56">
        <f>($AV327-$AV328)*100</f>
        <v/>
      </c>
      <c r="CP327" s="56">
        <f>($AW327-$AW328)*100</f>
        <v/>
      </c>
      <c r="CQ327" s="56">
        <f>($AX327-$AX328)*100</f>
        <v/>
      </c>
      <c r="CR327" s="56">
        <f>($AY327-$AY328)*100</f>
        <v/>
      </c>
      <c r="CS327" s="57">
        <f>IFERROR($L328/$L327-1,"")</f>
        <v/>
      </c>
      <c r="CT327" s="57">
        <f>IFERROR($M328/$M327-1,"")</f>
        <v/>
      </c>
      <c r="CU327" s="57">
        <f>IFERROR($N328/$N327-1,"")</f>
        <v/>
      </c>
      <c r="CV327" s="57">
        <f>IFERROR($O328/$O327-1,"")</f>
        <v/>
      </c>
      <c r="CW327" s="57">
        <f>IFERROR($P328/$P327-1,"")</f>
        <v/>
      </c>
      <c r="CX327" s="57">
        <f>IFERROR($Q328/$Q327-1,"")</f>
        <v/>
      </c>
      <c r="CY327" s="57">
        <f>IFERROR($R328/$R327-1,"")</f>
        <v/>
      </c>
      <c r="CZ327" s="57">
        <f>IFERROR($S328/$S327-1,"")</f>
        <v/>
      </c>
      <c r="DA327" s="57">
        <f>IFERROR($T328/$T327-1,"")</f>
        <v/>
      </c>
      <c r="DB327" s="57">
        <f>IFERROR($U328/$U327-1,"")</f>
        <v/>
      </c>
      <c r="DC327" s="57">
        <f>IFERROR($V328/$V327-1,"")</f>
        <v/>
      </c>
      <c r="DD327" s="57">
        <f>IFERROR($W328/$W327-1,"")</f>
        <v/>
      </c>
      <c r="DE327" s="57">
        <f>IFERROR($X328/$X327-1,"")</f>
        <v/>
      </c>
      <c r="DF327" s="57">
        <f>IFERROR($Y328/$Y327-1,"")</f>
        <v/>
      </c>
      <c r="DG327" s="57">
        <f>IFERROR($Z328/$Z327-1,"")</f>
        <v/>
      </c>
      <c r="DH327" s="57">
        <f>IFERROR($AA328/$AA327-1,"")</f>
        <v/>
      </c>
      <c r="DI327" s="57">
        <f>IFERROR($AB328/$AB327-1,"")</f>
        <v/>
      </c>
      <c r="DJ327" s="57">
        <f>IFERROR($AC328/$AC327-1,"")</f>
        <v/>
      </c>
      <c r="DK327" s="57">
        <f>IFERROR($AD328/$AD327-1,"")</f>
        <v/>
      </c>
      <c r="DL327" s="57">
        <f>IFERROR($AE328/$AE327-1,"")</f>
        <v/>
      </c>
      <c r="DM327" s="56">
        <f>$AZ327-$AZ328</f>
        <v/>
      </c>
      <c r="DN327" s="56">
        <f>$BA327-$BA328</f>
        <v/>
      </c>
      <c r="DO327" s="56">
        <f>$BB327-$BB328</f>
        <v/>
      </c>
      <c r="DP327" s="56">
        <f>$BC327-$BC328</f>
        <v/>
      </c>
      <c r="DQ327" s="56">
        <f>$BD327-$BD328</f>
        <v/>
      </c>
      <c r="DR327" s="56">
        <f>$BE327-$BE328</f>
        <v/>
      </c>
      <c r="DS327" s="56">
        <f>$BF327-$BF328</f>
        <v/>
      </c>
      <c r="DT327" s="56">
        <f>$BG327-$BG328</f>
        <v/>
      </c>
      <c r="DU327" s="56">
        <f>$BH327-$BH328</f>
        <v/>
      </c>
      <c r="DV327" s="56">
        <f>$BI327-$BI328</f>
        <v/>
      </c>
      <c r="DW327" s="56">
        <f>$BJ327-$BJ328</f>
        <v/>
      </c>
      <c r="DX327" s="56">
        <f>$BK327-$BK328</f>
        <v/>
      </c>
      <c r="DY327" s="56">
        <f>$BL327-$BL328</f>
        <v/>
      </c>
      <c r="DZ327" s="56">
        <f>$BM327-$BM328</f>
        <v/>
      </c>
      <c r="EA327" s="56">
        <f>$BN327-$BN328</f>
        <v/>
      </c>
      <c r="EB327" s="56">
        <f>$BO327-$BO328</f>
        <v/>
      </c>
      <c r="EC327" s="56">
        <f>$BP327-$BP328</f>
        <v/>
      </c>
      <c r="ED327" s="56">
        <f>$BQ327-$BQ328</f>
        <v/>
      </c>
      <c r="EE327" s="56">
        <f>$BR327-$BR328</f>
        <v/>
      </c>
      <c r="EF327" s="56">
        <f>$BS327-$BS328</f>
        <v/>
      </c>
      <c r="EG327" s="56">
        <f>$BT327-$BT328</f>
        <v/>
      </c>
      <c r="EH327" s="56">
        <f>$BU327-$BU328</f>
        <v/>
      </c>
    </row>
    <row r="328">
      <c r="BV328" s="56">
        <f>($D328-$D329)*100</f>
        <v/>
      </c>
      <c r="BW328" s="56">
        <f>($C328-$C329)*100</f>
        <v/>
      </c>
      <c r="BX328" s="57">
        <f>IFERROR($I328/$I329-1,"")</f>
        <v/>
      </c>
      <c r="BY328" s="56">
        <f>($AF328-$AF329)*100</f>
        <v/>
      </c>
      <c r="BZ328" s="56">
        <f>($AG328-$AG329)*100</f>
        <v/>
      </c>
      <c r="CA328" s="56">
        <f>($AH328-$AH329)*100</f>
        <v/>
      </c>
      <c r="CB328" s="56">
        <f>($AI328-$AI329)*100</f>
        <v/>
      </c>
      <c r="CC328" s="56">
        <f>($AJ328-$AJ329)*100</f>
        <v/>
      </c>
      <c r="CD328" s="56">
        <f>($AK328-$AK329)*100</f>
        <v/>
      </c>
      <c r="CE328" s="56">
        <f>($AL328-$AL329)*100</f>
        <v/>
      </c>
      <c r="CF328" s="56">
        <f>($AM328-$AM329)*100</f>
        <v/>
      </c>
      <c r="CG328" s="56">
        <f>($AN328-$AN329)*100</f>
        <v/>
      </c>
      <c r="CH328" s="56">
        <f>($AO328-$AO329)*100</f>
        <v/>
      </c>
      <c r="CI328" s="56">
        <f>($AP328-$AP329)*100</f>
        <v/>
      </c>
      <c r="CJ328" s="56">
        <f>($AQ328-$AQ329)*100</f>
        <v/>
      </c>
      <c r="CK328" s="56">
        <f>($AR328-$AR329)*100</f>
        <v/>
      </c>
      <c r="CL328" s="56">
        <f>($AS328-$AS329)*100</f>
        <v/>
      </c>
      <c r="CM328" s="56">
        <f>($AT328-$AT329)*100</f>
        <v/>
      </c>
      <c r="CN328" s="56">
        <f>($AU328-$AU329)*100</f>
        <v/>
      </c>
      <c r="CO328" s="56">
        <f>($AV328-$AV329)*100</f>
        <v/>
      </c>
      <c r="CP328" s="56">
        <f>($AW328-$AW329)*100</f>
        <v/>
      </c>
      <c r="CQ328" s="56">
        <f>($AX328-$AX329)*100</f>
        <v/>
      </c>
      <c r="CR328" s="56">
        <f>($AY328-$AY329)*100</f>
        <v/>
      </c>
      <c r="CS328" s="57">
        <f>IFERROR($L329/$L328-1,"")</f>
        <v/>
      </c>
      <c r="CT328" s="57">
        <f>IFERROR($M329/$M328-1,"")</f>
        <v/>
      </c>
      <c r="CU328" s="57">
        <f>IFERROR($N329/$N328-1,"")</f>
        <v/>
      </c>
      <c r="CV328" s="57">
        <f>IFERROR($O329/$O328-1,"")</f>
        <v/>
      </c>
      <c r="CW328" s="57">
        <f>IFERROR($P329/$P328-1,"")</f>
        <v/>
      </c>
      <c r="CX328" s="57">
        <f>IFERROR($Q329/$Q328-1,"")</f>
        <v/>
      </c>
      <c r="CY328" s="57">
        <f>IFERROR($R329/$R328-1,"")</f>
        <v/>
      </c>
      <c r="CZ328" s="57">
        <f>IFERROR($S329/$S328-1,"")</f>
        <v/>
      </c>
      <c r="DA328" s="57">
        <f>IFERROR($T329/$T328-1,"")</f>
        <v/>
      </c>
      <c r="DB328" s="57">
        <f>IFERROR($U329/$U328-1,"")</f>
        <v/>
      </c>
      <c r="DC328" s="57">
        <f>IFERROR($V329/$V328-1,"")</f>
        <v/>
      </c>
      <c r="DD328" s="57">
        <f>IFERROR($W329/$W328-1,"")</f>
        <v/>
      </c>
      <c r="DE328" s="57">
        <f>IFERROR($X329/$X328-1,"")</f>
        <v/>
      </c>
      <c r="DF328" s="57">
        <f>IFERROR($Y329/$Y328-1,"")</f>
        <v/>
      </c>
      <c r="DG328" s="57">
        <f>IFERROR($Z329/$Z328-1,"")</f>
        <v/>
      </c>
      <c r="DH328" s="57">
        <f>IFERROR($AA329/$AA328-1,"")</f>
        <v/>
      </c>
      <c r="DI328" s="57">
        <f>IFERROR($AB329/$AB328-1,"")</f>
        <v/>
      </c>
      <c r="DJ328" s="57">
        <f>IFERROR($AC329/$AC328-1,"")</f>
        <v/>
      </c>
      <c r="DK328" s="57">
        <f>IFERROR($AD329/$AD328-1,"")</f>
        <v/>
      </c>
      <c r="DL328" s="57">
        <f>IFERROR($AE329/$AE328-1,"")</f>
        <v/>
      </c>
      <c r="DM328" s="56">
        <f>$AZ328-$AZ329</f>
        <v/>
      </c>
      <c r="DN328" s="56">
        <f>$BA328-$BA329</f>
        <v/>
      </c>
      <c r="DO328" s="56">
        <f>$BB328-$BB329</f>
        <v/>
      </c>
      <c r="DP328" s="56">
        <f>$BC328-$BC329</f>
        <v/>
      </c>
      <c r="DQ328" s="56">
        <f>$BD328-$BD329</f>
        <v/>
      </c>
      <c r="DR328" s="56">
        <f>$BE328-$BE329</f>
        <v/>
      </c>
      <c r="DS328" s="56">
        <f>$BF328-$BF329</f>
        <v/>
      </c>
      <c r="DT328" s="56">
        <f>$BG328-$BG329</f>
        <v/>
      </c>
      <c r="DU328" s="56">
        <f>$BH328-$BH329</f>
        <v/>
      </c>
      <c r="DV328" s="56">
        <f>$BI328-$BI329</f>
        <v/>
      </c>
      <c r="DW328" s="56">
        <f>$BJ328-$BJ329</f>
        <v/>
      </c>
      <c r="DX328" s="56">
        <f>$BK328-$BK329</f>
        <v/>
      </c>
      <c r="DY328" s="56">
        <f>$BL328-$BL329</f>
        <v/>
      </c>
      <c r="DZ328" s="56">
        <f>$BM328-$BM329</f>
        <v/>
      </c>
      <c r="EA328" s="56">
        <f>$BN328-$BN329</f>
        <v/>
      </c>
      <c r="EB328" s="56">
        <f>$BO328-$BO329</f>
        <v/>
      </c>
      <c r="EC328" s="56">
        <f>$BP328-$BP329</f>
        <v/>
      </c>
      <c r="ED328" s="56">
        <f>$BQ328-$BQ329</f>
        <v/>
      </c>
      <c r="EE328" s="56">
        <f>$BR328-$BR329</f>
        <v/>
      </c>
      <c r="EF328" s="56">
        <f>$BS328-$BS329</f>
        <v/>
      </c>
      <c r="EG328" s="56">
        <f>$BT328-$BT329</f>
        <v/>
      </c>
      <c r="EH328" s="56">
        <f>$BU328-$BU329</f>
        <v/>
      </c>
    </row>
    <row r="329">
      <c r="BV329" s="56">
        <f>($D329-$D330)*100</f>
        <v/>
      </c>
      <c r="BW329" s="56">
        <f>($C329-$C330)*100</f>
        <v/>
      </c>
      <c r="BX329" s="57">
        <f>IFERROR($I329/$I330-1,"")</f>
        <v/>
      </c>
      <c r="BY329" s="56">
        <f>($AF329-$AF330)*100</f>
        <v/>
      </c>
      <c r="BZ329" s="56">
        <f>($AG329-$AG330)*100</f>
        <v/>
      </c>
      <c r="CA329" s="56">
        <f>($AH329-$AH330)*100</f>
        <v/>
      </c>
      <c r="CB329" s="56">
        <f>($AI329-$AI330)*100</f>
        <v/>
      </c>
      <c r="CC329" s="56">
        <f>($AJ329-$AJ330)*100</f>
        <v/>
      </c>
      <c r="CD329" s="56">
        <f>($AK329-$AK330)*100</f>
        <v/>
      </c>
      <c r="CE329" s="56">
        <f>($AL329-$AL330)*100</f>
        <v/>
      </c>
      <c r="CF329" s="56">
        <f>($AM329-$AM330)*100</f>
        <v/>
      </c>
      <c r="CG329" s="56">
        <f>($AN329-$AN330)*100</f>
        <v/>
      </c>
      <c r="CH329" s="56">
        <f>($AO329-$AO330)*100</f>
        <v/>
      </c>
      <c r="CI329" s="56">
        <f>($AP329-$AP330)*100</f>
        <v/>
      </c>
      <c r="CJ329" s="56">
        <f>($AQ329-$AQ330)*100</f>
        <v/>
      </c>
      <c r="CK329" s="56">
        <f>($AR329-$AR330)*100</f>
        <v/>
      </c>
      <c r="CL329" s="56">
        <f>($AS329-$AS330)*100</f>
        <v/>
      </c>
      <c r="CM329" s="56">
        <f>($AT329-$AT330)*100</f>
        <v/>
      </c>
      <c r="CN329" s="56">
        <f>($AU329-$AU330)*100</f>
        <v/>
      </c>
      <c r="CO329" s="56">
        <f>($AV329-$AV330)*100</f>
        <v/>
      </c>
      <c r="CP329" s="56">
        <f>($AW329-$AW330)*100</f>
        <v/>
      </c>
      <c r="CQ329" s="56">
        <f>($AX329-$AX330)*100</f>
        <v/>
      </c>
      <c r="CR329" s="56">
        <f>($AY329-$AY330)*100</f>
        <v/>
      </c>
      <c r="CS329" s="57">
        <f>IFERROR($L330/$L329-1,"")</f>
        <v/>
      </c>
      <c r="CT329" s="57">
        <f>IFERROR($M330/$M329-1,"")</f>
        <v/>
      </c>
      <c r="CU329" s="57">
        <f>IFERROR($N330/$N329-1,"")</f>
        <v/>
      </c>
      <c r="CV329" s="57">
        <f>IFERROR($O330/$O329-1,"")</f>
        <v/>
      </c>
      <c r="CW329" s="57">
        <f>IFERROR($P330/$P329-1,"")</f>
        <v/>
      </c>
      <c r="CX329" s="57">
        <f>IFERROR($Q330/$Q329-1,"")</f>
        <v/>
      </c>
      <c r="CY329" s="57">
        <f>IFERROR($R330/$R329-1,"")</f>
        <v/>
      </c>
      <c r="CZ329" s="57">
        <f>IFERROR($S330/$S329-1,"")</f>
        <v/>
      </c>
      <c r="DA329" s="57">
        <f>IFERROR($T330/$T329-1,"")</f>
        <v/>
      </c>
      <c r="DB329" s="57">
        <f>IFERROR($U330/$U329-1,"")</f>
        <v/>
      </c>
      <c r="DC329" s="57">
        <f>IFERROR($V330/$V329-1,"")</f>
        <v/>
      </c>
      <c r="DD329" s="57">
        <f>IFERROR($W330/$W329-1,"")</f>
        <v/>
      </c>
      <c r="DE329" s="57">
        <f>IFERROR($X330/$X329-1,"")</f>
        <v/>
      </c>
      <c r="DF329" s="57">
        <f>IFERROR($Y330/$Y329-1,"")</f>
        <v/>
      </c>
      <c r="DG329" s="57">
        <f>IFERROR($Z330/$Z329-1,"")</f>
        <v/>
      </c>
      <c r="DH329" s="57">
        <f>IFERROR($AA330/$AA329-1,"")</f>
        <v/>
      </c>
      <c r="DI329" s="57">
        <f>IFERROR($AB330/$AB329-1,"")</f>
        <v/>
      </c>
      <c r="DJ329" s="57">
        <f>IFERROR($AC330/$AC329-1,"")</f>
        <v/>
      </c>
      <c r="DK329" s="57">
        <f>IFERROR($AD330/$AD329-1,"")</f>
        <v/>
      </c>
      <c r="DL329" s="57">
        <f>IFERROR($AE330/$AE329-1,"")</f>
        <v/>
      </c>
      <c r="DM329" s="56">
        <f>$AZ329-$AZ330</f>
        <v/>
      </c>
      <c r="DN329" s="56">
        <f>$BA329-$BA330</f>
        <v/>
      </c>
      <c r="DO329" s="56">
        <f>$BB329-$BB330</f>
        <v/>
      </c>
      <c r="DP329" s="56">
        <f>$BC329-$BC330</f>
        <v/>
      </c>
      <c r="DQ329" s="56">
        <f>$BD329-$BD330</f>
        <v/>
      </c>
      <c r="DR329" s="56">
        <f>$BE329-$BE330</f>
        <v/>
      </c>
      <c r="DS329" s="56">
        <f>$BF329-$BF330</f>
        <v/>
      </c>
      <c r="DT329" s="56">
        <f>$BG329-$BG330</f>
        <v/>
      </c>
      <c r="DU329" s="56">
        <f>$BH329-$BH330</f>
        <v/>
      </c>
      <c r="DV329" s="56">
        <f>$BI329-$BI330</f>
        <v/>
      </c>
      <c r="DW329" s="56">
        <f>$BJ329-$BJ330</f>
        <v/>
      </c>
      <c r="DX329" s="56">
        <f>$BK329-$BK330</f>
        <v/>
      </c>
      <c r="DY329" s="56">
        <f>$BL329-$BL330</f>
        <v/>
      </c>
      <c r="DZ329" s="56">
        <f>$BM329-$BM330</f>
        <v/>
      </c>
      <c r="EA329" s="56">
        <f>$BN329-$BN330</f>
        <v/>
      </c>
      <c r="EB329" s="56">
        <f>$BO329-$BO330</f>
        <v/>
      </c>
      <c r="EC329" s="56">
        <f>$BP329-$BP330</f>
        <v/>
      </c>
      <c r="ED329" s="56">
        <f>$BQ329-$BQ330</f>
        <v/>
      </c>
      <c r="EE329" s="56">
        <f>$BR329-$BR330</f>
        <v/>
      </c>
      <c r="EF329" s="56">
        <f>$BS329-$BS330</f>
        <v/>
      </c>
      <c r="EG329" s="56">
        <f>$BT329-$BT330</f>
        <v/>
      </c>
      <c r="EH329" s="56">
        <f>$BU329-$BU330</f>
        <v/>
      </c>
    </row>
    <row r="330">
      <c r="BV330" s="56">
        <f>($D330-$D331)*100</f>
        <v/>
      </c>
      <c r="BW330" s="56">
        <f>($C330-$C331)*100</f>
        <v/>
      </c>
      <c r="BX330" s="57">
        <f>IFERROR($I330/$I331-1,"")</f>
        <v/>
      </c>
      <c r="BY330" s="56">
        <f>($AF330-$AF331)*100</f>
        <v/>
      </c>
      <c r="BZ330" s="56">
        <f>($AG330-$AG331)*100</f>
        <v/>
      </c>
      <c r="CA330" s="56">
        <f>($AH330-$AH331)*100</f>
        <v/>
      </c>
      <c r="CB330" s="56">
        <f>($AI330-$AI331)*100</f>
        <v/>
      </c>
      <c r="CC330" s="56">
        <f>($AJ330-$AJ331)*100</f>
        <v/>
      </c>
      <c r="CD330" s="56">
        <f>($AK330-$AK331)*100</f>
        <v/>
      </c>
      <c r="CE330" s="56">
        <f>($AL330-$AL331)*100</f>
        <v/>
      </c>
      <c r="CF330" s="56">
        <f>($AM330-$AM331)*100</f>
        <v/>
      </c>
      <c r="CG330" s="56">
        <f>($AN330-$AN331)*100</f>
        <v/>
      </c>
      <c r="CH330" s="56">
        <f>($AO330-$AO331)*100</f>
        <v/>
      </c>
      <c r="CI330" s="56">
        <f>($AP330-$AP331)*100</f>
        <v/>
      </c>
      <c r="CJ330" s="56">
        <f>($AQ330-$AQ331)*100</f>
        <v/>
      </c>
      <c r="CK330" s="56">
        <f>($AR330-$AR331)*100</f>
        <v/>
      </c>
      <c r="CL330" s="56">
        <f>($AS330-$AS331)*100</f>
        <v/>
      </c>
      <c r="CM330" s="56">
        <f>($AT330-$AT331)*100</f>
        <v/>
      </c>
      <c r="CN330" s="56">
        <f>($AU330-$AU331)*100</f>
        <v/>
      </c>
      <c r="CO330" s="56">
        <f>($AV330-$AV331)*100</f>
        <v/>
      </c>
      <c r="CP330" s="56">
        <f>($AW330-$AW331)*100</f>
        <v/>
      </c>
      <c r="CQ330" s="56">
        <f>($AX330-$AX331)*100</f>
        <v/>
      </c>
      <c r="CR330" s="56">
        <f>($AY330-$AY331)*100</f>
        <v/>
      </c>
      <c r="CS330" s="57">
        <f>IFERROR($L331/$L330-1,"")</f>
        <v/>
      </c>
      <c r="CT330" s="57">
        <f>IFERROR($M331/$M330-1,"")</f>
        <v/>
      </c>
      <c r="CU330" s="57">
        <f>IFERROR($N331/$N330-1,"")</f>
        <v/>
      </c>
      <c r="CV330" s="57">
        <f>IFERROR($O331/$O330-1,"")</f>
        <v/>
      </c>
      <c r="CW330" s="57">
        <f>IFERROR($P331/$P330-1,"")</f>
        <v/>
      </c>
      <c r="CX330" s="57">
        <f>IFERROR($Q331/$Q330-1,"")</f>
        <v/>
      </c>
      <c r="CY330" s="57">
        <f>IFERROR($R331/$R330-1,"")</f>
        <v/>
      </c>
      <c r="CZ330" s="57">
        <f>IFERROR($S331/$S330-1,"")</f>
        <v/>
      </c>
      <c r="DA330" s="57">
        <f>IFERROR($T331/$T330-1,"")</f>
        <v/>
      </c>
      <c r="DB330" s="57">
        <f>IFERROR($U331/$U330-1,"")</f>
        <v/>
      </c>
      <c r="DC330" s="57">
        <f>IFERROR($V331/$V330-1,"")</f>
        <v/>
      </c>
      <c r="DD330" s="57">
        <f>IFERROR($W331/$W330-1,"")</f>
        <v/>
      </c>
      <c r="DE330" s="57">
        <f>IFERROR($X331/$X330-1,"")</f>
        <v/>
      </c>
      <c r="DF330" s="57">
        <f>IFERROR($Y331/$Y330-1,"")</f>
        <v/>
      </c>
      <c r="DG330" s="57">
        <f>IFERROR($Z331/$Z330-1,"")</f>
        <v/>
      </c>
      <c r="DH330" s="57">
        <f>IFERROR($AA331/$AA330-1,"")</f>
        <v/>
      </c>
      <c r="DI330" s="57">
        <f>IFERROR($AB331/$AB330-1,"")</f>
        <v/>
      </c>
      <c r="DJ330" s="57">
        <f>IFERROR($AC331/$AC330-1,"")</f>
        <v/>
      </c>
      <c r="DK330" s="57">
        <f>IFERROR($AD331/$AD330-1,"")</f>
        <v/>
      </c>
      <c r="DL330" s="57">
        <f>IFERROR($AE331/$AE330-1,"")</f>
        <v/>
      </c>
      <c r="DM330" s="56">
        <f>$AZ330-$AZ331</f>
        <v/>
      </c>
      <c r="DN330" s="56">
        <f>$BA330-$BA331</f>
        <v/>
      </c>
      <c r="DO330" s="56">
        <f>$BB330-$BB331</f>
        <v/>
      </c>
      <c r="DP330" s="56">
        <f>$BC330-$BC331</f>
        <v/>
      </c>
      <c r="DQ330" s="56">
        <f>$BD330-$BD331</f>
        <v/>
      </c>
      <c r="DR330" s="56">
        <f>$BE330-$BE331</f>
        <v/>
      </c>
      <c r="DS330" s="56">
        <f>$BF330-$BF331</f>
        <v/>
      </c>
      <c r="DT330" s="56">
        <f>$BG330-$BG331</f>
        <v/>
      </c>
      <c r="DU330" s="56">
        <f>$BH330-$BH331</f>
        <v/>
      </c>
      <c r="DV330" s="56">
        <f>$BI330-$BI331</f>
        <v/>
      </c>
      <c r="DW330" s="56">
        <f>$BJ330-$BJ331</f>
        <v/>
      </c>
      <c r="DX330" s="56">
        <f>$BK330-$BK331</f>
        <v/>
      </c>
      <c r="DY330" s="56">
        <f>$BL330-$BL331</f>
        <v/>
      </c>
      <c r="DZ330" s="56">
        <f>$BM330-$BM331</f>
        <v/>
      </c>
      <c r="EA330" s="56">
        <f>$BN330-$BN331</f>
        <v/>
      </c>
      <c r="EB330" s="56">
        <f>$BO330-$BO331</f>
        <v/>
      </c>
      <c r="EC330" s="56">
        <f>$BP330-$BP331</f>
        <v/>
      </c>
      <c r="ED330" s="56">
        <f>$BQ330-$BQ331</f>
        <v/>
      </c>
      <c r="EE330" s="56">
        <f>$BR330-$BR331</f>
        <v/>
      </c>
      <c r="EF330" s="56">
        <f>$BS330-$BS331</f>
        <v/>
      </c>
      <c r="EG330" s="56">
        <f>$BT330-$BT331</f>
        <v/>
      </c>
      <c r="EH330" s="56">
        <f>$BU330-$BU331</f>
        <v/>
      </c>
    </row>
    <row r="331">
      <c r="BV331" s="56">
        <f>($D331-$D332)*100</f>
        <v/>
      </c>
      <c r="BW331" s="56">
        <f>($C331-$C332)*100</f>
        <v/>
      </c>
      <c r="BX331" s="57">
        <f>IFERROR($I331/$I332-1,"")</f>
        <v/>
      </c>
      <c r="BY331" s="56">
        <f>($AF331-$AF332)*100</f>
        <v/>
      </c>
      <c r="BZ331" s="56">
        <f>($AG331-$AG332)*100</f>
        <v/>
      </c>
      <c r="CA331" s="56">
        <f>($AH331-$AH332)*100</f>
        <v/>
      </c>
      <c r="CB331" s="56">
        <f>($AI331-$AI332)*100</f>
        <v/>
      </c>
      <c r="CC331" s="56">
        <f>($AJ331-$AJ332)*100</f>
        <v/>
      </c>
      <c r="CD331" s="56">
        <f>($AK331-$AK332)*100</f>
        <v/>
      </c>
      <c r="CE331" s="56">
        <f>($AL331-$AL332)*100</f>
        <v/>
      </c>
      <c r="CF331" s="56">
        <f>($AM331-$AM332)*100</f>
        <v/>
      </c>
      <c r="CG331" s="56">
        <f>($AN331-$AN332)*100</f>
        <v/>
      </c>
      <c r="CH331" s="56">
        <f>($AO331-$AO332)*100</f>
        <v/>
      </c>
      <c r="CI331" s="56">
        <f>($AP331-$AP332)*100</f>
        <v/>
      </c>
      <c r="CJ331" s="56">
        <f>($AQ331-$AQ332)*100</f>
        <v/>
      </c>
      <c r="CK331" s="56">
        <f>($AR331-$AR332)*100</f>
        <v/>
      </c>
      <c r="CL331" s="56">
        <f>($AS331-$AS332)*100</f>
        <v/>
      </c>
      <c r="CM331" s="56">
        <f>($AT331-$AT332)*100</f>
        <v/>
      </c>
      <c r="CN331" s="56">
        <f>($AU331-$AU332)*100</f>
        <v/>
      </c>
      <c r="CO331" s="56">
        <f>($AV331-$AV332)*100</f>
        <v/>
      </c>
      <c r="CP331" s="56">
        <f>($AW331-$AW332)*100</f>
        <v/>
      </c>
      <c r="CQ331" s="56">
        <f>($AX331-$AX332)*100</f>
        <v/>
      </c>
      <c r="CR331" s="56">
        <f>($AY331-$AY332)*100</f>
        <v/>
      </c>
      <c r="CS331" s="57">
        <f>IFERROR($L332/$L331-1,"")</f>
        <v/>
      </c>
      <c r="CT331" s="57">
        <f>IFERROR($M332/$M331-1,"")</f>
        <v/>
      </c>
      <c r="CU331" s="57">
        <f>IFERROR($N332/$N331-1,"")</f>
        <v/>
      </c>
      <c r="CV331" s="57">
        <f>IFERROR($O332/$O331-1,"")</f>
        <v/>
      </c>
      <c r="CW331" s="57">
        <f>IFERROR($P332/$P331-1,"")</f>
        <v/>
      </c>
      <c r="CX331" s="57">
        <f>IFERROR($Q332/$Q331-1,"")</f>
        <v/>
      </c>
      <c r="CY331" s="57">
        <f>IFERROR($R332/$R331-1,"")</f>
        <v/>
      </c>
      <c r="CZ331" s="57">
        <f>IFERROR($S332/$S331-1,"")</f>
        <v/>
      </c>
      <c r="DA331" s="57">
        <f>IFERROR($T332/$T331-1,"")</f>
        <v/>
      </c>
      <c r="DB331" s="57">
        <f>IFERROR($U332/$U331-1,"")</f>
        <v/>
      </c>
      <c r="DC331" s="57">
        <f>IFERROR($V332/$V331-1,"")</f>
        <v/>
      </c>
      <c r="DD331" s="57">
        <f>IFERROR($W332/$W331-1,"")</f>
        <v/>
      </c>
      <c r="DE331" s="57">
        <f>IFERROR($X332/$X331-1,"")</f>
        <v/>
      </c>
      <c r="DF331" s="57">
        <f>IFERROR($Y332/$Y331-1,"")</f>
        <v/>
      </c>
      <c r="DG331" s="57">
        <f>IFERROR($Z332/$Z331-1,"")</f>
        <v/>
      </c>
      <c r="DH331" s="57">
        <f>IFERROR($AA332/$AA331-1,"")</f>
        <v/>
      </c>
      <c r="DI331" s="57">
        <f>IFERROR($AB332/$AB331-1,"")</f>
        <v/>
      </c>
      <c r="DJ331" s="57">
        <f>IFERROR($AC332/$AC331-1,"")</f>
        <v/>
      </c>
      <c r="DK331" s="57">
        <f>IFERROR($AD332/$AD331-1,"")</f>
        <v/>
      </c>
      <c r="DL331" s="57">
        <f>IFERROR($AE332/$AE331-1,"")</f>
        <v/>
      </c>
      <c r="DM331" s="56">
        <f>$AZ331-$AZ332</f>
        <v/>
      </c>
      <c r="DN331" s="56">
        <f>$BA331-$BA332</f>
        <v/>
      </c>
      <c r="DO331" s="56">
        <f>$BB331-$BB332</f>
        <v/>
      </c>
      <c r="DP331" s="56">
        <f>$BC331-$BC332</f>
        <v/>
      </c>
      <c r="DQ331" s="56">
        <f>$BD331-$BD332</f>
        <v/>
      </c>
      <c r="DR331" s="56">
        <f>$BE331-$BE332</f>
        <v/>
      </c>
      <c r="DS331" s="56">
        <f>$BF331-$BF332</f>
        <v/>
      </c>
      <c r="DT331" s="56">
        <f>$BG331-$BG332</f>
        <v/>
      </c>
      <c r="DU331" s="56">
        <f>$BH331-$BH332</f>
        <v/>
      </c>
      <c r="DV331" s="56">
        <f>$BI331-$BI332</f>
        <v/>
      </c>
      <c r="DW331" s="56">
        <f>$BJ331-$BJ332</f>
        <v/>
      </c>
      <c r="DX331" s="56">
        <f>$BK331-$BK332</f>
        <v/>
      </c>
      <c r="DY331" s="56">
        <f>$BL331-$BL332</f>
        <v/>
      </c>
      <c r="DZ331" s="56">
        <f>$BM331-$BM332</f>
        <v/>
      </c>
      <c r="EA331" s="56">
        <f>$BN331-$BN332</f>
        <v/>
      </c>
      <c r="EB331" s="56">
        <f>$BO331-$BO332</f>
        <v/>
      </c>
      <c r="EC331" s="56">
        <f>$BP331-$BP332</f>
        <v/>
      </c>
      <c r="ED331" s="56">
        <f>$BQ331-$BQ332</f>
        <v/>
      </c>
      <c r="EE331" s="56">
        <f>$BR331-$BR332</f>
        <v/>
      </c>
      <c r="EF331" s="56">
        <f>$BS331-$BS332</f>
        <v/>
      </c>
      <c r="EG331" s="56">
        <f>$BT331-$BT332</f>
        <v/>
      </c>
      <c r="EH331" s="56">
        <f>$BU331-$BU332</f>
        <v/>
      </c>
    </row>
    <row r="332">
      <c r="BV332" s="56">
        <f>($D332-$D333)*100</f>
        <v/>
      </c>
      <c r="BW332" s="56">
        <f>($C332-$C333)*100</f>
        <v/>
      </c>
      <c r="BX332" s="57">
        <f>IFERROR($I332/$I333-1,"")</f>
        <v/>
      </c>
      <c r="BY332" s="56">
        <f>($AF332-$AF333)*100</f>
        <v/>
      </c>
      <c r="BZ332" s="56">
        <f>($AG332-$AG333)*100</f>
        <v/>
      </c>
      <c r="CA332" s="56">
        <f>($AH332-$AH333)*100</f>
        <v/>
      </c>
      <c r="CB332" s="56">
        <f>($AI332-$AI333)*100</f>
        <v/>
      </c>
      <c r="CC332" s="56">
        <f>($AJ332-$AJ333)*100</f>
        <v/>
      </c>
      <c r="CD332" s="56">
        <f>($AK332-$AK333)*100</f>
        <v/>
      </c>
      <c r="CE332" s="56">
        <f>($AL332-$AL333)*100</f>
        <v/>
      </c>
      <c r="CF332" s="56">
        <f>($AM332-$AM333)*100</f>
        <v/>
      </c>
      <c r="CG332" s="56">
        <f>($AN332-$AN333)*100</f>
        <v/>
      </c>
      <c r="CH332" s="56">
        <f>($AO332-$AO333)*100</f>
        <v/>
      </c>
      <c r="CI332" s="56">
        <f>($AP332-$AP333)*100</f>
        <v/>
      </c>
      <c r="CJ332" s="56">
        <f>($AQ332-$AQ333)*100</f>
        <v/>
      </c>
      <c r="CK332" s="56">
        <f>($AR332-$AR333)*100</f>
        <v/>
      </c>
      <c r="CL332" s="56">
        <f>($AS332-$AS333)*100</f>
        <v/>
      </c>
      <c r="CM332" s="56">
        <f>($AT332-$AT333)*100</f>
        <v/>
      </c>
      <c r="CN332" s="56">
        <f>($AU332-$AU333)*100</f>
        <v/>
      </c>
      <c r="CO332" s="56">
        <f>($AV332-$AV333)*100</f>
        <v/>
      </c>
      <c r="CP332" s="56">
        <f>($AW332-$AW333)*100</f>
        <v/>
      </c>
      <c r="CQ332" s="56">
        <f>($AX332-$AX333)*100</f>
        <v/>
      </c>
      <c r="CR332" s="56">
        <f>($AY332-$AY333)*100</f>
        <v/>
      </c>
      <c r="CS332" s="57">
        <f>IFERROR($L333/$L332-1,"")</f>
        <v/>
      </c>
      <c r="CT332" s="57">
        <f>IFERROR($M333/$M332-1,"")</f>
        <v/>
      </c>
      <c r="CU332" s="57">
        <f>IFERROR($N333/$N332-1,"")</f>
        <v/>
      </c>
      <c r="CV332" s="57">
        <f>IFERROR($O333/$O332-1,"")</f>
        <v/>
      </c>
      <c r="CW332" s="57">
        <f>IFERROR($P333/$P332-1,"")</f>
        <v/>
      </c>
      <c r="CX332" s="57">
        <f>IFERROR($Q333/$Q332-1,"")</f>
        <v/>
      </c>
      <c r="CY332" s="57">
        <f>IFERROR($R333/$R332-1,"")</f>
        <v/>
      </c>
      <c r="CZ332" s="57">
        <f>IFERROR($S333/$S332-1,"")</f>
        <v/>
      </c>
      <c r="DA332" s="57">
        <f>IFERROR($T333/$T332-1,"")</f>
        <v/>
      </c>
      <c r="DB332" s="57">
        <f>IFERROR($U333/$U332-1,"")</f>
        <v/>
      </c>
      <c r="DC332" s="57">
        <f>IFERROR($V333/$V332-1,"")</f>
        <v/>
      </c>
      <c r="DD332" s="57">
        <f>IFERROR($W333/$W332-1,"")</f>
        <v/>
      </c>
      <c r="DE332" s="57">
        <f>IFERROR($X333/$X332-1,"")</f>
        <v/>
      </c>
      <c r="DF332" s="57">
        <f>IFERROR($Y333/$Y332-1,"")</f>
        <v/>
      </c>
      <c r="DG332" s="57">
        <f>IFERROR($Z333/$Z332-1,"")</f>
        <v/>
      </c>
      <c r="DH332" s="57">
        <f>IFERROR($AA333/$AA332-1,"")</f>
        <v/>
      </c>
      <c r="DI332" s="57">
        <f>IFERROR($AB333/$AB332-1,"")</f>
        <v/>
      </c>
      <c r="DJ332" s="57">
        <f>IFERROR($AC333/$AC332-1,"")</f>
        <v/>
      </c>
      <c r="DK332" s="57">
        <f>IFERROR($AD333/$AD332-1,"")</f>
        <v/>
      </c>
      <c r="DL332" s="57">
        <f>IFERROR($AE333/$AE332-1,"")</f>
        <v/>
      </c>
      <c r="DM332" s="56">
        <f>$AZ332-$AZ333</f>
        <v/>
      </c>
      <c r="DN332" s="56">
        <f>$BA332-$BA333</f>
        <v/>
      </c>
      <c r="DO332" s="56">
        <f>$BB332-$BB333</f>
        <v/>
      </c>
      <c r="DP332" s="56">
        <f>$BC332-$BC333</f>
        <v/>
      </c>
      <c r="DQ332" s="56">
        <f>$BD332-$BD333</f>
        <v/>
      </c>
      <c r="DR332" s="56">
        <f>$BE332-$BE333</f>
        <v/>
      </c>
      <c r="DS332" s="56">
        <f>$BF332-$BF333</f>
        <v/>
      </c>
      <c r="DT332" s="56">
        <f>$BG332-$BG333</f>
        <v/>
      </c>
      <c r="DU332" s="56">
        <f>$BH332-$BH333</f>
        <v/>
      </c>
      <c r="DV332" s="56">
        <f>$BI332-$BI333</f>
        <v/>
      </c>
      <c r="DW332" s="56">
        <f>$BJ332-$BJ333</f>
        <v/>
      </c>
      <c r="DX332" s="56">
        <f>$BK332-$BK333</f>
        <v/>
      </c>
      <c r="DY332" s="56">
        <f>$BL332-$BL333</f>
        <v/>
      </c>
      <c r="DZ332" s="56">
        <f>$BM332-$BM333</f>
        <v/>
      </c>
      <c r="EA332" s="56">
        <f>$BN332-$BN333</f>
        <v/>
      </c>
      <c r="EB332" s="56">
        <f>$BO332-$BO333</f>
        <v/>
      </c>
      <c r="EC332" s="56">
        <f>$BP332-$BP333</f>
        <v/>
      </c>
      <c r="ED332" s="56">
        <f>$BQ332-$BQ333</f>
        <v/>
      </c>
      <c r="EE332" s="56">
        <f>$BR332-$BR333</f>
        <v/>
      </c>
      <c r="EF332" s="56">
        <f>$BS332-$BS333</f>
        <v/>
      </c>
      <c r="EG332" s="56">
        <f>$BT332-$BT333</f>
        <v/>
      </c>
      <c r="EH332" s="56">
        <f>$BU332-$BU333</f>
        <v/>
      </c>
    </row>
    <row r="333">
      <c r="BV333" s="56">
        <f>($D333-$D334)*100</f>
        <v/>
      </c>
      <c r="BW333" s="56">
        <f>($C333-$C334)*100</f>
        <v/>
      </c>
      <c r="BX333" s="57">
        <f>IFERROR($I333/$I334-1,"")</f>
        <v/>
      </c>
      <c r="BY333" s="56">
        <f>($AF333-$AF334)*100</f>
        <v/>
      </c>
      <c r="BZ333" s="56">
        <f>($AG333-$AG334)*100</f>
        <v/>
      </c>
      <c r="CA333" s="56">
        <f>($AH333-$AH334)*100</f>
        <v/>
      </c>
      <c r="CB333" s="56">
        <f>($AI333-$AI334)*100</f>
        <v/>
      </c>
      <c r="CC333" s="56">
        <f>($AJ333-$AJ334)*100</f>
        <v/>
      </c>
      <c r="CD333" s="56">
        <f>($AK333-$AK334)*100</f>
        <v/>
      </c>
      <c r="CE333" s="56">
        <f>($AL333-$AL334)*100</f>
        <v/>
      </c>
      <c r="CF333" s="56">
        <f>($AM333-$AM334)*100</f>
        <v/>
      </c>
      <c r="CG333" s="56">
        <f>($AN333-$AN334)*100</f>
        <v/>
      </c>
      <c r="CH333" s="56">
        <f>($AO333-$AO334)*100</f>
        <v/>
      </c>
      <c r="CI333" s="56">
        <f>($AP333-$AP334)*100</f>
        <v/>
      </c>
      <c r="CJ333" s="56">
        <f>($AQ333-$AQ334)*100</f>
        <v/>
      </c>
      <c r="CK333" s="56">
        <f>($AR333-$AR334)*100</f>
        <v/>
      </c>
      <c r="CL333" s="56">
        <f>($AS333-$AS334)*100</f>
        <v/>
      </c>
      <c r="CM333" s="56">
        <f>($AT333-$AT334)*100</f>
        <v/>
      </c>
      <c r="CN333" s="56">
        <f>($AU333-$AU334)*100</f>
        <v/>
      </c>
      <c r="CO333" s="56">
        <f>($AV333-$AV334)*100</f>
        <v/>
      </c>
      <c r="CP333" s="56">
        <f>($AW333-$AW334)*100</f>
        <v/>
      </c>
      <c r="CQ333" s="56">
        <f>($AX333-$AX334)*100</f>
        <v/>
      </c>
      <c r="CR333" s="56">
        <f>($AY333-$AY334)*100</f>
        <v/>
      </c>
      <c r="CS333" s="57">
        <f>IFERROR($L334/$L333-1,"")</f>
        <v/>
      </c>
      <c r="CT333" s="57">
        <f>IFERROR($M334/$M333-1,"")</f>
        <v/>
      </c>
      <c r="CU333" s="57">
        <f>IFERROR($N334/$N333-1,"")</f>
        <v/>
      </c>
      <c r="CV333" s="57">
        <f>IFERROR($O334/$O333-1,"")</f>
        <v/>
      </c>
      <c r="CW333" s="57">
        <f>IFERROR($P334/$P333-1,"")</f>
        <v/>
      </c>
      <c r="CX333" s="57">
        <f>IFERROR($Q334/$Q333-1,"")</f>
        <v/>
      </c>
      <c r="CY333" s="57">
        <f>IFERROR($R334/$R333-1,"")</f>
        <v/>
      </c>
      <c r="CZ333" s="57">
        <f>IFERROR($S334/$S333-1,"")</f>
        <v/>
      </c>
      <c r="DA333" s="57">
        <f>IFERROR($T334/$T333-1,"")</f>
        <v/>
      </c>
      <c r="DB333" s="57">
        <f>IFERROR($U334/$U333-1,"")</f>
        <v/>
      </c>
      <c r="DC333" s="57">
        <f>IFERROR($V334/$V333-1,"")</f>
        <v/>
      </c>
      <c r="DD333" s="57">
        <f>IFERROR($W334/$W333-1,"")</f>
        <v/>
      </c>
      <c r="DE333" s="57">
        <f>IFERROR($X334/$X333-1,"")</f>
        <v/>
      </c>
      <c r="DF333" s="57">
        <f>IFERROR($Y334/$Y333-1,"")</f>
        <v/>
      </c>
      <c r="DG333" s="57">
        <f>IFERROR($Z334/$Z333-1,"")</f>
        <v/>
      </c>
      <c r="DH333" s="57">
        <f>IFERROR($AA334/$AA333-1,"")</f>
        <v/>
      </c>
      <c r="DI333" s="57">
        <f>IFERROR($AB334/$AB333-1,"")</f>
        <v/>
      </c>
      <c r="DJ333" s="57">
        <f>IFERROR($AC334/$AC333-1,"")</f>
        <v/>
      </c>
      <c r="DK333" s="57">
        <f>IFERROR($AD334/$AD333-1,"")</f>
        <v/>
      </c>
      <c r="DL333" s="57">
        <f>IFERROR($AE334/$AE333-1,"")</f>
        <v/>
      </c>
      <c r="DM333" s="56">
        <f>$AZ333-$AZ334</f>
        <v/>
      </c>
      <c r="DN333" s="56">
        <f>$BA333-$BA334</f>
        <v/>
      </c>
      <c r="DO333" s="56">
        <f>$BB333-$BB334</f>
        <v/>
      </c>
      <c r="DP333" s="56">
        <f>$BC333-$BC334</f>
        <v/>
      </c>
      <c r="DQ333" s="56">
        <f>$BD333-$BD334</f>
        <v/>
      </c>
      <c r="DR333" s="56">
        <f>$BE333-$BE334</f>
        <v/>
      </c>
      <c r="DS333" s="56">
        <f>$BF333-$BF334</f>
        <v/>
      </c>
      <c r="DT333" s="56">
        <f>$BG333-$BG334</f>
        <v/>
      </c>
      <c r="DU333" s="56">
        <f>$BH333-$BH334</f>
        <v/>
      </c>
      <c r="DV333" s="56">
        <f>$BI333-$BI334</f>
        <v/>
      </c>
      <c r="DW333" s="56">
        <f>$BJ333-$BJ334</f>
        <v/>
      </c>
      <c r="DX333" s="56">
        <f>$BK333-$BK334</f>
        <v/>
      </c>
      <c r="DY333" s="56">
        <f>$BL333-$BL334</f>
        <v/>
      </c>
      <c r="DZ333" s="56">
        <f>$BM333-$BM334</f>
        <v/>
      </c>
      <c r="EA333" s="56">
        <f>$BN333-$BN334</f>
        <v/>
      </c>
      <c r="EB333" s="56">
        <f>$BO333-$BO334</f>
        <v/>
      </c>
      <c r="EC333" s="56">
        <f>$BP333-$BP334</f>
        <v/>
      </c>
      <c r="ED333" s="56">
        <f>$BQ333-$BQ334</f>
        <v/>
      </c>
      <c r="EE333" s="56">
        <f>$BR333-$BR334</f>
        <v/>
      </c>
      <c r="EF333" s="56">
        <f>$BS333-$BS334</f>
        <v/>
      </c>
      <c r="EG333" s="56">
        <f>$BT333-$BT334</f>
        <v/>
      </c>
      <c r="EH333" s="56">
        <f>$BU333-$BU334</f>
        <v/>
      </c>
    </row>
    <row r="334">
      <c r="BV334" s="56">
        <f>($D334-$D335)*100</f>
        <v/>
      </c>
      <c r="BW334" s="56">
        <f>($C334-$C335)*100</f>
        <v/>
      </c>
      <c r="BX334" s="57">
        <f>IFERROR($I334/$I335-1,"")</f>
        <v/>
      </c>
      <c r="BY334" s="56">
        <f>($AF334-$AF335)*100</f>
        <v/>
      </c>
      <c r="BZ334" s="56">
        <f>($AG334-$AG335)*100</f>
        <v/>
      </c>
      <c r="CA334" s="56">
        <f>($AH334-$AH335)*100</f>
        <v/>
      </c>
      <c r="CB334" s="56">
        <f>($AI334-$AI335)*100</f>
        <v/>
      </c>
      <c r="CC334" s="56">
        <f>($AJ334-$AJ335)*100</f>
        <v/>
      </c>
      <c r="CD334" s="56">
        <f>($AK334-$AK335)*100</f>
        <v/>
      </c>
      <c r="CE334" s="56">
        <f>($AL334-$AL335)*100</f>
        <v/>
      </c>
      <c r="CF334" s="56">
        <f>($AM334-$AM335)*100</f>
        <v/>
      </c>
      <c r="CG334" s="56">
        <f>($AN334-$AN335)*100</f>
        <v/>
      </c>
      <c r="CH334" s="56">
        <f>($AO334-$AO335)*100</f>
        <v/>
      </c>
      <c r="CI334" s="56">
        <f>($AP334-$AP335)*100</f>
        <v/>
      </c>
      <c r="CJ334" s="56">
        <f>($AQ334-$AQ335)*100</f>
        <v/>
      </c>
      <c r="CK334" s="56">
        <f>($AR334-$AR335)*100</f>
        <v/>
      </c>
      <c r="CL334" s="56">
        <f>($AS334-$AS335)*100</f>
        <v/>
      </c>
      <c r="CM334" s="56">
        <f>($AT334-$AT335)*100</f>
        <v/>
      </c>
      <c r="CN334" s="56">
        <f>($AU334-$AU335)*100</f>
        <v/>
      </c>
      <c r="CO334" s="56">
        <f>($AV334-$AV335)*100</f>
        <v/>
      </c>
      <c r="CP334" s="56">
        <f>($AW334-$AW335)*100</f>
        <v/>
      </c>
      <c r="CQ334" s="56">
        <f>($AX334-$AX335)*100</f>
        <v/>
      </c>
      <c r="CR334" s="56">
        <f>($AY334-$AY335)*100</f>
        <v/>
      </c>
      <c r="CS334" s="57">
        <f>IFERROR($L335/$L334-1,"")</f>
        <v/>
      </c>
      <c r="CT334" s="57">
        <f>IFERROR($M335/$M334-1,"")</f>
        <v/>
      </c>
      <c r="CU334" s="57">
        <f>IFERROR($N335/$N334-1,"")</f>
        <v/>
      </c>
      <c r="CV334" s="57">
        <f>IFERROR($O335/$O334-1,"")</f>
        <v/>
      </c>
      <c r="CW334" s="57">
        <f>IFERROR($P335/$P334-1,"")</f>
        <v/>
      </c>
      <c r="CX334" s="57">
        <f>IFERROR($Q335/$Q334-1,"")</f>
        <v/>
      </c>
      <c r="CY334" s="57">
        <f>IFERROR($R335/$R334-1,"")</f>
        <v/>
      </c>
      <c r="CZ334" s="57">
        <f>IFERROR($S335/$S334-1,"")</f>
        <v/>
      </c>
      <c r="DA334" s="57">
        <f>IFERROR($T335/$T334-1,"")</f>
        <v/>
      </c>
      <c r="DB334" s="57">
        <f>IFERROR($U335/$U334-1,"")</f>
        <v/>
      </c>
      <c r="DC334" s="57">
        <f>IFERROR($V335/$V334-1,"")</f>
        <v/>
      </c>
      <c r="DD334" s="57">
        <f>IFERROR($W335/$W334-1,"")</f>
        <v/>
      </c>
      <c r="DE334" s="57">
        <f>IFERROR($X335/$X334-1,"")</f>
        <v/>
      </c>
      <c r="DF334" s="57">
        <f>IFERROR($Y335/$Y334-1,"")</f>
        <v/>
      </c>
      <c r="DG334" s="57">
        <f>IFERROR($Z335/$Z334-1,"")</f>
        <v/>
      </c>
      <c r="DH334" s="57">
        <f>IFERROR($AA335/$AA334-1,"")</f>
        <v/>
      </c>
      <c r="DI334" s="57">
        <f>IFERROR($AB335/$AB334-1,"")</f>
        <v/>
      </c>
      <c r="DJ334" s="57">
        <f>IFERROR($AC335/$AC334-1,"")</f>
        <v/>
      </c>
      <c r="DK334" s="57">
        <f>IFERROR($AD335/$AD334-1,"")</f>
        <v/>
      </c>
      <c r="DL334" s="57">
        <f>IFERROR($AE335/$AE334-1,"")</f>
        <v/>
      </c>
      <c r="DM334" s="56">
        <f>$AZ334-$AZ335</f>
        <v/>
      </c>
      <c r="DN334" s="56">
        <f>$BA334-$BA335</f>
        <v/>
      </c>
      <c r="DO334" s="56">
        <f>$BB334-$BB335</f>
        <v/>
      </c>
      <c r="DP334" s="56">
        <f>$BC334-$BC335</f>
        <v/>
      </c>
      <c r="DQ334" s="56">
        <f>$BD334-$BD335</f>
        <v/>
      </c>
      <c r="DR334" s="56">
        <f>$BE334-$BE335</f>
        <v/>
      </c>
      <c r="DS334" s="56">
        <f>$BF334-$BF335</f>
        <v/>
      </c>
      <c r="DT334" s="56">
        <f>$BG334-$BG335</f>
        <v/>
      </c>
      <c r="DU334" s="56">
        <f>$BH334-$BH335</f>
        <v/>
      </c>
      <c r="DV334" s="56">
        <f>$BI334-$BI335</f>
        <v/>
      </c>
      <c r="DW334" s="56">
        <f>$BJ334-$BJ335</f>
        <v/>
      </c>
      <c r="DX334" s="56">
        <f>$BK334-$BK335</f>
        <v/>
      </c>
      <c r="DY334" s="56">
        <f>$BL334-$BL335</f>
        <v/>
      </c>
      <c r="DZ334" s="56">
        <f>$BM334-$BM335</f>
        <v/>
      </c>
      <c r="EA334" s="56">
        <f>$BN334-$BN335</f>
        <v/>
      </c>
      <c r="EB334" s="56">
        <f>$BO334-$BO335</f>
        <v/>
      </c>
      <c r="EC334" s="56">
        <f>$BP334-$BP335</f>
        <v/>
      </c>
      <c r="ED334" s="56">
        <f>$BQ334-$BQ335</f>
        <v/>
      </c>
      <c r="EE334" s="56">
        <f>$BR334-$BR335</f>
        <v/>
      </c>
      <c r="EF334" s="56">
        <f>$BS334-$BS335</f>
        <v/>
      </c>
      <c r="EG334" s="56">
        <f>$BT334-$BT335</f>
        <v/>
      </c>
      <c r="EH334" s="56">
        <f>$BU334-$BU335</f>
        <v/>
      </c>
    </row>
    <row r="335">
      <c r="BV335" s="56">
        <f>($D335-$D336)*100</f>
        <v/>
      </c>
      <c r="BW335" s="56">
        <f>($C335-$C336)*100</f>
        <v/>
      </c>
      <c r="BX335" s="57">
        <f>IFERROR($I335/$I336-1,"")</f>
        <v/>
      </c>
      <c r="BY335" s="56">
        <f>($AF335-$AF336)*100</f>
        <v/>
      </c>
      <c r="BZ335" s="56">
        <f>($AG335-$AG336)*100</f>
        <v/>
      </c>
      <c r="CA335" s="56">
        <f>($AH335-$AH336)*100</f>
        <v/>
      </c>
      <c r="CB335" s="56">
        <f>($AI335-$AI336)*100</f>
        <v/>
      </c>
      <c r="CC335" s="56">
        <f>($AJ335-$AJ336)*100</f>
        <v/>
      </c>
      <c r="CD335" s="56">
        <f>($AK335-$AK336)*100</f>
        <v/>
      </c>
      <c r="CE335" s="56">
        <f>($AL335-$AL336)*100</f>
        <v/>
      </c>
      <c r="CF335" s="56">
        <f>($AM335-$AM336)*100</f>
        <v/>
      </c>
      <c r="CG335" s="56">
        <f>($AN335-$AN336)*100</f>
        <v/>
      </c>
      <c r="CH335" s="56">
        <f>($AO335-$AO336)*100</f>
        <v/>
      </c>
      <c r="CI335" s="56">
        <f>($AP335-$AP336)*100</f>
        <v/>
      </c>
      <c r="CJ335" s="56">
        <f>($AQ335-$AQ336)*100</f>
        <v/>
      </c>
      <c r="CK335" s="56">
        <f>($AR335-$AR336)*100</f>
        <v/>
      </c>
      <c r="CL335" s="56">
        <f>($AS335-$AS336)*100</f>
        <v/>
      </c>
      <c r="CM335" s="56">
        <f>($AT335-$AT336)*100</f>
        <v/>
      </c>
      <c r="CN335" s="56">
        <f>($AU335-$AU336)*100</f>
        <v/>
      </c>
      <c r="CO335" s="56">
        <f>($AV335-$AV336)*100</f>
        <v/>
      </c>
      <c r="CP335" s="56">
        <f>($AW335-$AW336)*100</f>
        <v/>
      </c>
      <c r="CQ335" s="56">
        <f>($AX335-$AX336)*100</f>
        <v/>
      </c>
      <c r="CR335" s="56">
        <f>($AY335-$AY336)*100</f>
        <v/>
      </c>
      <c r="CS335" s="57">
        <f>IFERROR($L336/$L335-1,"")</f>
        <v/>
      </c>
      <c r="CT335" s="57">
        <f>IFERROR($M336/$M335-1,"")</f>
        <v/>
      </c>
      <c r="CU335" s="57">
        <f>IFERROR($N336/$N335-1,"")</f>
        <v/>
      </c>
      <c r="CV335" s="57">
        <f>IFERROR($O336/$O335-1,"")</f>
        <v/>
      </c>
      <c r="CW335" s="57">
        <f>IFERROR($P336/$P335-1,"")</f>
        <v/>
      </c>
      <c r="CX335" s="57">
        <f>IFERROR($Q336/$Q335-1,"")</f>
        <v/>
      </c>
      <c r="CY335" s="57">
        <f>IFERROR($R336/$R335-1,"")</f>
        <v/>
      </c>
      <c r="CZ335" s="57">
        <f>IFERROR($S336/$S335-1,"")</f>
        <v/>
      </c>
      <c r="DA335" s="57">
        <f>IFERROR($T336/$T335-1,"")</f>
        <v/>
      </c>
      <c r="DB335" s="57">
        <f>IFERROR($U336/$U335-1,"")</f>
        <v/>
      </c>
      <c r="DC335" s="57">
        <f>IFERROR($V336/$V335-1,"")</f>
        <v/>
      </c>
      <c r="DD335" s="57">
        <f>IFERROR($W336/$W335-1,"")</f>
        <v/>
      </c>
      <c r="DE335" s="57">
        <f>IFERROR($X336/$X335-1,"")</f>
        <v/>
      </c>
      <c r="DF335" s="57">
        <f>IFERROR($Y336/$Y335-1,"")</f>
        <v/>
      </c>
      <c r="DG335" s="57">
        <f>IFERROR($Z336/$Z335-1,"")</f>
        <v/>
      </c>
      <c r="DH335" s="57">
        <f>IFERROR($AA336/$AA335-1,"")</f>
        <v/>
      </c>
      <c r="DI335" s="57">
        <f>IFERROR($AB336/$AB335-1,"")</f>
        <v/>
      </c>
      <c r="DJ335" s="57">
        <f>IFERROR($AC336/$AC335-1,"")</f>
        <v/>
      </c>
      <c r="DK335" s="57">
        <f>IFERROR($AD336/$AD335-1,"")</f>
        <v/>
      </c>
      <c r="DL335" s="57">
        <f>IFERROR($AE336/$AE335-1,"")</f>
        <v/>
      </c>
      <c r="DM335" s="56">
        <f>$AZ335-$AZ336</f>
        <v/>
      </c>
      <c r="DN335" s="56">
        <f>$BA335-$BA336</f>
        <v/>
      </c>
      <c r="DO335" s="56">
        <f>$BB335-$BB336</f>
        <v/>
      </c>
      <c r="DP335" s="56">
        <f>$BC335-$BC336</f>
        <v/>
      </c>
      <c r="DQ335" s="56">
        <f>$BD335-$BD336</f>
        <v/>
      </c>
      <c r="DR335" s="56">
        <f>$BE335-$BE336</f>
        <v/>
      </c>
      <c r="DS335" s="56">
        <f>$BF335-$BF336</f>
        <v/>
      </c>
      <c r="DT335" s="56">
        <f>$BG335-$BG336</f>
        <v/>
      </c>
      <c r="DU335" s="56">
        <f>$BH335-$BH336</f>
        <v/>
      </c>
      <c r="DV335" s="56">
        <f>$BI335-$BI336</f>
        <v/>
      </c>
      <c r="DW335" s="56">
        <f>$BJ335-$BJ336</f>
        <v/>
      </c>
      <c r="DX335" s="56">
        <f>$BK335-$BK336</f>
        <v/>
      </c>
      <c r="DY335" s="56">
        <f>$BL335-$BL336</f>
        <v/>
      </c>
      <c r="DZ335" s="56">
        <f>$BM335-$BM336</f>
        <v/>
      </c>
      <c r="EA335" s="56">
        <f>$BN335-$BN336</f>
        <v/>
      </c>
      <c r="EB335" s="56">
        <f>$BO335-$BO336</f>
        <v/>
      </c>
      <c r="EC335" s="56">
        <f>$BP335-$BP336</f>
        <v/>
      </c>
      <c r="ED335" s="56">
        <f>$BQ335-$BQ336</f>
        <v/>
      </c>
      <c r="EE335" s="56">
        <f>$BR335-$BR336</f>
        <v/>
      </c>
      <c r="EF335" s="56">
        <f>$BS335-$BS336</f>
        <v/>
      </c>
      <c r="EG335" s="56">
        <f>$BT335-$BT336</f>
        <v/>
      </c>
      <c r="EH335" s="56">
        <f>$BU335-$BU336</f>
        <v/>
      </c>
    </row>
    <row r="336">
      <c r="BV336" s="56">
        <f>($D336-$D337)*100</f>
        <v/>
      </c>
      <c r="BW336" s="56">
        <f>($C336-$C337)*100</f>
        <v/>
      </c>
      <c r="BX336" s="57">
        <f>IFERROR($I336/$I337-1,"")</f>
        <v/>
      </c>
      <c r="BY336" s="56">
        <f>($AF336-$AF337)*100</f>
        <v/>
      </c>
      <c r="BZ336" s="56">
        <f>($AG336-$AG337)*100</f>
        <v/>
      </c>
      <c r="CA336" s="56">
        <f>($AH336-$AH337)*100</f>
        <v/>
      </c>
      <c r="CB336" s="56">
        <f>($AI336-$AI337)*100</f>
        <v/>
      </c>
      <c r="CC336" s="56">
        <f>($AJ336-$AJ337)*100</f>
        <v/>
      </c>
      <c r="CD336" s="56">
        <f>($AK336-$AK337)*100</f>
        <v/>
      </c>
      <c r="CE336" s="56">
        <f>($AL336-$AL337)*100</f>
        <v/>
      </c>
      <c r="CF336" s="56">
        <f>($AM336-$AM337)*100</f>
        <v/>
      </c>
      <c r="CG336" s="56">
        <f>($AN336-$AN337)*100</f>
        <v/>
      </c>
      <c r="CH336" s="56">
        <f>($AO336-$AO337)*100</f>
        <v/>
      </c>
      <c r="CI336" s="56">
        <f>($AP336-$AP337)*100</f>
        <v/>
      </c>
      <c r="CJ336" s="56">
        <f>($AQ336-$AQ337)*100</f>
        <v/>
      </c>
      <c r="CK336" s="56">
        <f>($AR336-$AR337)*100</f>
        <v/>
      </c>
      <c r="CL336" s="56">
        <f>($AS336-$AS337)*100</f>
        <v/>
      </c>
      <c r="CM336" s="56">
        <f>($AT336-$AT337)*100</f>
        <v/>
      </c>
      <c r="CN336" s="56">
        <f>($AU336-$AU337)*100</f>
        <v/>
      </c>
      <c r="CO336" s="56">
        <f>($AV336-$AV337)*100</f>
        <v/>
      </c>
      <c r="CP336" s="56">
        <f>($AW336-$AW337)*100</f>
        <v/>
      </c>
      <c r="CQ336" s="56">
        <f>($AX336-$AX337)*100</f>
        <v/>
      </c>
      <c r="CR336" s="56">
        <f>($AY336-$AY337)*100</f>
        <v/>
      </c>
      <c r="CS336" s="57">
        <f>IFERROR($L337/$L336-1,"")</f>
        <v/>
      </c>
      <c r="CT336" s="57">
        <f>IFERROR($M337/$M336-1,"")</f>
        <v/>
      </c>
      <c r="CU336" s="57">
        <f>IFERROR($N337/$N336-1,"")</f>
        <v/>
      </c>
      <c r="CV336" s="57">
        <f>IFERROR($O337/$O336-1,"")</f>
        <v/>
      </c>
      <c r="CW336" s="57">
        <f>IFERROR($P337/$P336-1,"")</f>
        <v/>
      </c>
      <c r="CX336" s="57">
        <f>IFERROR($Q337/$Q336-1,"")</f>
        <v/>
      </c>
      <c r="CY336" s="57">
        <f>IFERROR($R337/$R336-1,"")</f>
        <v/>
      </c>
      <c r="CZ336" s="57">
        <f>IFERROR($S337/$S336-1,"")</f>
        <v/>
      </c>
      <c r="DA336" s="57">
        <f>IFERROR($T337/$T336-1,"")</f>
        <v/>
      </c>
      <c r="DB336" s="57">
        <f>IFERROR($U337/$U336-1,"")</f>
        <v/>
      </c>
      <c r="DC336" s="57">
        <f>IFERROR($V337/$V336-1,"")</f>
        <v/>
      </c>
      <c r="DD336" s="57">
        <f>IFERROR($W337/$W336-1,"")</f>
        <v/>
      </c>
      <c r="DE336" s="57">
        <f>IFERROR($X337/$X336-1,"")</f>
        <v/>
      </c>
      <c r="DF336" s="57">
        <f>IFERROR($Y337/$Y336-1,"")</f>
        <v/>
      </c>
      <c r="DG336" s="57">
        <f>IFERROR($Z337/$Z336-1,"")</f>
        <v/>
      </c>
      <c r="DH336" s="57">
        <f>IFERROR($AA337/$AA336-1,"")</f>
        <v/>
      </c>
      <c r="DI336" s="57">
        <f>IFERROR($AB337/$AB336-1,"")</f>
        <v/>
      </c>
      <c r="DJ336" s="57">
        <f>IFERROR($AC337/$AC336-1,"")</f>
        <v/>
      </c>
      <c r="DK336" s="57">
        <f>IFERROR($AD337/$AD336-1,"")</f>
        <v/>
      </c>
      <c r="DL336" s="57">
        <f>IFERROR($AE337/$AE336-1,"")</f>
        <v/>
      </c>
      <c r="DM336" s="56">
        <f>$AZ336-$AZ337</f>
        <v/>
      </c>
      <c r="DN336" s="56">
        <f>$BA336-$BA337</f>
        <v/>
      </c>
      <c r="DO336" s="56">
        <f>$BB336-$BB337</f>
        <v/>
      </c>
      <c r="DP336" s="56">
        <f>$BC336-$BC337</f>
        <v/>
      </c>
      <c r="DQ336" s="56">
        <f>$BD336-$BD337</f>
        <v/>
      </c>
      <c r="DR336" s="56">
        <f>$BE336-$BE337</f>
        <v/>
      </c>
      <c r="DS336" s="56">
        <f>$BF336-$BF337</f>
        <v/>
      </c>
      <c r="DT336" s="56">
        <f>$BG336-$BG337</f>
        <v/>
      </c>
      <c r="DU336" s="56">
        <f>$BH336-$BH337</f>
        <v/>
      </c>
      <c r="DV336" s="56">
        <f>$BI336-$BI337</f>
        <v/>
      </c>
      <c r="DW336" s="56">
        <f>$BJ336-$BJ337</f>
        <v/>
      </c>
      <c r="DX336" s="56">
        <f>$BK336-$BK337</f>
        <v/>
      </c>
      <c r="DY336" s="56">
        <f>$BL336-$BL337</f>
        <v/>
      </c>
      <c r="DZ336" s="56">
        <f>$BM336-$BM337</f>
        <v/>
      </c>
      <c r="EA336" s="56">
        <f>$BN336-$BN337</f>
        <v/>
      </c>
      <c r="EB336" s="56">
        <f>$BO336-$BO337</f>
        <v/>
      </c>
      <c r="EC336" s="56">
        <f>$BP336-$BP337</f>
        <v/>
      </c>
      <c r="ED336" s="56">
        <f>$BQ336-$BQ337</f>
        <v/>
      </c>
      <c r="EE336" s="56">
        <f>$BR336-$BR337</f>
        <v/>
      </c>
      <c r="EF336" s="56">
        <f>$BS336-$BS337</f>
        <v/>
      </c>
      <c r="EG336" s="56">
        <f>$BT336-$BT337</f>
        <v/>
      </c>
      <c r="EH336" s="56">
        <f>$BU336-$BU337</f>
        <v/>
      </c>
    </row>
    <row r="337">
      <c r="BV337" s="56">
        <f>($D337-$D338)*100</f>
        <v/>
      </c>
      <c r="BW337" s="56">
        <f>($C337-$C338)*100</f>
        <v/>
      </c>
      <c r="BX337" s="57">
        <f>IFERROR($I337/$I338-1,"")</f>
        <v/>
      </c>
      <c r="BY337" s="56">
        <f>($AF337-$AF338)*100</f>
        <v/>
      </c>
      <c r="BZ337" s="56">
        <f>($AG337-$AG338)*100</f>
        <v/>
      </c>
      <c r="CA337" s="56">
        <f>($AH337-$AH338)*100</f>
        <v/>
      </c>
      <c r="CB337" s="56">
        <f>($AI337-$AI338)*100</f>
        <v/>
      </c>
      <c r="CC337" s="56">
        <f>($AJ337-$AJ338)*100</f>
        <v/>
      </c>
      <c r="CD337" s="56">
        <f>($AK337-$AK338)*100</f>
        <v/>
      </c>
      <c r="CE337" s="56">
        <f>($AL337-$AL338)*100</f>
        <v/>
      </c>
      <c r="CF337" s="56">
        <f>($AM337-$AM338)*100</f>
        <v/>
      </c>
      <c r="CG337" s="56">
        <f>($AN337-$AN338)*100</f>
        <v/>
      </c>
      <c r="CH337" s="56">
        <f>($AO337-$AO338)*100</f>
        <v/>
      </c>
      <c r="CI337" s="56">
        <f>($AP337-$AP338)*100</f>
        <v/>
      </c>
      <c r="CJ337" s="56">
        <f>($AQ337-$AQ338)*100</f>
        <v/>
      </c>
      <c r="CK337" s="56">
        <f>($AR337-$AR338)*100</f>
        <v/>
      </c>
      <c r="CL337" s="56">
        <f>($AS337-$AS338)*100</f>
        <v/>
      </c>
      <c r="CM337" s="56">
        <f>($AT337-$AT338)*100</f>
        <v/>
      </c>
      <c r="CN337" s="56">
        <f>($AU337-$AU338)*100</f>
        <v/>
      </c>
      <c r="CO337" s="56">
        <f>($AV337-$AV338)*100</f>
        <v/>
      </c>
      <c r="CP337" s="56">
        <f>($AW337-$AW338)*100</f>
        <v/>
      </c>
      <c r="CQ337" s="56">
        <f>($AX337-$AX338)*100</f>
        <v/>
      </c>
      <c r="CR337" s="56">
        <f>($AY337-$AY338)*100</f>
        <v/>
      </c>
      <c r="CS337" s="57">
        <f>IFERROR($L338/$L337-1,"")</f>
        <v/>
      </c>
      <c r="CT337" s="57">
        <f>IFERROR($M338/$M337-1,"")</f>
        <v/>
      </c>
      <c r="CU337" s="57">
        <f>IFERROR($N338/$N337-1,"")</f>
        <v/>
      </c>
      <c r="CV337" s="57">
        <f>IFERROR($O338/$O337-1,"")</f>
        <v/>
      </c>
      <c r="CW337" s="57">
        <f>IFERROR($P338/$P337-1,"")</f>
        <v/>
      </c>
      <c r="CX337" s="57">
        <f>IFERROR($Q338/$Q337-1,"")</f>
        <v/>
      </c>
      <c r="CY337" s="57">
        <f>IFERROR($R338/$R337-1,"")</f>
        <v/>
      </c>
      <c r="CZ337" s="57">
        <f>IFERROR($S338/$S337-1,"")</f>
        <v/>
      </c>
      <c r="DA337" s="57">
        <f>IFERROR($T338/$T337-1,"")</f>
        <v/>
      </c>
      <c r="DB337" s="57">
        <f>IFERROR($U338/$U337-1,"")</f>
        <v/>
      </c>
      <c r="DC337" s="57">
        <f>IFERROR($V338/$V337-1,"")</f>
        <v/>
      </c>
      <c r="DD337" s="57">
        <f>IFERROR($W338/$W337-1,"")</f>
        <v/>
      </c>
      <c r="DE337" s="57">
        <f>IFERROR($X338/$X337-1,"")</f>
        <v/>
      </c>
      <c r="DF337" s="57">
        <f>IFERROR($Y338/$Y337-1,"")</f>
        <v/>
      </c>
      <c r="DG337" s="57">
        <f>IFERROR($Z338/$Z337-1,"")</f>
        <v/>
      </c>
      <c r="DH337" s="57">
        <f>IFERROR($AA338/$AA337-1,"")</f>
        <v/>
      </c>
      <c r="DI337" s="57">
        <f>IFERROR($AB338/$AB337-1,"")</f>
        <v/>
      </c>
      <c r="DJ337" s="57">
        <f>IFERROR($AC338/$AC337-1,"")</f>
        <v/>
      </c>
      <c r="DK337" s="57">
        <f>IFERROR($AD338/$AD337-1,"")</f>
        <v/>
      </c>
      <c r="DL337" s="57">
        <f>IFERROR($AE338/$AE337-1,"")</f>
        <v/>
      </c>
      <c r="DM337" s="56">
        <f>$AZ337-$AZ338</f>
        <v/>
      </c>
      <c r="DN337" s="56">
        <f>$BA337-$BA338</f>
        <v/>
      </c>
      <c r="DO337" s="56">
        <f>$BB337-$BB338</f>
        <v/>
      </c>
      <c r="DP337" s="56">
        <f>$BC337-$BC338</f>
        <v/>
      </c>
      <c r="DQ337" s="56">
        <f>$BD337-$BD338</f>
        <v/>
      </c>
      <c r="DR337" s="56">
        <f>$BE337-$BE338</f>
        <v/>
      </c>
      <c r="DS337" s="56">
        <f>$BF337-$BF338</f>
        <v/>
      </c>
      <c r="DT337" s="56">
        <f>$BG337-$BG338</f>
        <v/>
      </c>
      <c r="DU337" s="56">
        <f>$BH337-$BH338</f>
        <v/>
      </c>
      <c r="DV337" s="56">
        <f>$BI337-$BI338</f>
        <v/>
      </c>
      <c r="DW337" s="56">
        <f>$BJ337-$BJ338</f>
        <v/>
      </c>
      <c r="DX337" s="56">
        <f>$BK337-$BK338</f>
        <v/>
      </c>
      <c r="DY337" s="56">
        <f>$BL337-$BL338</f>
        <v/>
      </c>
      <c r="DZ337" s="56">
        <f>$BM337-$BM338</f>
        <v/>
      </c>
      <c r="EA337" s="56">
        <f>$BN337-$BN338</f>
        <v/>
      </c>
      <c r="EB337" s="56">
        <f>$BO337-$BO338</f>
        <v/>
      </c>
      <c r="EC337" s="56">
        <f>$BP337-$BP338</f>
        <v/>
      </c>
      <c r="ED337" s="56">
        <f>$BQ337-$BQ338</f>
        <v/>
      </c>
      <c r="EE337" s="56">
        <f>$BR337-$BR338</f>
        <v/>
      </c>
      <c r="EF337" s="56">
        <f>$BS337-$BS338</f>
        <v/>
      </c>
      <c r="EG337" s="56">
        <f>$BT337-$BT338</f>
        <v/>
      </c>
      <c r="EH337" s="56">
        <f>$BU337-$BU338</f>
        <v/>
      </c>
    </row>
    <row r="338">
      <c r="BV338" s="56">
        <f>($D338-$D339)*100</f>
        <v/>
      </c>
      <c r="BW338" s="56">
        <f>($C338-$C339)*100</f>
        <v/>
      </c>
      <c r="BX338" s="57">
        <f>IFERROR($I338/$I339-1,"")</f>
        <v/>
      </c>
      <c r="BY338" s="56">
        <f>($AF338-$AF339)*100</f>
        <v/>
      </c>
      <c r="BZ338" s="56">
        <f>($AG338-$AG339)*100</f>
        <v/>
      </c>
      <c r="CA338" s="56">
        <f>($AH338-$AH339)*100</f>
        <v/>
      </c>
      <c r="CB338" s="56">
        <f>($AI338-$AI339)*100</f>
        <v/>
      </c>
      <c r="CC338" s="56">
        <f>($AJ338-$AJ339)*100</f>
        <v/>
      </c>
      <c r="CD338" s="56">
        <f>($AK338-$AK339)*100</f>
        <v/>
      </c>
      <c r="CE338" s="56">
        <f>($AL338-$AL339)*100</f>
        <v/>
      </c>
      <c r="CF338" s="56">
        <f>($AM338-$AM339)*100</f>
        <v/>
      </c>
      <c r="CG338" s="56">
        <f>($AN338-$AN339)*100</f>
        <v/>
      </c>
      <c r="CH338" s="56">
        <f>($AO338-$AO339)*100</f>
        <v/>
      </c>
      <c r="CI338" s="56">
        <f>($AP338-$AP339)*100</f>
        <v/>
      </c>
      <c r="CJ338" s="56">
        <f>($AQ338-$AQ339)*100</f>
        <v/>
      </c>
      <c r="CK338" s="56">
        <f>($AR338-$AR339)*100</f>
        <v/>
      </c>
      <c r="CL338" s="56">
        <f>($AS338-$AS339)*100</f>
        <v/>
      </c>
      <c r="CM338" s="56">
        <f>($AT338-$AT339)*100</f>
        <v/>
      </c>
      <c r="CN338" s="56">
        <f>($AU338-$AU339)*100</f>
        <v/>
      </c>
      <c r="CO338" s="56">
        <f>($AV338-$AV339)*100</f>
        <v/>
      </c>
      <c r="CP338" s="56">
        <f>($AW338-$AW339)*100</f>
        <v/>
      </c>
      <c r="CQ338" s="56">
        <f>($AX338-$AX339)*100</f>
        <v/>
      </c>
      <c r="CR338" s="56">
        <f>($AY338-$AY339)*100</f>
        <v/>
      </c>
      <c r="CS338" s="57">
        <f>IFERROR($L339/$L338-1,"")</f>
        <v/>
      </c>
      <c r="CT338" s="57">
        <f>IFERROR($M339/$M338-1,"")</f>
        <v/>
      </c>
      <c r="CU338" s="57">
        <f>IFERROR($N339/$N338-1,"")</f>
        <v/>
      </c>
      <c r="CV338" s="57">
        <f>IFERROR($O339/$O338-1,"")</f>
        <v/>
      </c>
      <c r="CW338" s="57">
        <f>IFERROR($P339/$P338-1,"")</f>
        <v/>
      </c>
      <c r="CX338" s="57">
        <f>IFERROR($Q339/$Q338-1,"")</f>
        <v/>
      </c>
      <c r="CY338" s="57">
        <f>IFERROR($R339/$R338-1,"")</f>
        <v/>
      </c>
      <c r="CZ338" s="57">
        <f>IFERROR($S339/$S338-1,"")</f>
        <v/>
      </c>
      <c r="DA338" s="57">
        <f>IFERROR($T339/$T338-1,"")</f>
        <v/>
      </c>
      <c r="DB338" s="57">
        <f>IFERROR($U339/$U338-1,"")</f>
        <v/>
      </c>
      <c r="DC338" s="57">
        <f>IFERROR($V339/$V338-1,"")</f>
        <v/>
      </c>
      <c r="DD338" s="57">
        <f>IFERROR($W339/$W338-1,"")</f>
        <v/>
      </c>
      <c r="DE338" s="57">
        <f>IFERROR($X339/$X338-1,"")</f>
        <v/>
      </c>
      <c r="DF338" s="57">
        <f>IFERROR($Y339/$Y338-1,"")</f>
        <v/>
      </c>
      <c r="DG338" s="57">
        <f>IFERROR($Z339/$Z338-1,"")</f>
        <v/>
      </c>
      <c r="DH338" s="57">
        <f>IFERROR($AA339/$AA338-1,"")</f>
        <v/>
      </c>
      <c r="DI338" s="57">
        <f>IFERROR($AB339/$AB338-1,"")</f>
        <v/>
      </c>
      <c r="DJ338" s="57">
        <f>IFERROR($AC339/$AC338-1,"")</f>
        <v/>
      </c>
      <c r="DK338" s="57">
        <f>IFERROR($AD339/$AD338-1,"")</f>
        <v/>
      </c>
      <c r="DL338" s="57">
        <f>IFERROR($AE339/$AE338-1,"")</f>
        <v/>
      </c>
      <c r="DM338" s="56">
        <f>$AZ338-$AZ339</f>
        <v/>
      </c>
      <c r="DN338" s="56">
        <f>$BA338-$BA339</f>
        <v/>
      </c>
      <c r="DO338" s="56">
        <f>$BB338-$BB339</f>
        <v/>
      </c>
      <c r="DP338" s="56">
        <f>$BC338-$BC339</f>
        <v/>
      </c>
      <c r="DQ338" s="56">
        <f>$BD338-$BD339</f>
        <v/>
      </c>
      <c r="DR338" s="56">
        <f>$BE338-$BE339</f>
        <v/>
      </c>
      <c r="DS338" s="56">
        <f>$BF338-$BF339</f>
        <v/>
      </c>
      <c r="DT338" s="56">
        <f>$BG338-$BG339</f>
        <v/>
      </c>
      <c r="DU338" s="56">
        <f>$BH338-$BH339</f>
        <v/>
      </c>
      <c r="DV338" s="56">
        <f>$BI338-$BI339</f>
        <v/>
      </c>
      <c r="DW338" s="56">
        <f>$BJ338-$BJ339</f>
        <v/>
      </c>
      <c r="DX338" s="56">
        <f>$BK338-$BK339</f>
        <v/>
      </c>
      <c r="DY338" s="56">
        <f>$BL338-$BL339</f>
        <v/>
      </c>
      <c r="DZ338" s="56">
        <f>$BM338-$BM339</f>
        <v/>
      </c>
      <c r="EA338" s="56">
        <f>$BN338-$BN339</f>
        <v/>
      </c>
      <c r="EB338" s="56">
        <f>$BO338-$BO339</f>
        <v/>
      </c>
      <c r="EC338" s="56">
        <f>$BP338-$BP339</f>
        <v/>
      </c>
      <c r="ED338" s="56">
        <f>$BQ338-$BQ339</f>
        <v/>
      </c>
      <c r="EE338" s="56">
        <f>$BR338-$BR339</f>
        <v/>
      </c>
      <c r="EF338" s="56">
        <f>$BS338-$BS339</f>
        <v/>
      </c>
      <c r="EG338" s="56">
        <f>$BT338-$BT339</f>
        <v/>
      </c>
      <c r="EH338" s="56">
        <f>$BU338-$BU339</f>
        <v/>
      </c>
    </row>
    <row r="339">
      <c r="BV339" s="56">
        <f>($D339-$D340)*100</f>
        <v/>
      </c>
      <c r="BW339" s="56">
        <f>($C339-$C340)*100</f>
        <v/>
      </c>
      <c r="BX339" s="57">
        <f>IFERROR($I339/$I340-1,"")</f>
        <v/>
      </c>
      <c r="BY339" s="56">
        <f>($AF339-$AF340)*100</f>
        <v/>
      </c>
      <c r="BZ339" s="56">
        <f>($AG339-$AG340)*100</f>
        <v/>
      </c>
      <c r="CA339" s="56">
        <f>($AH339-$AH340)*100</f>
        <v/>
      </c>
      <c r="CB339" s="56">
        <f>($AI339-$AI340)*100</f>
        <v/>
      </c>
      <c r="CC339" s="56">
        <f>($AJ339-$AJ340)*100</f>
        <v/>
      </c>
      <c r="CD339" s="56">
        <f>($AK339-$AK340)*100</f>
        <v/>
      </c>
      <c r="CE339" s="56">
        <f>($AL339-$AL340)*100</f>
        <v/>
      </c>
      <c r="CF339" s="56">
        <f>($AM339-$AM340)*100</f>
        <v/>
      </c>
      <c r="CG339" s="56">
        <f>($AN339-$AN340)*100</f>
        <v/>
      </c>
      <c r="CH339" s="56">
        <f>($AO339-$AO340)*100</f>
        <v/>
      </c>
      <c r="CI339" s="56">
        <f>($AP339-$AP340)*100</f>
        <v/>
      </c>
      <c r="CJ339" s="56">
        <f>($AQ339-$AQ340)*100</f>
        <v/>
      </c>
      <c r="CK339" s="56">
        <f>($AR339-$AR340)*100</f>
        <v/>
      </c>
      <c r="CL339" s="56">
        <f>($AS339-$AS340)*100</f>
        <v/>
      </c>
      <c r="CM339" s="56">
        <f>($AT339-$AT340)*100</f>
        <v/>
      </c>
      <c r="CN339" s="56">
        <f>($AU339-$AU340)*100</f>
        <v/>
      </c>
      <c r="CO339" s="56">
        <f>($AV339-$AV340)*100</f>
        <v/>
      </c>
      <c r="CP339" s="56">
        <f>($AW339-$AW340)*100</f>
        <v/>
      </c>
      <c r="CQ339" s="56">
        <f>($AX339-$AX340)*100</f>
        <v/>
      </c>
      <c r="CR339" s="56">
        <f>($AY339-$AY340)*100</f>
        <v/>
      </c>
      <c r="CS339" s="57">
        <f>IFERROR($L340/$L339-1,"")</f>
        <v/>
      </c>
      <c r="CT339" s="57">
        <f>IFERROR($M340/$M339-1,"")</f>
        <v/>
      </c>
      <c r="CU339" s="57">
        <f>IFERROR($N340/$N339-1,"")</f>
        <v/>
      </c>
      <c r="CV339" s="57">
        <f>IFERROR($O340/$O339-1,"")</f>
        <v/>
      </c>
      <c r="CW339" s="57">
        <f>IFERROR($P340/$P339-1,"")</f>
        <v/>
      </c>
      <c r="CX339" s="57">
        <f>IFERROR($Q340/$Q339-1,"")</f>
        <v/>
      </c>
      <c r="CY339" s="57">
        <f>IFERROR($R340/$R339-1,"")</f>
        <v/>
      </c>
      <c r="CZ339" s="57">
        <f>IFERROR($S340/$S339-1,"")</f>
        <v/>
      </c>
      <c r="DA339" s="57">
        <f>IFERROR($T340/$T339-1,"")</f>
        <v/>
      </c>
      <c r="DB339" s="57">
        <f>IFERROR($U340/$U339-1,"")</f>
        <v/>
      </c>
      <c r="DC339" s="57">
        <f>IFERROR($V340/$V339-1,"")</f>
        <v/>
      </c>
      <c r="DD339" s="57">
        <f>IFERROR($W340/$W339-1,"")</f>
        <v/>
      </c>
      <c r="DE339" s="57">
        <f>IFERROR($X340/$X339-1,"")</f>
        <v/>
      </c>
      <c r="DF339" s="57">
        <f>IFERROR($Y340/$Y339-1,"")</f>
        <v/>
      </c>
      <c r="DG339" s="57">
        <f>IFERROR($Z340/$Z339-1,"")</f>
        <v/>
      </c>
      <c r="DH339" s="57">
        <f>IFERROR($AA340/$AA339-1,"")</f>
        <v/>
      </c>
      <c r="DI339" s="57">
        <f>IFERROR($AB340/$AB339-1,"")</f>
        <v/>
      </c>
      <c r="DJ339" s="57">
        <f>IFERROR($AC340/$AC339-1,"")</f>
        <v/>
      </c>
      <c r="DK339" s="57">
        <f>IFERROR($AD340/$AD339-1,"")</f>
        <v/>
      </c>
      <c r="DL339" s="57">
        <f>IFERROR($AE340/$AE339-1,"")</f>
        <v/>
      </c>
      <c r="DM339" s="56">
        <f>$AZ339-$AZ340</f>
        <v/>
      </c>
      <c r="DN339" s="56">
        <f>$BA339-$BA340</f>
        <v/>
      </c>
      <c r="DO339" s="56">
        <f>$BB339-$BB340</f>
        <v/>
      </c>
      <c r="DP339" s="56">
        <f>$BC339-$BC340</f>
        <v/>
      </c>
      <c r="DQ339" s="56">
        <f>$BD339-$BD340</f>
        <v/>
      </c>
      <c r="DR339" s="56">
        <f>$BE339-$BE340</f>
        <v/>
      </c>
      <c r="DS339" s="56">
        <f>$BF339-$BF340</f>
        <v/>
      </c>
      <c r="DT339" s="56">
        <f>$BG339-$BG340</f>
        <v/>
      </c>
      <c r="DU339" s="56">
        <f>$BH339-$BH340</f>
        <v/>
      </c>
      <c r="DV339" s="56">
        <f>$BI339-$BI340</f>
        <v/>
      </c>
      <c r="DW339" s="56">
        <f>$BJ339-$BJ340</f>
        <v/>
      </c>
      <c r="DX339" s="56">
        <f>$BK339-$BK340</f>
        <v/>
      </c>
      <c r="DY339" s="56">
        <f>$BL339-$BL340</f>
        <v/>
      </c>
      <c r="DZ339" s="56">
        <f>$BM339-$BM340</f>
        <v/>
      </c>
      <c r="EA339" s="56">
        <f>$BN339-$BN340</f>
        <v/>
      </c>
      <c r="EB339" s="56">
        <f>$BO339-$BO340</f>
        <v/>
      </c>
      <c r="EC339" s="56">
        <f>$BP339-$BP340</f>
        <v/>
      </c>
      <c r="ED339" s="56">
        <f>$BQ339-$BQ340</f>
        <v/>
      </c>
      <c r="EE339" s="56">
        <f>$BR339-$BR340</f>
        <v/>
      </c>
      <c r="EF339" s="56">
        <f>$BS339-$BS340</f>
        <v/>
      </c>
      <c r="EG339" s="56">
        <f>$BT339-$BT340</f>
        <v/>
      </c>
      <c r="EH339" s="56">
        <f>$BU339-$BU340</f>
        <v/>
      </c>
    </row>
    <row r="340">
      <c r="BV340" s="56">
        <f>($D340-$D341)*100</f>
        <v/>
      </c>
      <c r="BW340" s="56">
        <f>($C340-$C341)*100</f>
        <v/>
      </c>
      <c r="BX340" s="57">
        <f>IFERROR($I340/$I341-1,"")</f>
        <v/>
      </c>
      <c r="BY340" s="56">
        <f>($AF340-$AF341)*100</f>
        <v/>
      </c>
      <c r="BZ340" s="56">
        <f>($AG340-$AG341)*100</f>
        <v/>
      </c>
      <c r="CA340" s="56">
        <f>($AH340-$AH341)*100</f>
        <v/>
      </c>
      <c r="CB340" s="56">
        <f>($AI340-$AI341)*100</f>
        <v/>
      </c>
      <c r="CC340" s="56">
        <f>($AJ340-$AJ341)*100</f>
        <v/>
      </c>
      <c r="CD340" s="56">
        <f>($AK340-$AK341)*100</f>
        <v/>
      </c>
      <c r="CE340" s="56">
        <f>($AL340-$AL341)*100</f>
        <v/>
      </c>
      <c r="CF340" s="56">
        <f>($AM340-$AM341)*100</f>
        <v/>
      </c>
      <c r="CG340" s="56">
        <f>($AN340-$AN341)*100</f>
        <v/>
      </c>
      <c r="CH340" s="56">
        <f>($AO340-$AO341)*100</f>
        <v/>
      </c>
      <c r="CI340" s="56">
        <f>($AP340-$AP341)*100</f>
        <v/>
      </c>
      <c r="CJ340" s="56">
        <f>($AQ340-$AQ341)*100</f>
        <v/>
      </c>
      <c r="CK340" s="56">
        <f>($AR340-$AR341)*100</f>
        <v/>
      </c>
      <c r="CL340" s="56">
        <f>($AS340-$AS341)*100</f>
        <v/>
      </c>
      <c r="CM340" s="56">
        <f>($AT340-$AT341)*100</f>
        <v/>
      </c>
      <c r="CN340" s="56">
        <f>($AU340-$AU341)*100</f>
        <v/>
      </c>
      <c r="CO340" s="56">
        <f>($AV340-$AV341)*100</f>
        <v/>
      </c>
      <c r="CP340" s="56">
        <f>($AW340-$AW341)*100</f>
        <v/>
      </c>
      <c r="CQ340" s="56">
        <f>($AX340-$AX341)*100</f>
        <v/>
      </c>
      <c r="CR340" s="56">
        <f>($AY340-$AY341)*100</f>
        <v/>
      </c>
      <c r="CS340" s="57">
        <f>IFERROR($L341/$L340-1,"")</f>
        <v/>
      </c>
      <c r="CT340" s="57">
        <f>IFERROR($M341/$M340-1,"")</f>
        <v/>
      </c>
      <c r="CU340" s="57">
        <f>IFERROR($N341/$N340-1,"")</f>
        <v/>
      </c>
      <c r="CV340" s="57">
        <f>IFERROR($O341/$O340-1,"")</f>
        <v/>
      </c>
      <c r="CW340" s="57">
        <f>IFERROR($P341/$P340-1,"")</f>
        <v/>
      </c>
      <c r="CX340" s="57">
        <f>IFERROR($Q341/$Q340-1,"")</f>
        <v/>
      </c>
      <c r="CY340" s="57">
        <f>IFERROR($R341/$R340-1,"")</f>
        <v/>
      </c>
      <c r="CZ340" s="57">
        <f>IFERROR($S341/$S340-1,"")</f>
        <v/>
      </c>
      <c r="DA340" s="57">
        <f>IFERROR($T341/$T340-1,"")</f>
        <v/>
      </c>
      <c r="DB340" s="57">
        <f>IFERROR($U341/$U340-1,"")</f>
        <v/>
      </c>
      <c r="DC340" s="57">
        <f>IFERROR($V341/$V340-1,"")</f>
        <v/>
      </c>
      <c r="DD340" s="57">
        <f>IFERROR($W341/$W340-1,"")</f>
        <v/>
      </c>
      <c r="DE340" s="57">
        <f>IFERROR($X341/$X340-1,"")</f>
        <v/>
      </c>
      <c r="DF340" s="57">
        <f>IFERROR($Y341/$Y340-1,"")</f>
        <v/>
      </c>
      <c r="DG340" s="57">
        <f>IFERROR($Z341/$Z340-1,"")</f>
        <v/>
      </c>
      <c r="DH340" s="57">
        <f>IFERROR($AA341/$AA340-1,"")</f>
        <v/>
      </c>
      <c r="DI340" s="57">
        <f>IFERROR($AB341/$AB340-1,"")</f>
        <v/>
      </c>
      <c r="DJ340" s="57">
        <f>IFERROR($AC341/$AC340-1,"")</f>
        <v/>
      </c>
      <c r="DK340" s="57">
        <f>IFERROR($AD341/$AD340-1,"")</f>
        <v/>
      </c>
      <c r="DL340" s="57">
        <f>IFERROR($AE341/$AE340-1,"")</f>
        <v/>
      </c>
      <c r="DM340" s="56">
        <f>$AZ340-$AZ341</f>
        <v/>
      </c>
      <c r="DN340" s="56">
        <f>$BA340-$BA341</f>
        <v/>
      </c>
      <c r="DO340" s="56">
        <f>$BB340-$BB341</f>
        <v/>
      </c>
      <c r="DP340" s="56">
        <f>$BC340-$BC341</f>
        <v/>
      </c>
      <c r="DQ340" s="56">
        <f>$BD340-$BD341</f>
        <v/>
      </c>
      <c r="DR340" s="56">
        <f>$BE340-$BE341</f>
        <v/>
      </c>
      <c r="DS340" s="56">
        <f>$BF340-$BF341</f>
        <v/>
      </c>
      <c r="DT340" s="56">
        <f>$BG340-$BG341</f>
        <v/>
      </c>
      <c r="DU340" s="56">
        <f>$BH340-$BH341</f>
        <v/>
      </c>
      <c r="DV340" s="56">
        <f>$BI340-$BI341</f>
        <v/>
      </c>
      <c r="DW340" s="56">
        <f>$BJ340-$BJ341</f>
        <v/>
      </c>
      <c r="DX340" s="56">
        <f>$BK340-$BK341</f>
        <v/>
      </c>
      <c r="DY340" s="56">
        <f>$BL340-$BL341</f>
        <v/>
      </c>
      <c r="DZ340" s="56">
        <f>$BM340-$BM341</f>
        <v/>
      </c>
      <c r="EA340" s="56">
        <f>$BN340-$BN341</f>
        <v/>
      </c>
      <c r="EB340" s="56">
        <f>$BO340-$BO341</f>
        <v/>
      </c>
      <c r="EC340" s="56">
        <f>$BP340-$BP341</f>
        <v/>
      </c>
      <c r="ED340" s="56">
        <f>$BQ340-$BQ341</f>
        <v/>
      </c>
      <c r="EE340" s="56">
        <f>$BR340-$BR341</f>
        <v/>
      </c>
      <c r="EF340" s="56">
        <f>$BS340-$BS341</f>
        <v/>
      </c>
      <c r="EG340" s="56">
        <f>$BT340-$BT341</f>
        <v/>
      </c>
      <c r="EH340" s="56">
        <f>$BU340-$BU341</f>
        <v/>
      </c>
    </row>
    <row r="341">
      <c r="BV341" s="56">
        <f>($D341-$D342)*100</f>
        <v/>
      </c>
      <c r="BW341" s="56">
        <f>($C341-$C342)*100</f>
        <v/>
      </c>
      <c r="BX341" s="57">
        <f>IFERROR($I341/$I342-1,"")</f>
        <v/>
      </c>
      <c r="BY341" s="56">
        <f>($AF341-$AF342)*100</f>
        <v/>
      </c>
      <c r="BZ341" s="56">
        <f>($AG341-$AG342)*100</f>
        <v/>
      </c>
      <c r="CA341" s="56">
        <f>($AH341-$AH342)*100</f>
        <v/>
      </c>
      <c r="CB341" s="56">
        <f>($AI341-$AI342)*100</f>
        <v/>
      </c>
      <c r="CC341" s="56">
        <f>($AJ341-$AJ342)*100</f>
        <v/>
      </c>
      <c r="CD341" s="56">
        <f>($AK341-$AK342)*100</f>
        <v/>
      </c>
      <c r="CE341" s="56">
        <f>($AL341-$AL342)*100</f>
        <v/>
      </c>
      <c r="CF341" s="56">
        <f>($AM341-$AM342)*100</f>
        <v/>
      </c>
      <c r="CG341" s="56">
        <f>($AN341-$AN342)*100</f>
        <v/>
      </c>
      <c r="CH341" s="56">
        <f>($AO341-$AO342)*100</f>
        <v/>
      </c>
      <c r="CI341" s="56">
        <f>($AP341-$AP342)*100</f>
        <v/>
      </c>
      <c r="CJ341" s="56">
        <f>($AQ341-$AQ342)*100</f>
        <v/>
      </c>
      <c r="CK341" s="56">
        <f>($AR341-$AR342)*100</f>
        <v/>
      </c>
      <c r="CL341" s="56">
        <f>($AS341-$AS342)*100</f>
        <v/>
      </c>
      <c r="CM341" s="56">
        <f>($AT341-$AT342)*100</f>
        <v/>
      </c>
      <c r="CN341" s="56">
        <f>($AU341-$AU342)*100</f>
        <v/>
      </c>
      <c r="CO341" s="56">
        <f>($AV341-$AV342)*100</f>
        <v/>
      </c>
      <c r="CP341" s="56">
        <f>($AW341-$AW342)*100</f>
        <v/>
      </c>
      <c r="CQ341" s="56">
        <f>($AX341-$AX342)*100</f>
        <v/>
      </c>
      <c r="CR341" s="56">
        <f>($AY341-$AY342)*100</f>
        <v/>
      </c>
      <c r="CS341" s="57">
        <f>IFERROR($L342/$L341-1,"")</f>
        <v/>
      </c>
      <c r="CT341" s="57">
        <f>IFERROR($M342/$M341-1,"")</f>
        <v/>
      </c>
      <c r="CU341" s="57">
        <f>IFERROR($N342/$N341-1,"")</f>
        <v/>
      </c>
      <c r="CV341" s="57">
        <f>IFERROR($O342/$O341-1,"")</f>
        <v/>
      </c>
      <c r="CW341" s="57">
        <f>IFERROR($P342/$P341-1,"")</f>
        <v/>
      </c>
      <c r="CX341" s="57">
        <f>IFERROR($Q342/$Q341-1,"")</f>
        <v/>
      </c>
      <c r="CY341" s="57">
        <f>IFERROR($R342/$R341-1,"")</f>
        <v/>
      </c>
      <c r="CZ341" s="57">
        <f>IFERROR($S342/$S341-1,"")</f>
        <v/>
      </c>
      <c r="DA341" s="57">
        <f>IFERROR($T342/$T341-1,"")</f>
        <v/>
      </c>
      <c r="DB341" s="57">
        <f>IFERROR($U342/$U341-1,"")</f>
        <v/>
      </c>
      <c r="DC341" s="57">
        <f>IFERROR($V342/$V341-1,"")</f>
        <v/>
      </c>
      <c r="DD341" s="57">
        <f>IFERROR($W342/$W341-1,"")</f>
        <v/>
      </c>
      <c r="DE341" s="57">
        <f>IFERROR($X342/$X341-1,"")</f>
        <v/>
      </c>
      <c r="DF341" s="57">
        <f>IFERROR($Y342/$Y341-1,"")</f>
        <v/>
      </c>
      <c r="DG341" s="57">
        <f>IFERROR($Z342/$Z341-1,"")</f>
        <v/>
      </c>
      <c r="DH341" s="57">
        <f>IFERROR($AA342/$AA341-1,"")</f>
        <v/>
      </c>
      <c r="DI341" s="57">
        <f>IFERROR($AB342/$AB341-1,"")</f>
        <v/>
      </c>
      <c r="DJ341" s="57">
        <f>IFERROR($AC342/$AC341-1,"")</f>
        <v/>
      </c>
      <c r="DK341" s="57">
        <f>IFERROR($AD342/$AD341-1,"")</f>
        <v/>
      </c>
      <c r="DL341" s="57">
        <f>IFERROR($AE342/$AE341-1,"")</f>
        <v/>
      </c>
      <c r="DM341" s="56">
        <f>$AZ341-$AZ342</f>
        <v/>
      </c>
      <c r="DN341" s="56">
        <f>$BA341-$BA342</f>
        <v/>
      </c>
      <c r="DO341" s="56">
        <f>$BB341-$BB342</f>
        <v/>
      </c>
      <c r="DP341" s="56">
        <f>$BC341-$BC342</f>
        <v/>
      </c>
      <c r="DQ341" s="56">
        <f>$BD341-$BD342</f>
        <v/>
      </c>
      <c r="DR341" s="56">
        <f>$BE341-$BE342</f>
        <v/>
      </c>
      <c r="DS341" s="56">
        <f>$BF341-$BF342</f>
        <v/>
      </c>
      <c r="DT341" s="56">
        <f>$BG341-$BG342</f>
        <v/>
      </c>
      <c r="DU341" s="56">
        <f>$BH341-$BH342</f>
        <v/>
      </c>
      <c r="DV341" s="56">
        <f>$BI341-$BI342</f>
        <v/>
      </c>
      <c r="DW341" s="56">
        <f>$BJ341-$BJ342</f>
        <v/>
      </c>
      <c r="DX341" s="56">
        <f>$BK341-$BK342</f>
        <v/>
      </c>
      <c r="DY341" s="56">
        <f>$BL341-$BL342</f>
        <v/>
      </c>
      <c r="DZ341" s="56">
        <f>$BM341-$BM342</f>
        <v/>
      </c>
      <c r="EA341" s="56">
        <f>$BN341-$BN342</f>
        <v/>
      </c>
      <c r="EB341" s="56">
        <f>$BO341-$BO342</f>
        <v/>
      </c>
      <c r="EC341" s="56">
        <f>$BP341-$BP342</f>
        <v/>
      </c>
      <c r="ED341" s="56">
        <f>$BQ341-$BQ342</f>
        <v/>
      </c>
      <c r="EE341" s="56">
        <f>$BR341-$BR342</f>
        <v/>
      </c>
      <c r="EF341" s="56">
        <f>$BS341-$BS342</f>
        <v/>
      </c>
      <c r="EG341" s="56">
        <f>$BT341-$BT342</f>
        <v/>
      </c>
      <c r="EH341" s="56">
        <f>$BU341-$BU342</f>
        <v/>
      </c>
    </row>
    <row r="342">
      <c r="BV342" s="56">
        <f>($D342-$D343)*100</f>
        <v/>
      </c>
      <c r="BW342" s="56">
        <f>($C342-$C343)*100</f>
        <v/>
      </c>
      <c r="BX342" s="57">
        <f>IFERROR($I342/$I343-1,"")</f>
        <v/>
      </c>
      <c r="BY342" s="56">
        <f>($AF342-$AF343)*100</f>
        <v/>
      </c>
      <c r="BZ342" s="56">
        <f>($AG342-$AG343)*100</f>
        <v/>
      </c>
      <c r="CA342" s="56">
        <f>($AH342-$AH343)*100</f>
        <v/>
      </c>
      <c r="CB342" s="56">
        <f>($AI342-$AI343)*100</f>
        <v/>
      </c>
      <c r="CC342" s="56">
        <f>($AJ342-$AJ343)*100</f>
        <v/>
      </c>
      <c r="CD342" s="56">
        <f>($AK342-$AK343)*100</f>
        <v/>
      </c>
      <c r="CE342" s="56">
        <f>($AL342-$AL343)*100</f>
        <v/>
      </c>
      <c r="CF342" s="56">
        <f>($AM342-$AM343)*100</f>
        <v/>
      </c>
      <c r="CG342" s="56">
        <f>($AN342-$AN343)*100</f>
        <v/>
      </c>
      <c r="CH342" s="56">
        <f>($AO342-$AO343)*100</f>
        <v/>
      </c>
      <c r="CI342" s="56">
        <f>($AP342-$AP343)*100</f>
        <v/>
      </c>
      <c r="CJ342" s="56">
        <f>($AQ342-$AQ343)*100</f>
        <v/>
      </c>
      <c r="CK342" s="56">
        <f>($AR342-$AR343)*100</f>
        <v/>
      </c>
      <c r="CL342" s="56">
        <f>($AS342-$AS343)*100</f>
        <v/>
      </c>
      <c r="CM342" s="56">
        <f>($AT342-$AT343)*100</f>
        <v/>
      </c>
      <c r="CN342" s="56">
        <f>($AU342-$AU343)*100</f>
        <v/>
      </c>
      <c r="CO342" s="56">
        <f>($AV342-$AV343)*100</f>
        <v/>
      </c>
      <c r="CP342" s="56">
        <f>($AW342-$AW343)*100</f>
        <v/>
      </c>
      <c r="CQ342" s="56">
        <f>($AX342-$AX343)*100</f>
        <v/>
      </c>
      <c r="CR342" s="56">
        <f>($AY342-$AY343)*100</f>
        <v/>
      </c>
      <c r="CS342" s="57">
        <f>IFERROR($L343/$L342-1,"")</f>
        <v/>
      </c>
      <c r="CT342" s="57">
        <f>IFERROR($M343/$M342-1,"")</f>
        <v/>
      </c>
      <c r="CU342" s="57">
        <f>IFERROR($N343/$N342-1,"")</f>
        <v/>
      </c>
      <c r="CV342" s="57">
        <f>IFERROR($O343/$O342-1,"")</f>
        <v/>
      </c>
      <c r="CW342" s="57">
        <f>IFERROR($P343/$P342-1,"")</f>
        <v/>
      </c>
      <c r="CX342" s="57">
        <f>IFERROR($Q343/$Q342-1,"")</f>
        <v/>
      </c>
      <c r="CY342" s="57">
        <f>IFERROR($R343/$R342-1,"")</f>
        <v/>
      </c>
      <c r="CZ342" s="57">
        <f>IFERROR($S343/$S342-1,"")</f>
        <v/>
      </c>
      <c r="DA342" s="57">
        <f>IFERROR($T343/$T342-1,"")</f>
        <v/>
      </c>
      <c r="DB342" s="57">
        <f>IFERROR($U343/$U342-1,"")</f>
        <v/>
      </c>
      <c r="DC342" s="57">
        <f>IFERROR($V343/$V342-1,"")</f>
        <v/>
      </c>
      <c r="DD342" s="57">
        <f>IFERROR($W343/$W342-1,"")</f>
        <v/>
      </c>
      <c r="DE342" s="57">
        <f>IFERROR($X343/$X342-1,"")</f>
        <v/>
      </c>
      <c r="DF342" s="57">
        <f>IFERROR($Y343/$Y342-1,"")</f>
        <v/>
      </c>
      <c r="DG342" s="57">
        <f>IFERROR($Z343/$Z342-1,"")</f>
        <v/>
      </c>
      <c r="DH342" s="57">
        <f>IFERROR($AA343/$AA342-1,"")</f>
        <v/>
      </c>
      <c r="DI342" s="57">
        <f>IFERROR($AB343/$AB342-1,"")</f>
        <v/>
      </c>
      <c r="DJ342" s="57">
        <f>IFERROR($AC343/$AC342-1,"")</f>
        <v/>
      </c>
      <c r="DK342" s="57">
        <f>IFERROR($AD343/$AD342-1,"")</f>
        <v/>
      </c>
      <c r="DL342" s="57">
        <f>IFERROR($AE343/$AE342-1,"")</f>
        <v/>
      </c>
      <c r="DM342" s="56">
        <f>$AZ342-$AZ343</f>
        <v/>
      </c>
      <c r="DN342" s="56">
        <f>$BA342-$BA343</f>
        <v/>
      </c>
      <c r="DO342" s="56">
        <f>$BB342-$BB343</f>
        <v/>
      </c>
      <c r="DP342" s="56">
        <f>$BC342-$BC343</f>
        <v/>
      </c>
      <c r="DQ342" s="56">
        <f>$BD342-$BD343</f>
        <v/>
      </c>
      <c r="DR342" s="56">
        <f>$BE342-$BE343</f>
        <v/>
      </c>
      <c r="DS342" s="56">
        <f>$BF342-$BF343</f>
        <v/>
      </c>
      <c r="DT342" s="56">
        <f>$BG342-$BG343</f>
        <v/>
      </c>
      <c r="DU342" s="56">
        <f>$BH342-$BH343</f>
        <v/>
      </c>
      <c r="DV342" s="56">
        <f>$BI342-$BI343</f>
        <v/>
      </c>
      <c r="DW342" s="56">
        <f>$BJ342-$BJ343</f>
        <v/>
      </c>
      <c r="DX342" s="56">
        <f>$BK342-$BK343</f>
        <v/>
      </c>
      <c r="DY342" s="56">
        <f>$BL342-$BL343</f>
        <v/>
      </c>
      <c r="DZ342" s="56">
        <f>$BM342-$BM343</f>
        <v/>
      </c>
      <c r="EA342" s="56">
        <f>$BN342-$BN343</f>
        <v/>
      </c>
      <c r="EB342" s="56">
        <f>$BO342-$BO343</f>
        <v/>
      </c>
      <c r="EC342" s="56">
        <f>$BP342-$BP343</f>
        <v/>
      </c>
      <c r="ED342" s="56">
        <f>$BQ342-$BQ343</f>
        <v/>
      </c>
      <c r="EE342" s="56">
        <f>$BR342-$BR343</f>
        <v/>
      </c>
      <c r="EF342" s="56">
        <f>$BS342-$BS343</f>
        <v/>
      </c>
      <c r="EG342" s="56">
        <f>$BT342-$BT343</f>
        <v/>
      </c>
      <c r="EH342" s="56">
        <f>$BU342-$BU343</f>
        <v/>
      </c>
    </row>
    <row r="343">
      <c r="BV343" s="56">
        <f>($D343-$D344)*100</f>
        <v/>
      </c>
      <c r="BW343" s="56">
        <f>($C343-$C344)*100</f>
        <v/>
      </c>
      <c r="BX343" s="57">
        <f>IFERROR($I343/$I344-1,"")</f>
        <v/>
      </c>
      <c r="BY343" s="56">
        <f>($AF343-$AF344)*100</f>
        <v/>
      </c>
      <c r="BZ343" s="56">
        <f>($AG343-$AG344)*100</f>
        <v/>
      </c>
      <c r="CA343" s="56">
        <f>($AH343-$AH344)*100</f>
        <v/>
      </c>
      <c r="CB343" s="56">
        <f>($AI343-$AI344)*100</f>
        <v/>
      </c>
      <c r="CC343" s="56">
        <f>($AJ343-$AJ344)*100</f>
        <v/>
      </c>
      <c r="CD343" s="56">
        <f>($AK343-$AK344)*100</f>
        <v/>
      </c>
      <c r="CE343" s="56">
        <f>($AL343-$AL344)*100</f>
        <v/>
      </c>
      <c r="CF343" s="56">
        <f>($AM343-$AM344)*100</f>
        <v/>
      </c>
      <c r="CG343" s="56">
        <f>($AN343-$AN344)*100</f>
        <v/>
      </c>
      <c r="CH343" s="56">
        <f>($AO343-$AO344)*100</f>
        <v/>
      </c>
      <c r="CI343" s="56">
        <f>($AP343-$AP344)*100</f>
        <v/>
      </c>
      <c r="CJ343" s="56">
        <f>($AQ343-$AQ344)*100</f>
        <v/>
      </c>
      <c r="CK343" s="56">
        <f>($AR343-$AR344)*100</f>
        <v/>
      </c>
      <c r="CL343" s="56">
        <f>($AS343-$AS344)*100</f>
        <v/>
      </c>
      <c r="CM343" s="56">
        <f>($AT343-$AT344)*100</f>
        <v/>
      </c>
      <c r="CN343" s="56">
        <f>($AU343-$AU344)*100</f>
        <v/>
      </c>
      <c r="CO343" s="56">
        <f>($AV343-$AV344)*100</f>
        <v/>
      </c>
      <c r="CP343" s="56">
        <f>($AW343-$AW344)*100</f>
        <v/>
      </c>
      <c r="CQ343" s="56">
        <f>($AX343-$AX344)*100</f>
        <v/>
      </c>
      <c r="CR343" s="56">
        <f>($AY343-$AY344)*100</f>
        <v/>
      </c>
      <c r="CS343" s="57">
        <f>IFERROR($L344/$L343-1,"")</f>
        <v/>
      </c>
      <c r="CT343" s="57">
        <f>IFERROR($M344/$M343-1,"")</f>
        <v/>
      </c>
      <c r="CU343" s="57">
        <f>IFERROR($N344/$N343-1,"")</f>
        <v/>
      </c>
      <c r="CV343" s="57">
        <f>IFERROR($O344/$O343-1,"")</f>
        <v/>
      </c>
      <c r="CW343" s="57">
        <f>IFERROR($P344/$P343-1,"")</f>
        <v/>
      </c>
      <c r="CX343" s="57">
        <f>IFERROR($Q344/$Q343-1,"")</f>
        <v/>
      </c>
      <c r="CY343" s="57">
        <f>IFERROR($R344/$R343-1,"")</f>
        <v/>
      </c>
      <c r="CZ343" s="57">
        <f>IFERROR($S344/$S343-1,"")</f>
        <v/>
      </c>
      <c r="DA343" s="57">
        <f>IFERROR($T344/$T343-1,"")</f>
        <v/>
      </c>
      <c r="DB343" s="57">
        <f>IFERROR($U344/$U343-1,"")</f>
        <v/>
      </c>
      <c r="DC343" s="57">
        <f>IFERROR($V344/$V343-1,"")</f>
        <v/>
      </c>
      <c r="DD343" s="57">
        <f>IFERROR($W344/$W343-1,"")</f>
        <v/>
      </c>
      <c r="DE343" s="57">
        <f>IFERROR($X344/$X343-1,"")</f>
        <v/>
      </c>
      <c r="DF343" s="57">
        <f>IFERROR($Y344/$Y343-1,"")</f>
        <v/>
      </c>
      <c r="DG343" s="57">
        <f>IFERROR($Z344/$Z343-1,"")</f>
        <v/>
      </c>
      <c r="DH343" s="57">
        <f>IFERROR($AA344/$AA343-1,"")</f>
        <v/>
      </c>
      <c r="DI343" s="57">
        <f>IFERROR($AB344/$AB343-1,"")</f>
        <v/>
      </c>
      <c r="DJ343" s="57">
        <f>IFERROR($AC344/$AC343-1,"")</f>
        <v/>
      </c>
      <c r="DK343" s="57">
        <f>IFERROR($AD344/$AD343-1,"")</f>
        <v/>
      </c>
      <c r="DL343" s="57">
        <f>IFERROR($AE344/$AE343-1,"")</f>
        <v/>
      </c>
      <c r="DM343" s="56">
        <f>$AZ343-$AZ344</f>
        <v/>
      </c>
      <c r="DN343" s="56">
        <f>$BA343-$BA344</f>
        <v/>
      </c>
      <c r="DO343" s="56">
        <f>$BB343-$BB344</f>
        <v/>
      </c>
      <c r="DP343" s="56">
        <f>$BC343-$BC344</f>
        <v/>
      </c>
      <c r="DQ343" s="56">
        <f>$BD343-$BD344</f>
        <v/>
      </c>
      <c r="DR343" s="56">
        <f>$BE343-$BE344</f>
        <v/>
      </c>
      <c r="DS343" s="56">
        <f>$BF343-$BF344</f>
        <v/>
      </c>
      <c r="DT343" s="56">
        <f>$BG343-$BG344</f>
        <v/>
      </c>
      <c r="DU343" s="56">
        <f>$BH343-$BH344</f>
        <v/>
      </c>
      <c r="DV343" s="56">
        <f>$BI343-$BI344</f>
        <v/>
      </c>
      <c r="DW343" s="56">
        <f>$BJ343-$BJ344</f>
        <v/>
      </c>
      <c r="DX343" s="56">
        <f>$BK343-$BK344</f>
        <v/>
      </c>
      <c r="DY343" s="56">
        <f>$BL343-$BL344</f>
        <v/>
      </c>
      <c r="DZ343" s="56">
        <f>$BM343-$BM344</f>
        <v/>
      </c>
      <c r="EA343" s="56">
        <f>$BN343-$BN344</f>
        <v/>
      </c>
      <c r="EB343" s="56">
        <f>$BO343-$BO344</f>
        <v/>
      </c>
      <c r="EC343" s="56">
        <f>$BP343-$BP344</f>
        <v/>
      </c>
      <c r="ED343" s="56">
        <f>$BQ343-$BQ344</f>
        <v/>
      </c>
      <c r="EE343" s="56">
        <f>$BR343-$BR344</f>
        <v/>
      </c>
      <c r="EF343" s="56">
        <f>$BS343-$BS344</f>
        <v/>
      </c>
      <c r="EG343" s="56">
        <f>$BT343-$BT344</f>
        <v/>
      </c>
      <c r="EH343" s="56">
        <f>$BU343-$BU344</f>
        <v/>
      </c>
    </row>
    <row r="344">
      <c r="BV344" s="56">
        <f>($D344-$D345)*100</f>
        <v/>
      </c>
      <c r="BW344" s="56">
        <f>($C344-$C345)*100</f>
        <v/>
      </c>
      <c r="BX344" s="57">
        <f>IFERROR($I344/$I345-1,"")</f>
        <v/>
      </c>
      <c r="BY344" s="56">
        <f>($AF344-$AF345)*100</f>
        <v/>
      </c>
      <c r="BZ344" s="56">
        <f>($AG344-$AG345)*100</f>
        <v/>
      </c>
      <c r="CA344" s="56">
        <f>($AH344-$AH345)*100</f>
        <v/>
      </c>
      <c r="CB344" s="56">
        <f>($AI344-$AI345)*100</f>
        <v/>
      </c>
      <c r="CC344" s="56">
        <f>($AJ344-$AJ345)*100</f>
        <v/>
      </c>
      <c r="CD344" s="56">
        <f>($AK344-$AK345)*100</f>
        <v/>
      </c>
      <c r="CE344" s="56">
        <f>($AL344-$AL345)*100</f>
        <v/>
      </c>
      <c r="CF344" s="56">
        <f>($AM344-$AM345)*100</f>
        <v/>
      </c>
      <c r="CG344" s="56">
        <f>($AN344-$AN345)*100</f>
        <v/>
      </c>
      <c r="CH344" s="56">
        <f>($AO344-$AO345)*100</f>
        <v/>
      </c>
      <c r="CI344" s="56">
        <f>($AP344-$AP345)*100</f>
        <v/>
      </c>
      <c r="CJ344" s="56">
        <f>($AQ344-$AQ345)*100</f>
        <v/>
      </c>
      <c r="CK344" s="56">
        <f>($AR344-$AR345)*100</f>
        <v/>
      </c>
      <c r="CL344" s="56">
        <f>($AS344-$AS345)*100</f>
        <v/>
      </c>
      <c r="CM344" s="56">
        <f>($AT344-$AT345)*100</f>
        <v/>
      </c>
      <c r="CN344" s="56">
        <f>($AU344-$AU345)*100</f>
        <v/>
      </c>
      <c r="CO344" s="56">
        <f>($AV344-$AV345)*100</f>
        <v/>
      </c>
      <c r="CP344" s="56">
        <f>($AW344-$AW345)*100</f>
        <v/>
      </c>
      <c r="CQ344" s="56">
        <f>($AX344-$AX345)*100</f>
        <v/>
      </c>
      <c r="CR344" s="56">
        <f>($AY344-$AY345)*100</f>
        <v/>
      </c>
      <c r="CS344" s="57">
        <f>IFERROR($L345/$L344-1,"")</f>
        <v/>
      </c>
      <c r="CT344" s="57">
        <f>IFERROR($M345/$M344-1,"")</f>
        <v/>
      </c>
      <c r="CU344" s="57">
        <f>IFERROR($N345/$N344-1,"")</f>
        <v/>
      </c>
      <c r="CV344" s="57">
        <f>IFERROR($O345/$O344-1,"")</f>
        <v/>
      </c>
      <c r="CW344" s="57">
        <f>IFERROR($P345/$P344-1,"")</f>
        <v/>
      </c>
      <c r="CX344" s="57">
        <f>IFERROR($Q345/$Q344-1,"")</f>
        <v/>
      </c>
      <c r="CY344" s="57">
        <f>IFERROR($R345/$R344-1,"")</f>
        <v/>
      </c>
      <c r="CZ344" s="57">
        <f>IFERROR($S345/$S344-1,"")</f>
        <v/>
      </c>
      <c r="DA344" s="57">
        <f>IFERROR($T345/$T344-1,"")</f>
        <v/>
      </c>
      <c r="DB344" s="57">
        <f>IFERROR($U345/$U344-1,"")</f>
        <v/>
      </c>
      <c r="DC344" s="57">
        <f>IFERROR($V345/$V344-1,"")</f>
        <v/>
      </c>
      <c r="DD344" s="57">
        <f>IFERROR($W345/$W344-1,"")</f>
        <v/>
      </c>
      <c r="DE344" s="57">
        <f>IFERROR($X345/$X344-1,"")</f>
        <v/>
      </c>
      <c r="DF344" s="57">
        <f>IFERROR($Y345/$Y344-1,"")</f>
        <v/>
      </c>
      <c r="DG344" s="57">
        <f>IFERROR($Z345/$Z344-1,"")</f>
        <v/>
      </c>
      <c r="DH344" s="57">
        <f>IFERROR($AA345/$AA344-1,"")</f>
        <v/>
      </c>
      <c r="DI344" s="57">
        <f>IFERROR($AB345/$AB344-1,"")</f>
        <v/>
      </c>
      <c r="DJ344" s="57">
        <f>IFERROR($AC345/$AC344-1,"")</f>
        <v/>
      </c>
      <c r="DK344" s="57">
        <f>IFERROR($AD345/$AD344-1,"")</f>
        <v/>
      </c>
      <c r="DL344" s="57">
        <f>IFERROR($AE345/$AE344-1,"")</f>
        <v/>
      </c>
      <c r="DM344" s="56">
        <f>$AZ344-$AZ345</f>
        <v/>
      </c>
      <c r="DN344" s="56">
        <f>$BA344-$BA345</f>
        <v/>
      </c>
      <c r="DO344" s="56">
        <f>$BB344-$BB345</f>
        <v/>
      </c>
      <c r="DP344" s="56">
        <f>$BC344-$BC345</f>
        <v/>
      </c>
      <c r="DQ344" s="56">
        <f>$BD344-$BD345</f>
        <v/>
      </c>
      <c r="DR344" s="56">
        <f>$BE344-$BE345</f>
        <v/>
      </c>
      <c r="DS344" s="56">
        <f>$BF344-$BF345</f>
        <v/>
      </c>
      <c r="DT344" s="56">
        <f>$BG344-$BG345</f>
        <v/>
      </c>
      <c r="DU344" s="56">
        <f>$BH344-$BH345</f>
        <v/>
      </c>
      <c r="DV344" s="56">
        <f>$BI344-$BI345</f>
        <v/>
      </c>
      <c r="DW344" s="56">
        <f>$BJ344-$BJ345</f>
        <v/>
      </c>
      <c r="DX344" s="56">
        <f>$BK344-$BK345</f>
        <v/>
      </c>
      <c r="DY344" s="56">
        <f>$BL344-$BL345</f>
        <v/>
      </c>
      <c r="DZ344" s="56">
        <f>$BM344-$BM345</f>
        <v/>
      </c>
      <c r="EA344" s="56">
        <f>$BN344-$BN345</f>
        <v/>
      </c>
      <c r="EB344" s="56">
        <f>$BO344-$BO345</f>
        <v/>
      </c>
      <c r="EC344" s="56">
        <f>$BP344-$BP345</f>
        <v/>
      </c>
      <c r="ED344" s="56">
        <f>$BQ344-$BQ345</f>
        <v/>
      </c>
      <c r="EE344" s="56">
        <f>$BR344-$BR345</f>
        <v/>
      </c>
      <c r="EF344" s="56">
        <f>$BS344-$BS345</f>
        <v/>
      </c>
      <c r="EG344" s="56">
        <f>$BT344-$BT345</f>
        <v/>
      </c>
      <c r="EH344" s="56">
        <f>$BU344-$BU345</f>
        <v/>
      </c>
    </row>
    <row r="345">
      <c r="BV345" s="56">
        <f>($D345-$D346)*100</f>
        <v/>
      </c>
      <c r="BW345" s="56">
        <f>($C345-$C346)*100</f>
        <v/>
      </c>
      <c r="BX345" s="57">
        <f>IFERROR($I345/$I346-1,"")</f>
        <v/>
      </c>
      <c r="BY345" s="56">
        <f>($AF345-$AF346)*100</f>
        <v/>
      </c>
      <c r="BZ345" s="56">
        <f>($AG345-$AG346)*100</f>
        <v/>
      </c>
      <c r="CA345" s="56">
        <f>($AH345-$AH346)*100</f>
        <v/>
      </c>
      <c r="CB345" s="56">
        <f>($AI345-$AI346)*100</f>
        <v/>
      </c>
      <c r="CC345" s="56">
        <f>($AJ345-$AJ346)*100</f>
        <v/>
      </c>
      <c r="CD345" s="56">
        <f>($AK345-$AK346)*100</f>
        <v/>
      </c>
      <c r="CE345" s="56">
        <f>($AL345-$AL346)*100</f>
        <v/>
      </c>
      <c r="CF345" s="56">
        <f>($AM345-$AM346)*100</f>
        <v/>
      </c>
      <c r="CG345" s="56">
        <f>($AN345-$AN346)*100</f>
        <v/>
      </c>
      <c r="CH345" s="56">
        <f>($AO345-$AO346)*100</f>
        <v/>
      </c>
      <c r="CI345" s="56">
        <f>($AP345-$AP346)*100</f>
        <v/>
      </c>
      <c r="CJ345" s="56">
        <f>($AQ345-$AQ346)*100</f>
        <v/>
      </c>
      <c r="CK345" s="56">
        <f>($AR345-$AR346)*100</f>
        <v/>
      </c>
      <c r="CL345" s="56">
        <f>($AS345-$AS346)*100</f>
        <v/>
      </c>
      <c r="CM345" s="56">
        <f>($AT345-$AT346)*100</f>
        <v/>
      </c>
      <c r="CN345" s="56">
        <f>($AU345-$AU346)*100</f>
        <v/>
      </c>
      <c r="CO345" s="56">
        <f>($AV345-$AV346)*100</f>
        <v/>
      </c>
      <c r="CP345" s="56">
        <f>($AW345-$AW346)*100</f>
        <v/>
      </c>
      <c r="CQ345" s="56">
        <f>($AX345-$AX346)*100</f>
        <v/>
      </c>
      <c r="CR345" s="56">
        <f>($AY345-$AY346)*100</f>
        <v/>
      </c>
      <c r="CS345" s="57">
        <f>IFERROR($L346/$L345-1,"")</f>
        <v/>
      </c>
      <c r="CT345" s="57">
        <f>IFERROR($M346/$M345-1,"")</f>
        <v/>
      </c>
      <c r="CU345" s="57">
        <f>IFERROR($N346/$N345-1,"")</f>
        <v/>
      </c>
      <c r="CV345" s="57">
        <f>IFERROR($O346/$O345-1,"")</f>
        <v/>
      </c>
      <c r="CW345" s="57">
        <f>IFERROR($P346/$P345-1,"")</f>
        <v/>
      </c>
      <c r="CX345" s="57">
        <f>IFERROR($Q346/$Q345-1,"")</f>
        <v/>
      </c>
      <c r="CY345" s="57">
        <f>IFERROR($R346/$R345-1,"")</f>
        <v/>
      </c>
      <c r="CZ345" s="57">
        <f>IFERROR($S346/$S345-1,"")</f>
        <v/>
      </c>
      <c r="DA345" s="57">
        <f>IFERROR($T346/$T345-1,"")</f>
        <v/>
      </c>
      <c r="DB345" s="57">
        <f>IFERROR($U346/$U345-1,"")</f>
        <v/>
      </c>
      <c r="DC345" s="57">
        <f>IFERROR($V346/$V345-1,"")</f>
        <v/>
      </c>
      <c r="DD345" s="57">
        <f>IFERROR($W346/$W345-1,"")</f>
        <v/>
      </c>
      <c r="DE345" s="57">
        <f>IFERROR($X346/$X345-1,"")</f>
        <v/>
      </c>
      <c r="DF345" s="57">
        <f>IFERROR($Y346/$Y345-1,"")</f>
        <v/>
      </c>
      <c r="DG345" s="57">
        <f>IFERROR($Z346/$Z345-1,"")</f>
        <v/>
      </c>
      <c r="DH345" s="57">
        <f>IFERROR($AA346/$AA345-1,"")</f>
        <v/>
      </c>
      <c r="DI345" s="57">
        <f>IFERROR($AB346/$AB345-1,"")</f>
        <v/>
      </c>
      <c r="DJ345" s="57">
        <f>IFERROR($AC346/$AC345-1,"")</f>
        <v/>
      </c>
      <c r="DK345" s="57">
        <f>IFERROR($AD346/$AD345-1,"")</f>
        <v/>
      </c>
      <c r="DL345" s="57">
        <f>IFERROR($AE346/$AE345-1,"")</f>
        <v/>
      </c>
      <c r="DM345" s="56">
        <f>$AZ345-$AZ346</f>
        <v/>
      </c>
      <c r="DN345" s="56">
        <f>$BA345-$BA346</f>
        <v/>
      </c>
      <c r="DO345" s="56">
        <f>$BB345-$BB346</f>
        <v/>
      </c>
      <c r="DP345" s="56">
        <f>$BC345-$BC346</f>
        <v/>
      </c>
      <c r="DQ345" s="56">
        <f>$BD345-$BD346</f>
        <v/>
      </c>
      <c r="DR345" s="56">
        <f>$BE345-$BE346</f>
        <v/>
      </c>
      <c r="DS345" s="56">
        <f>$BF345-$BF346</f>
        <v/>
      </c>
      <c r="DT345" s="56">
        <f>$BG345-$BG346</f>
        <v/>
      </c>
      <c r="DU345" s="56">
        <f>$BH345-$BH346</f>
        <v/>
      </c>
      <c r="DV345" s="56">
        <f>$BI345-$BI346</f>
        <v/>
      </c>
      <c r="DW345" s="56">
        <f>$BJ345-$BJ346</f>
        <v/>
      </c>
      <c r="DX345" s="56">
        <f>$BK345-$BK346</f>
        <v/>
      </c>
      <c r="DY345" s="56">
        <f>$BL345-$BL346</f>
        <v/>
      </c>
      <c r="DZ345" s="56">
        <f>$BM345-$BM346</f>
        <v/>
      </c>
      <c r="EA345" s="56">
        <f>$BN345-$BN346</f>
        <v/>
      </c>
      <c r="EB345" s="56">
        <f>$BO345-$BO346</f>
        <v/>
      </c>
      <c r="EC345" s="56">
        <f>$BP345-$BP346</f>
        <v/>
      </c>
      <c r="ED345" s="56">
        <f>$BQ345-$BQ346</f>
        <v/>
      </c>
      <c r="EE345" s="56">
        <f>$BR345-$BR346</f>
        <v/>
      </c>
      <c r="EF345" s="56">
        <f>$BS345-$BS346</f>
        <v/>
      </c>
      <c r="EG345" s="56">
        <f>$BT345-$BT346</f>
        <v/>
      </c>
      <c r="EH345" s="56">
        <f>$BU345-$BU346</f>
        <v/>
      </c>
    </row>
    <row r="346">
      <c r="BV346" s="56">
        <f>($D346-$D347)*100</f>
        <v/>
      </c>
      <c r="BW346" s="56">
        <f>($C346-$C347)*100</f>
        <v/>
      </c>
      <c r="BX346" s="57">
        <f>IFERROR($I346/$I347-1,"")</f>
        <v/>
      </c>
      <c r="BY346" s="56">
        <f>($AF346-$AF347)*100</f>
        <v/>
      </c>
      <c r="BZ346" s="56">
        <f>($AG346-$AG347)*100</f>
        <v/>
      </c>
      <c r="CA346" s="56">
        <f>($AH346-$AH347)*100</f>
        <v/>
      </c>
      <c r="CB346" s="56">
        <f>($AI346-$AI347)*100</f>
        <v/>
      </c>
      <c r="CC346" s="56">
        <f>($AJ346-$AJ347)*100</f>
        <v/>
      </c>
      <c r="CD346" s="56">
        <f>($AK346-$AK347)*100</f>
        <v/>
      </c>
      <c r="CE346" s="56">
        <f>($AL346-$AL347)*100</f>
        <v/>
      </c>
      <c r="CF346" s="56">
        <f>($AM346-$AM347)*100</f>
        <v/>
      </c>
      <c r="CG346" s="56">
        <f>($AN346-$AN347)*100</f>
        <v/>
      </c>
      <c r="CH346" s="56">
        <f>($AO346-$AO347)*100</f>
        <v/>
      </c>
      <c r="CI346" s="56">
        <f>($AP346-$AP347)*100</f>
        <v/>
      </c>
      <c r="CJ346" s="56">
        <f>($AQ346-$AQ347)*100</f>
        <v/>
      </c>
      <c r="CK346" s="56">
        <f>($AR346-$AR347)*100</f>
        <v/>
      </c>
      <c r="CL346" s="56">
        <f>($AS346-$AS347)*100</f>
        <v/>
      </c>
      <c r="CM346" s="56">
        <f>($AT346-$AT347)*100</f>
        <v/>
      </c>
      <c r="CN346" s="56">
        <f>($AU346-$AU347)*100</f>
        <v/>
      </c>
      <c r="CO346" s="56">
        <f>($AV346-$AV347)*100</f>
        <v/>
      </c>
      <c r="CP346" s="56">
        <f>($AW346-$AW347)*100</f>
        <v/>
      </c>
      <c r="CQ346" s="56">
        <f>($AX346-$AX347)*100</f>
        <v/>
      </c>
      <c r="CR346" s="56">
        <f>($AY346-$AY347)*100</f>
        <v/>
      </c>
      <c r="CS346" s="57">
        <f>IFERROR($L347/$L346-1,"")</f>
        <v/>
      </c>
      <c r="CT346" s="57">
        <f>IFERROR($M347/$M346-1,"")</f>
        <v/>
      </c>
      <c r="CU346" s="57">
        <f>IFERROR($N347/$N346-1,"")</f>
        <v/>
      </c>
      <c r="CV346" s="57">
        <f>IFERROR($O347/$O346-1,"")</f>
        <v/>
      </c>
      <c r="CW346" s="57">
        <f>IFERROR($P347/$P346-1,"")</f>
        <v/>
      </c>
      <c r="CX346" s="57">
        <f>IFERROR($Q347/$Q346-1,"")</f>
        <v/>
      </c>
      <c r="CY346" s="57">
        <f>IFERROR($R347/$R346-1,"")</f>
        <v/>
      </c>
      <c r="CZ346" s="57">
        <f>IFERROR($S347/$S346-1,"")</f>
        <v/>
      </c>
      <c r="DA346" s="57">
        <f>IFERROR($T347/$T346-1,"")</f>
        <v/>
      </c>
      <c r="DB346" s="57">
        <f>IFERROR($U347/$U346-1,"")</f>
        <v/>
      </c>
      <c r="DC346" s="57">
        <f>IFERROR($V347/$V346-1,"")</f>
        <v/>
      </c>
      <c r="DD346" s="57">
        <f>IFERROR($W347/$W346-1,"")</f>
        <v/>
      </c>
      <c r="DE346" s="57">
        <f>IFERROR($X347/$X346-1,"")</f>
        <v/>
      </c>
      <c r="DF346" s="57">
        <f>IFERROR($Y347/$Y346-1,"")</f>
        <v/>
      </c>
      <c r="DG346" s="57">
        <f>IFERROR($Z347/$Z346-1,"")</f>
        <v/>
      </c>
      <c r="DH346" s="57">
        <f>IFERROR($AA347/$AA346-1,"")</f>
        <v/>
      </c>
      <c r="DI346" s="57">
        <f>IFERROR($AB347/$AB346-1,"")</f>
        <v/>
      </c>
      <c r="DJ346" s="57">
        <f>IFERROR($AC347/$AC346-1,"")</f>
        <v/>
      </c>
      <c r="DK346" s="57">
        <f>IFERROR($AD347/$AD346-1,"")</f>
        <v/>
      </c>
      <c r="DL346" s="57">
        <f>IFERROR($AE347/$AE346-1,"")</f>
        <v/>
      </c>
      <c r="DM346" s="56">
        <f>$AZ346-$AZ347</f>
        <v/>
      </c>
      <c r="DN346" s="56">
        <f>$BA346-$BA347</f>
        <v/>
      </c>
      <c r="DO346" s="56">
        <f>$BB346-$BB347</f>
        <v/>
      </c>
      <c r="DP346" s="56">
        <f>$BC346-$BC347</f>
        <v/>
      </c>
      <c r="DQ346" s="56">
        <f>$BD346-$BD347</f>
        <v/>
      </c>
      <c r="DR346" s="56">
        <f>$BE346-$BE347</f>
        <v/>
      </c>
      <c r="DS346" s="56">
        <f>$BF346-$BF347</f>
        <v/>
      </c>
      <c r="DT346" s="56">
        <f>$BG346-$BG347</f>
        <v/>
      </c>
      <c r="DU346" s="56">
        <f>$BH346-$BH347</f>
        <v/>
      </c>
      <c r="DV346" s="56">
        <f>$BI346-$BI347</f>
        <v/>
      </c>
      <c r="DW346" s="56">
        <f>$BJ346-$BJ347</f>
        <v/>
      </c>
      <c r="DX346" s="56">
        <f>$BK346-$BK347</f>
        <v/>
      </c>
      <c r="DY346" s="56">
        <f>$BL346-$BL347</f>
        <v/>
      </c>
      <c r="DZ346" s="56">
        <f>$BM346-$BM347</f>
        <v/>
      </c>
      <c r="EA346" s="56">
        <f>$BN346-$BN347</f>
        <v/>
      </c>
      <c r="EB346" s="56">
        <f>$BO346-$BO347</f>
        <v/>
      </c>
      <c r="EC346" s="56">
        <f>$BP346-$BP347</f>
        <v/>
      </c>
      <c r="ED346" s="56">
        <f>$BQ346-$BQ347</f>
        <v/>
      </c>
      <c r="EE346" s="56">
        <f>$BR346-$BR347</f>
        <v/>
      </c>
      <c r="EF346" s="56">
        <f>$BS346-$BS347</f>
        <v/>
      </c>
      <c r="EG346" s="56">
        <f>$BT346-$BT347</f>
        <v/>
      </c>
      <c r="EH346" s="56">
        <f>$BU346-$BU347</f>
        <v/>
      </c>
    </row>
    <row r="347">
      <c r="BV347" s="56">
        <f>($D347-$D348)*100</f>
        <v/>
      </c>
      <c r="BW347" s="56">
        <f>($C347-$C348)*100</f>
        <v/>
      </c>
      <c r="BX347" s="57">
        <f>IFERROR($I347/$I348-1,"")</f>
        <v/>
      </c>
      <c r="BY347" s="56">
        <f>($AF347-$AF348)*100</f>
        <v/>
      </c>
      <c r="BZ347" s="56">
        <f>($AG347-$AG348)*100</f>
        <v/>
      </c>
      <c r="CA347" s="56">
        <f>($AH347-$AH348)*100</f>
        <v/>
      </c>
      <c r="CB347" s="56">
        <f>($AI347-$AI348)*100</f>
        <v/>
      </c>
      <c r="CC347" s="56">
        <f>($AJ347-$AJ348)*100</f>
        <v/>
      </c>
      <c r="CD347" s="56">
        <f>($AK347-$AK348)*100</f>
        <v/>
      </c>
      <c r="CE347" s="56">
        <f>($AL347-$AL348)*100</f>
        <v/>
      </c>
      <c r="CF347" s="56">
        <f>($AM347-$AM348)*100</f>
        <v/>
      </c>
      <c r="CG347" s="56">
        <f>($AN347-$AN348)*100</f>
        <v/>
      </c>
      <c r="CH347" s="56">
        <f>($AO347-$AO348)*100</f>
        <v/>
      </c>
      <c r="CI347" s="56">
        <f>($AP347-$AP348)*100</f>
        <v/>
      </c>
      <c r="CJ347" s="56">
        <f>($AQ347-$AQ348)*100</f>
        <v/>
      </c>
      <c r="CK347" s="56">
        <f>($AR347-$AR348)*100</f>
        <v/>
      </c>
      <c r="CL347" s="56">
        <f>($AS347-$AS348)*100</f>
        <v/>
      </c>
      <c r="CM347" s="56">
        <f>($AT347-$AT348)*100</f>
        <v/>
      </c>
      <c r="CN347" s="56">
        <f>($AU347-$AU348)*100</f>
        <v/>
      </c>
      <c r="CO347" s="56">
        <f>($AV347-$AV348)*100</f>
        <v/>
      </c>
      <c r="CP347" s="56">
        <f>($AW347-$AW348)*100</f>
        <v/>
      </c>
      <c r="CQ347" s="56">
        <f>($AX347-$AX348)*100</f>
        <v/>
      </c>
      <c r="CR347" s="56">
        <f>($AY347-$AY348)*100</f>
        <v/>
      </c>
      <c r="CS347" s="57">
        <f>IFERROR($L348/$L347-1,"")</f>
        <v/>
      </c>
      <c r="CT347" s="57">
        <f>IFERROR($M348/$M347-1,"")</f>
        <v/>
      </c>
      <c r="CU347" s="57">
        <f>IFERROR($N348/$N347-1,"")</f>
        <v/>
      </c>
      <c r="CV347" s="57">
        <f>IFERROR($O348/$O347-1,"")</f>
        <v/>
      </c>
      <c r="CW347" s="57">
        <f>IFERROR($P348/$P347-1,"")</f>
        <v/>
      </c>
      <c r="CX347" s="57">
        <f>IFERROR($Q348/$Q347-1,"")</f>
        <v/>
      </c>
      <c r="CY347" s="57">
        <f>IFERROR($R348/$R347-1,"")</f>
        <v/>
      </c>
      <c r="CZ347" s="57">
        <f>IFERROR($S348/$S347-1,"")</f>
        <v/>
      </c>
      <c r="DA347" s="57">
        <f>IFERROR($T348/$T347-1,"")</f>
        <v/>
      </c>
      <c r="DB347" s="57">
        <f>IFERROR($U348/$U347-1,"")</f>
        <v/>
      </c>
      <c r="DC347" s="57">
        <f>IFERROR($V348/$V347-1,"")</f>
        <v/>
      </c>
      <c r="DD347" s="57">
        <f>IFERROR($W348/$W347-1,"")</f>
        <v/>
      </c>
      <c r="DE347" s="57">
        <f>IFERROR($X348/$X347-1,"")</f>
        <v/>
      </c>
      <c r="DF347" s="57">
        <f>IFERROR($Y348/$Y347-1,"")</f>
        <v/>
      </c>
      <c r="DG347" s="57">
        <f>IFERROR($Z348/$Z347-1,"")</f>
        <v/>
      </c>
      <c r="DH347" s="57">
        <f>IFERROR($AA348/$AA347-1,"")</f>
        <v/>
      </c>
      <c r="DI347" s="57">
        <f>IFERROR($AB348/$AB347-1,"")</f>
        <v/>
      </c>
      <c r="DJ347" s="57">
        <f>IFERROR($AC348/$AC347-1,"")</f>
        <v/>
      </c>
      <c r="DK347" s="57">
        <f>IFERROR($AD348/$AD347-1,"")</f>
        <v/>
      </c>
      <c r="DL347" s="57">
        <f>IFERROR($AE348/$AE347-1,"")</f>
        <v/>
      </c>
      <c r="DM347" s="56">
        <f>$AZ347-$AZ348</f>
        <v/>
      </c>
      <c r="DN347" s="56">
        <f>$BA347-$BA348</f>
        <v/>
      </c>
      <c r="DO347" s="56">
        <f>$BB347-$BB348</f>
        <v/>
      </c>
      <c r="DP347" s="56">
        <f>$BC347-$BC348</f>
        <v/>
      </c>
      <c r="DQ347" s="56">
        <f>$BD347-$BD348</f>
        <v/>
      </c>
      <c r="DR347" s="56">
        <f>$BE347-$BE348</f>
        <v/>
      </c>
      <c r="DS347" s="56">
        <f>$BF347-$BF348</f>
        <v/>
      </c>
      <c r="DT347" s="56">
        <f>$BG347-$BG348</f>
        <v/>
      </c>
      <c r="DU347" s="56">
        <f>$BH347-$BH348</f>
        <v/>
      </c>
      <c r="DV347" s="56">
        <f>$BI347-$BI348</f>
        <v/>
      </c>
      <c r="DW347" s="56">
        <f>$BJ347-$BJ348</f>
        <v/>
      </c>
      <c r="DX347" s="56">
        <f>$BK347-$BK348</f>
        <v/>
      </c>
      <c r="DY347" s="56">
        <f>$BL347-$BL348</f>
        <v/>
      </c>
      <c r="DZ347" s="56">
        <f>$BM347-$BM348</f>
        <v/>
      </c>
      <c r="EA347" s="56">
        <f>$BN347-$BN348</f>
        <v/>
      </c>
      <c r="EB347" s="56">
        <f>$BO347-$BO348</f>
        <v/>
      </c>
      <c r="EC347" s="56">
        <f>$BP347-$BP348</f>
        <v/>
      </c>
      <c r="ED347" s="56">
        <f>$BQ347-$BQ348</f>
        <v/>
      </c>
      <c r="EE347" s="56">
        <f>$BR347-$BR348</f>
        <v/>
      </c>
      <c r="EF347" s="56">
        <f>$BS347-$BS348</f>
        <v/>
      </c>
      <c r="EG347" s="56">
        <f>$BT347-$BT348</f>
        <v/>
      </c>
      <c r="EH347" s="56">
        <f>$BU347-$BU348</f>
        <v/>
      </c>
    </row>
    <row r="348">
      <c r="BV348" s="56">
        <f>($D348-$D349)*100</f>
        <v/>
      </c>
      <c r="BW348" s="56">
        <f>($C348-$C349)*100</f>
        <v/>
      </c>
      <c r="BX348" s="57">
        <f>IFERROR($I348/$I349-1,"")</f>
        <v/>
      </c>
      <c r="BY348" s="56">
        <f>($AF348-$AF349)*100</f>
        <v/>
      </c>
      <c r="BZ348" s="56">
        <f>($AG348-$AG349)*100</f>
        <v/>
      </c>
      <c r="CA348" s="56">
        <f>($AH348-$AH349)*100</f>
        <v/>
      </c>
      <c r="CB348" s="56">
        <f>($AI348-$AI349)*100</f>
        <v/>
      </c>
      <c r="CC348" s="56">
        <f>($AJ348-$AJ349)*100</f>
        <v/>
      </c>
      <c r="CD348" s="56">
        <f>($AK348-$AK349)*100</f>
        <v/>
      </c>
      <c r="CE348" s="56">
        <f>($AL348-$AL349)*100</f>
        <v/>
      </c>
      <c r="CF348" s="56">
        <f>($AM348-$AM349)*100</f>
        <v/>
      </c>
      <c r="CG348" s="56">
        <f>($AN348-$AN349)*100</f>
        <v/>
      </c>
      <c r="CH348" s="56">
        <f>($AO348-$AO349)*100</f>
        <v/>
      </c>
      <c r="CI348" s="56">
        <f>($AP348-$AP349)*100</f>
        <v/>
      </c>
      <c r="CJ348" s="56">
        <f>($AQ348-$AQ349)*100</f>
        <v/>
      </c>
      <c r="CK348" s="56">
        <f>($AR348-$AR349)*100</f>
        <v/>
      </c>
      <c r="CL348" s="56">
        <f>($AS348-$AS349)*100</f>
        <v/>
      </c>
      <c r="CM348" s="56">
        <f>($AT348-$AT349)*100</f>
        <v/>
      </c>
      <c r="CN348" s="56">
        <f>($AU348-$AU349)*100</f>
        <v/>
      </c>
      <c r="CO348" s="56">
        <f>($AV348-$AV349)*100</f>
        <v/>
      </c>
      <c r="CP348" s="56">
        <f>($AW348-$AW349)*100</f>
        <v/>
      </c>
      <c r="CQ348" s="56">
        <f>($AX348-$AX349)*100</f>
        <v/>
      </c>
      <c r="CR348" s="56">
        <f>($AY348-$AY349)*100</f>
        <v/>
      </c>
      <c r="CS348" s="57">
        <f>IFERROR($L349/$L348-1,"")</f>
        <v/>
      </c>
      <c r="CT348" s="57">
        <f>IFERROR($M349/$M348-1,"")</f>
        <v/>
      </c>
      <c r="CU348" s="57">
        <f>IFERROR($N349/$N348-1,"")</f>
        <v/>
      </c>
      <c r="CV348" s="57">
        <f>IFERROR($O349/$O348-1,"")</f>
        <v/>
      </c>
      <c r="CW348" s="57">
        <f>IFERROR($P349/$P348-1,"")</f>
        <v/>
      </c>
      <c r="CX348" s="57">
        <f>IFERROR($Q349/$Q348-1,"")</f>
        <v/>
      </c>
      <c r="CY348" s="57">
        <f>IFERROR($R349/$R348-1,"")</f>
        <v/>
      </c>
      <c r="CZ348" s="57">
        <f>IFERROR($S349/$S348-1,"")</f>
        <v/>
      </c>
      <c r="DA348" s="57">
        <f>IFERROR($T349/$T348-1,"")</f>
        <v/>
      </c>
      <c r="DB348" s="57">
        <f>IFERROR($U349/$U348-1,"")</f>
        <v/>
      </c>
      <c r="DC348" s="57">
        <f>IFERROR($V349/$V348-1,"")</f>
        <v/>
      </c>
      <c r="DD348" s="57">
        <f>IFERROR($W349/$W348-1,"")</f>
        <v/>
      </c>
      <c r="DE348" s="57">
        <f>IFERROR($X349/$X348-1,"")</f>
        <v/>
      </c>
      <c r="DF348" s="57">
        <f>IFERROR($Y349/$Y348-1,"")</f>
        <v/>
      </c>
      <c r="DG348" s="57">
        <f>IFERROR($Z349/$Z348-1,"")</f>
        <v/>
      </c>
      <c r="DH348" s="57">
        <f>IFERROR($AA349/$AA348-1,"")</f>
        <v/>
      </c>
      <c r="DI348" s="57">
        <f>IFERROR($AB349/$AB348-1,"")</f>
        <v/>
      </c>
      <c r="DJ348" s="57">
        <f>IFERROR($AC349/$AC348-1,"")</f>
        <v/>
      </c>
      <c r="DK348" s="57">
        <f>IFERROR($AD349/$AD348-1,"")</f>
        <v/>
      </c>
      <c r="DL348" s="57">
        <f>IFERROR($AE349/$AE348-1,"")</f>
        <v/>
      </c>
      <c r="DM348" s="56">
        <f>$AZ348-$AZ349</f>
        <v/>
      </c>
      <c r="DN348" s="56">
        <f>$BA348-$BA349</f>
        <v/>
      </c>
      <c r="DO348" s="56">
        <f>$BB348-$BB349</f>
        <v/>
      </c>
      <c r="DP348" s="56">
        <f>$BC348-$BC349</f>
        <v/>
      </c>
      <c r="DQ348" s="56">
        <f>$BD348-$BD349</f>
        <v/>
      </c>
      <c r="DR348" s="56">
        <f>$BE348-$BE349</f>
        <v/>
      </c>
      <c r="DS348" s="56">
        <f>$BF348-$BF349</f>
        <v/>
      </c>
      <c r="DT348" s="56">
        <f>$BG348-$BG349</f>
        <v/>
      </c>
      <c r="DU348" s="56">
        <f>$BH348-$BH349</f>
        <v/>
      </c>
      <c r="DV348" s="56">
        <f>$BI348-$BI349</f>
        <v/>
      </c>
      <c r="DW348" s="56">
        <f>$BJ348-$BJ349</f>
        <v/>
      </c>
      <c r="DX348" s="56">
        <f>$BK348-$BK349</f>
        <v/>
      </c>
      <c r="DY348" s="56">
        <f>$BL348-$BL349</f>
        <v/>
      </c>
      <c r="DZ348" s="56">
        <f>$BM348-$BM349</f>
        <v/>
      </c>
      <c r="EA348" s="56">
        <f>$BN348-$BN349</f>
        <v/>
      </c>
      <c r="EB348" s="56">
        <f>$BO348-$BO349</f>
        <v/>
      </c>
      <c r="EC348" s="56">
        <f>$BP348-$BP349</f>
        <v/>
      </c>
      <c r="ED348" s="56">
        <f>$BQ348-$BQ349</f>
        <v/>
      </c>
      <c r="EE348" s="56">
        <f>$BR348-$BR349</f>
        <v/>
      </c>
      <c r="EF348" s="56">
        <f>$BS348-$BS349</f>
        <v/>
      </c>
      <c r="EG348" s="56">
        <f>$BT348-$BT349</f>
        <v/>
      </c>
      <c r="EH348" s="56">
        <f>$BU348-$BU349</f>
        <v/>
      </c>
    </row>
    <row r="349">
      <c r="BV349" s="56">
        <f>($D349-$D350)*100</f>
        <v/>
      </c>
      <c r="BW349" s="56">
        <f>($C349-$C350)*100</f>
        <v/>
      </c>
      <c r="BX349" s="57">
        <f>IFERROR($I349/$I350-1,"")</f>
        <v/>
      </c>
      <c r="BY349" s="56">
        <f>($AF349-$AF350)*100</f>
        <v/>
      </c>
      <c r="BZ349" s="56">
        <f>($AG349-$AG350)*100</f>
        <v/>
      </c>
      <c r="CA349" s="56">
        <f>($AH349-$AH350)*100</f>
        <v/>
      </c>
      <c r="CB349" s="56">
        <f>($AI349-$AI350)*100</f>
        <v/>
      </c>
      <c r="CC349" s="56">
        <f>($AJ349-$AJ350)*100</f>
        <v/>
      </c>
      <c r="CD349" s="56">
        <f>($AK349-$AK350)*100</f>
        <v/>
      </c>
      <c r="CE349" s="56">
        <f>($AL349-$AL350)*100</f>
        <v/>
      </c>
      <c r="CF349" s="56">
        <f>($AM349-$AM350)*100</f>
        <v/>
      </c>
      <c r="CG349" s="56">
        <f>($AN349-$AN350)*100</f>
        <v/>
      </c>
      <c r="CH349" s="56">
        <f>($AO349-$AO350)*100</f>
        <v/>
      </c>
      <c r="CI349" s="56">
        <f>($AP349-$AP350)*100</f>
        <v/>
      </c>
      <c r="CJ349" s="56">
        <f>($AQ349-$AQ350)*100</f>
        <v/>
      </c>
      <c r="CK349" s="56">
        <f>($AR349-$AR350)*100</f>
        <v/>
      </c>
      <c r="CL349" s="56">
        <f>($AS349-$AS350)*100</f>
        <v/>
      </c>
      <c r="CM349" s="56">
        <f>($AT349-$AT350)*100</f>
        <v/>
      </c>
      <c r="CN349" s="56">
        <f>($AU349-$AU350)*100</f>
        <v/>
      </c>
      <c r="CO349" s="56">
        <f>($AV349-$AV350)*100</f>
        <v/>
      </c>
      <c r="CP349" s="56">
        <f>($AW349-$AW350)*100</f>
        <v/>
      </c>
      <c r="CQ349" s="56">
        <f>($AX349-$AX350)*100</f>
        <v/>
      </c>
      <c r="CR349" s="56">
        <f>($AY349-$AY350)*100</f>
        <v/>
      </c>
      <c r="CS349" s="57">
        <f>IFERROR($L350/$L349-1,"")</f>
        <v/>
      </c>
      <c r="CT349" s="57">
        <f>IFERROR($M350/$M349-1,"")</f>
        <v/>
      </c>
      <c r="CU349" s="57">
        <f>IFERROR($N350/$N349-1,"")</f>
        <v/>
      </c>
      <c r="CV349" s="57">
        <f>IFERROR($O350/$O349-1,"")</f>
        <v/>
      </c>
      <c r="CW349" s="57">
        <f>IFERROR($P350/$P349-1,"")</f>
        <v/>
      </c>
      <c r="CX349" s="57">
        <f>IFERROR($Q350/$Q349-1,"")</f>
        <v/>
      </c>
      <c r="CY349" s="57">
        <f>IFERROR($R350/$R349-1,"")</f>
        <v/>
      </c>
      <c r="CZ349" s="57">
        <f>IFERROR($S350/$S349-1,"")</f>
        <v/>
      </c>
      <c r="DA349" s="57">
        <f>IFERROR($T350/$T349-1,"")</f>
        <v/>
      </c>
      <c r="DB349" s="57">
        <f>IFERROR($U350/$U349-1,"")</f>
        <v/>
      </c>
      <c r="DC349" s="57">
        <f>IFERROR($V350/$V349-1,"")</f>
        <v/>
      </c>
      <c r="DD349" s="57">
        <f>IFERROR($W350/$W349-1,"")</f>
        <v/>
      </c>
      <c r="DE349" s="57">
        <f>IFERROR($X350/$X349-1,"")</f>
        <v/>
      </c>
      <c r="DF349" s="57">
        <f>IFERROR($Y350/$Y349-1,"")</f>
        <v/>
      </c>
      <c r="DG349" s="57">
        <f>IFERROR($Z350/$Z349-1,"")</f>
        <v/>
      </c>
      <c r="DH349" s="57">
        <f>IFERROR($AA350/$AA349-1,"")</f>
        <v/>
      </c>
      <c r="DI349" s="57">
        <f>IFERROR($AB350/$AB349-1,"")</f>
        <v/>
      </c>
      <c r="DJ349" s="57">
        <f>IFERROR($AC350/$AC349-1,"")</f>
        <v/>
      </c>
      <c r="DK349" s="57">
        <f>IFERROR($AD350/$AD349-1,"")</f>
        <v/>
      </c>
      <c r="DL349" s="57">
        <f>IFERROR($AE350/$AE349-1,"")</f>
        <v/>
      </c>
      <c r="DM349" s="56">
        <f>$AZ349-$AZ350</f>
        <v/>
      </c>
      <c r="DN349" s="56">
        <f>$BA349-$BA350</f>
        <v/>
      </c>
      <c r="DO349" s="56">
        <f>$BB349-$BB350</f>
        <v/>
      </c>
      <c r="DP349" s="56">
        <f>$BC349-$BC350</f>
        <v/>
      </c>
      <c r="DQ349" s="56">
        <f>$BD349-$BD350</f>
        <v/>
      </c>
      <c r="DR349" s="56">
        <f>$BE349-$BE350</f>
        <v/>
      </c>
      <c r="DS349" s="56">
        <f>$BF349-$BF350</f>
        <v/>
      </c>
      <c r="DT349" s="56">
        <f>$BG349-$BG350</f>
        <v/>
      </c>
      <c r="DU349" s="56">
        <f>$BH349-$BH350</f>
        <v/>
      </c>
      <c r="DV349" s="56">
        <f>$BI349-$BI350</f>
        <v/>
      </c>
      <c r="DW349" s="56">
        <f>$BJ349-$BJ350</f>
        <v/>
      </c>
      <c r="DX349" s="56">
        <f>$BK349-$BK350</f>
        <v/>
      </c>
      <c r="DY349" s="56">
        <f>$BL349-$BL350</f>
        <v/>
      </c>
      <c r="DZ349" s="56">
        <f>$BM349-$BM350</f>
        <v/>
      </c>
      <c r="EA349" s="56">
        <f>$BN349-$BN350</f>
        <v/>
      </c>
      <c r="EB349" s="56">
        <f>$BO349-$BO350</f>
        <v/>
      </c>
      <c r="EC349" s="56">
        <f>$BP349-$BP350</f>
        <v/>
      </c>
      <c r="ED349" s="56">
        <f>$BQ349-$BQ350</f>
        <v/>
      </c>
      <c r="EE349" s="56">
        <f>$BR349-$BR350</f>
        <v/>
      </c>
      <c r="EF349" s="56">
        <f>$BS349-$BS350</f>
        <v/>
      </c>
      <c r="EG349" s="56">
        <f>$BT349-$BT350</f>
        <v/>
      </c>
      <c r="EH349" s="56">
        <f>$BU349-$BU350</f>
        <v/>
      </c>
    </row>
    <row r="350">
      <c r="BV350" s="56">
        <f>($D350-$D351)*100</f>
        <v/>
      </c>
      <c r="BW350" s="56">
        <f>($C350-$C351)*100</f>
        <v/>
      </c>
      <c r="BX350" s="57">
        <f>IFERROR($I350/$I351-1,"")</f>
        <v/>
      </c>
      <c r="BY350" s="56">
        <f>($AF350-$AF351)*100</f>
        <v/>
      </c>
      <c r="BZ350" s="56">
        <f>($AG350-$AG351)*100</f>
        <v/>
      </c>
      <c r="CA350" s="56">
        <f>($AH350-$AH351)*100</f>
        <v/>
      </c>
      <c r="CB350" s="56">
        <f>($AI350-$AI351)*100</f>
        <v/>
      </c>
      <c r="CC350" s="56">
        <f>($AJ350-$AJ351)*100</f>
        <v/>
      </c>
      <c r="CD350" s="56">
        <f>($AK350-$AK351)*100</f>
        <v/>
      </c>
      <c r="CE350" s="56">
        <f>($AL350-$AL351)*100</f>
        <v/>
      </c>
      <c r="CF350" s="56">
        <f>($AM350-$AM351)*100</f>
        <v/>
      </c>
      <c r="CG350" s="56">
        <f>($AN350-$AN351)*100</f>
        <v/>
      </c>
      <c r="CH350" s="56">
        <f>($AO350-$AO351)*100</f>
        <v/>
      </c>
      <c r="CI350" s="56">
        <f>($AP350-$AP351)*100</f>
        <v/>
      </c>
      <c r="CJ350" s="56">
        <f>($AQ350-$AQ351)*100</f>
        <v/>
      </c>
      <c r="CK350" s="56">
        <f>($AR350-$AR351)*100</f>
        <v/>
      </c>
      <c r="CL350" s="56">
        <f>($AS350-$AS351)*100</f>
        <v/>
      </c>
      <c r="CM350" s="56">
        <f>($AT350-$AT351)*100</f>
        <v/>
      </c>
      <c r="CN350" s="56">
        <f>($AU350-$AU351)*100</f>
        <v/>
      </c>
      <c r="CO350" s="56">
        <f>($AV350-$AV351)*100</f>
        <v/>
      </c>
      <c r="CP350" s="56">
        <f>($AW350-$AW351)*100</f>
        <v/>
      </c>
      <c r="CQ350" s="56">
        <f>($AX350-$AX351)*100</f>
        <v/>
      </c>
      <c r="CR350" s="56">
        <f>($AY350-$AY351)*100</f>
        <v/>
      </c>
      <c r="CS350" s="57">
        <f>IFERROR($L351/$L350-1,"")</f>
        <v/>
      </c>
      <c r="CT350" s="57">
        <f>IFERROR($M351/$M350-1,"")</f>
        <v/>
      </c>
      <c r="CU350" s="57">
        <f>IFERROR($N351/$N350-1,"")</f>
        <v/>
      </c>
      <c r="CV350" s="57">
        <f>IFERROR($O351/$O350-1,"")</f>
        <v/>
      </c>
      <c r="CW350" s="57">
        <f>IFERROR($P351/$P350-1,"")</f>
        <v/>
      </c>
      <c r="CX350" s="57">
        <f>IFERROR($Q351/$Q350-1,"")</f>
        <v/>
      </c>
      <c r="CY350" s="57">
        <f>IFERROR($R351/$R350-1,"")</f>
        <v/>
      </c>
      <c r="CZ350" s="57">
        <f>IFERROR($S351/$S350-1,"")</f>
        <v/>
      </c>
      <c r="DA350" s="57">
        <f>IFERROR($T351/$T350-1,"")</f>
        <v/>
      </c>
      <c r="DB350" s="57">
        <f>IFERROR($U351/$U350-1,"")</f>
        <v/>
      </c>
      <c r="DC350" s="57">
        <f>IFERROR($V351/$V350-1,"")</f>
        <v/>
      </c>
      <c r="DD350" s="57">
        <f>IFERROR($W351/$W350-1,"")</f>
        <v/>
      </c>
      <c r="DE350" s="57">
        <f>IFERROR($X351/$X350-1,"")</f>
        <v/>
      </c>
      <c r="DF350" s="57">
        <f>IFERROR($Y351/$Y350-1,"")</f>
        <v/>
      </c>
      <c r="DG350" s="57">
        <f>IFERROR($Z351/$Z350-1,"")</f>
        <v/>
      </c>
      <c r="DH350" s="57">
        <f>IFERROR($AA351/$AA350-1,"")</f>
        <v/>
      </c>
      <c r="DI350" s="57">
        <f>IFERROR($AB351/$AB350-1,"")</f>
        <v/>
      </c>
      <c r="DJ350" s="57">
        <f>IFERROR($AC351/$AC350-1,"")</f>
        <v/>
      </c>
      <c r="DK350" s="57">
        <f>IFERROR($AD351/$AD350-1,"")</f>
        <v/>
      </c>
      <c r="DL350" s="57">
        <f>IFERROR($AE351/$AE350-1,"")</f>
        <v/>
      </c>
      <c r="DM350" s="56">
        <f>$AZ350-$AZ351</f>
        <v/>
      </c>
      <c r="DN350" s="56">
        <f>$BA350-$BA351</f>
        <v/>
      </c>
      <c r="DO350" s="56">
        <f>$BB350-$BB351</f>
        <v/>
      </c>
      <c r="DP350" s="56">
        <f>$BC350-$BC351</f>
        <v/>
      </c>
      <c r="DQ350" s="56">
        <f>$BD350-$BD351</f>
        <v/>
      </c>
      <c r="DR350" s="56">
        <f>$BE350-$BE351</f>
        <v/>
      </c>
      <c r="DS350" s="56">
        <f>$BF350-$BF351</f>
        <v/>
      </c>
      <c r="DT350" s="56">
        <f>$BG350-$BG351</f>
        <v/>
      </c>
      <c r="DU350" s="56">
        <f>$BH350-$BH351</f>
        <v/>
      </c>
      <c r="DV350" s="56">
        <f>$BI350-$BI351</f>
        <v/>
      </c>
      <c r="DW350" s="56">
        <f>$BJ350-$BJ351</f>
        <v/>
      </c>
      <c r="DX350" s="56">
        <f>$BK350-$BK351</f>
        <v/>
      </c>
      <c r="DY350" s="56">
        <f>$BL350-$BL351</f>
        <v/>
      </c>
      <c r="DZ350" s="56">
        <f>$BM350-$BM351</f>
        <v/>
      </c>
      <c r="EA350" s="56">
        <f>$BN350-$BN351</f>
        <v/>
      </c>
      <c r="EB350" s="56">
        <f>$BO350-$BO351</f>
        <v/>
      </c>
      <c r="EC350" s="56">
        <f>$BP350-$BP351</f>
        <v/>
      </c>
      <c r="ED350" s="56">
        <f>$BQ350-$BQ351</f>
        <v/>
      </c>
      <c r="EE350" s="56">
        <f>$BR350-$BR351</f>
        <v/>
      </c>
      <c r="EF350" s="56">
        <f>$BS350-$BS351</f>
        <v/>
      </c>
      <c r="EG350" s="56">
        <f>$BT350-$BT351</f>
        <v/>
      </c>
      <c r="EH350" s="56">
        <f>$BU350-$BU351</f>
        <v/>
      </c>
    </row>
    <row r="351">
      <c r="BV351" s="56">
        <f>($D351-$D352)*100</f>
        <v/>
      </c>
      <c r="BW351" s="56">
        <f>($C351-$C352)*100</f>
        <v/>
      </c>
      <c r="BX351" s="57">
        <f>IFERROR($I351/$I352-1,"")</f>
        <v/>
      </c>
      <c r="BY351" s="56">
        <f>($AF351-$AF352)*100</f>
        <v/>
      </c>
      <c r="BZ351" s="56">
        <f>($AG351-$AG352)*100</f>
        <v/>
      </c>
      <c r="CA351" s="56">
        <f>($AH351-$AH352)*100</f>
        <v/>
      </c>
      <c r="CB351" s="56">
        <f>($AI351-$AI352)*100</f>
        <v/>
      </c>
      <c r="CC351" s="56">
        <f>($AJ351-$AJ352)*100</f>
        <v/>
      </c>
      <c r="CD351" s="56">
        <f>($AK351-$AK352)*100</f>
        <v/>
      </c>
      <c r="CE351" s="56">
        <f>($AL351-$AL352)*100</f>
        <v/>
      </c>
      <c r="CF351" s="56">
        <f>($AM351-$AM352)*100</f>
        <v/>
      </c>
      <c r="CG351" s="56">
        <f>($AN351-$AN352)*100</f>
        <v/>
      </c>
      <c r="CH351" s="56">
        <f>($AO351-$AO352)*100</f>
        <v/>
      </c>
      <c r="CI351" s="56">
        <f>($AP351-$AP352)*100</f>
        <v/>
      </c>
      <c r="CJ351" s="56">
        <f>($AQ351-$AQ352)*100</f>
        <v/>
      </c>
      <c r="CK351" s="56">
        <f>($AR351-$AR352)*100</f>
        <v/>
      </c>
      <c r="CL351" s="56">
        <f>($AS351-$AS352)*100</f>
        <v/>
      </c>
      <c r="CM351" s="56">
        <f>($AT351-$AT352)*100</f>
        <v/>
      </c>
      <c r="CN351" s="56">
        <f>($AU351-$AU352)*100</f>
        <v/>
      </c>
      <c r="CO351" s="56">
        <f>($AV351-$AV352)*100</f>
        <v/>
      </c>
      <c r="CP351" s="56">
        <f>($AW351-$AW352)*100</f>
        <v/>
      </c>
      <c r="CQ351" s="56">
        <f>($AX351-$AX352)*100</f>
        <v/>
      </c>
      <c r="CR351" s="56">
        <f>($AY351-$AY352)*100</f>
        <v/>
      </c>
      <c r="CS351" s="57">
        <f>IFERROR($L352/$L351-1,"")</f>
        <v/>
      </c>
      <c r="CT351" s="57">
        <f>IFERROR($M352/$M351-1,"")</f>
        <v/>
      </c>
      <c r="CU351" s="57">
        <f>IFERROR($N352/$N351-1,"")</f>
        <v/>
      </c>
      <c r="CV351" s="57">
        <f>IFERROR($O352/$O351-1,"")</f>
        <v/>
      </c>
      <c r="CW351" s="57">
        <f>IFERROR($P352/$P351-1,"")</f>
        <v/>
      </c>
      <c r="CX351" s="57">
        <f>IFERROR($Q352/$Q351-1,"")</f>
        <v/>
      </c>
      <c r="CY351" s="57">
        <f>IFERROR($R352/$R351-1,"")</f>
        <v/>
      </c>
      <c r="CZ351" s="57">
        <f>IFERROR($S352/$S351-1,"")</f>
        <v/>
      </c>
      <c r="DA351" s="57">
        <f>IFERROR($T352/$T351-1,"")</f>
        <v/>
      </c>
      <c r="DB351" s="57">
        <f>IFERROR($U352/$U351-1,"")</f>
        <v/>
      </c>
      <c r="DC351" s="57">
        <f>IFERROR($V352/$V351-1,"")</f>
        <v/>
      </c>
      <c r="DD351" s="57">
        <f>IFERROR($W352/$W351-1,"")</f>
        <v/>
      </c>
      <c r="DE351" s="57">
        <f>IFERROR($X352/$X351-1,"")</f>
        <v/>
      </c>
      <c r="DF351" s="57">
        <f>IFERROR($Y352/$Y351-1,"")</f>
        <v/>
      </c>
      <c r="DG351" s="57">
        <f>IFERROR($Z352/$Z351-1,"")</f>
        <v/>
      </c>
      <c r="DH351" s="57">
        <f>IFERROR($AA352/$AA351-1,"")</f>
        <v/>
      </c>
      <c r="DI351" s="57">
        <f>IFERROR($AB352/$AB351-1,"")</f>
        <v/>
      </c>
      <c r="DJ351" s="57">
        <f>IFERROR($AC352/$AC351-1,"")</f>
        <v/>
      </c>
      <c r="DK351" s="57">
        <f>IFERROR($AD352/$AD351-1,"")</f>
        <v/>
      </c>
      <c r="DL351" s="57">
        <f>IFERROR($AE352/$AE351-1,"")</f>
        <v/>
      </c>
      <c r="DM351" s="56">
        <f>$AZ351-$AZ352</f>
        <v/>
      </c>
      <c r="DN351" s="56">
        <f>$BA351-$BA352</f>
        <v/>
      </c>
      <c r="DO351" s="56">
        <f>$BB351-$BB352</f>
        <v/>
      </c>
      <c r="DP351" s="56">
        <f>$BC351-$BC352</f>
        <v/>
      </c>
      <c r="DQ351" s="56">
        <f>$BD351-$BD352</f>
        <v/>
      </c>
      <c r="DR351" s="56">
        <f>$BE351-$BE352</f>
        <v/>
      </c>
      <c r="DS351" s="56">
        <f>$BF351-$BF352</f>
        <v/>
      </c>
      <c r="DT351" s="56">
        <f>$BG351-$BG352</f>
        <v/>
      </c>
      <c r="DU351" s="56">
        <f>$BH351-$BH352</f>
        <v/>
      </c>
      <c r="DV351" s="56">
        <f>$BI351-$BI352</f>
        <v/>
      </c>
      <c r="DW351" s="56">
        <f>$BJ351-$BJ352</f>
        <v/>
      </c>
      <c r="DX351" s="56">
        <f>$BK351-$BK352</f>
        <v/>
      </c>
      <c r="DY351" s="56">
        <f>$BL351-$BL352</f>
        <v/>
      </c>
      <c r="DZ351" s="56">
        <f>$BM351-$BM352</f>
        <v/>
      </c>
      <c r="EA351" s="56">
        <f>$BN351-$BN352</f>
        <v/>
      </c>
      <c r="EB351" s="56">
        <f>$BO351-$BO352</f>
        <v/>
      </c>
      <c r="EC351" s="56">
        <f>$BP351-$BP352</f>
        <v/>
      </c>
      <c r="ED351" s="56">
        <f>$BQ351-$BQ352</f>
        <v/>
      </c>
      <c r="EE351" s="56">
        <f>$BR351-$BR352</f>
        <v/>
      </c>
      <c r="EF351" s="56">
        <f>$BS351-$BS352</f>
        <v/>
      </c>
      <c r="EG351" s="56">
        <f>$BT351-$BT352</f>
        <v/>
      </c>
      <c r="EH351" s="56">
        <f>$BU351-$BU352</f>
        <v/>
      </c>
    </row>
    <row r="352">
      <c r="BV352" s="56">
        <f>($D352-$D353)*100</f>
        <v/>
      </c>
      <c r="BW352" s="56">
        <f>($C352-$C353)*100</f>
        <v/>
      </c>
      <c r="BX352" s="57">
        <f>IFERROR($I352/$I353-1,"")</f>
        <v/>
      </c>
      <c r="BY352" s="56">
        <f>($AF352-$AF353)*100</f>
        <v/>
      </c>
      <c r="BZ352" s="56">
        <f>($AG352-$AG353)*100</f>
        <v/>
      </c>
      <c r="CA352" s="56">
        <f>($AH352-$AH353)*100</f>
        <v/>
      </c>
      <c r="CB352" s="56">
        <f>($AI352-$AI353)*100</f>
        <v/>
      </c>
      <c r="CC352" s="56">
        <f>($AJ352-$AJ353)*100</f>
        <v/>
      </c>
      <c r="CD352" s="56">
        <f>($AK352-$AK353)*100</f>
        <v/>
      </c>
      <c r="CE352" s="56">
        <f>($AL352-$AL353)*100</f>
        <v/>
      </c>
      <c r="CF352" s="56">
        <f>($AM352-$AM353)*100</f>
        <v/>
      </c>
      <c r="CG352" s="56">
        <f>($AN352-$AN353)*100</f>
        <v/>
      </c>
      <c r="CH352" s="56">
        <f>($AO352-$AO353)*100</f>
        <v/>
      </c>
      <c r="CI352" s="56">
        <f>($AP352-$AP353)*100</f>
        <v/>
      </c>
      <c r="CJ352" s="56">
        <f>($AQ352-$AQ353)*100</f>
        <v/>
      </c>
      <c r="CK352" s="56">
        <f>($AR352-$AR353)*100</f>
        <v/>
      </c>
      <c r="CL352" s="56">
        <f>($AS352-$AS353)*100</f>
        <v/>
      </c>
      <c r="CM352" s="56">
        <f>($AT352-$AT353)*100</f>
        <v/>
      </c>
      <c r="CN352" s="56">
        <f>($AU352-$AU353)*100</f>
        <v/>
      </c>
      <c r="CO352" s="56">
        <f>($AV352-$AV353)*100</f>
        <v/>
      </c>
      <c r="CP352" s="56">
        <f>($AW352-$AW353)*100</f>
        <v/>
      </c>
      <c r="CQ352" s="56">
        <f>($AX352-$AX353)*100</f>
        <v/>
      </c>
      <c r="CR352" s="56">
        <f>($AY352-$AY353)*100</f>
        <v/>
      </c>
      <c r="CS352" s="57">
        <f>IFERROR($L353/$L352-1,"")</f>
        <v/>
      </c>
      <c r="CT352" s="57">
        <f>IFERROR($M353/$M352-1,"")</f>
        <v/>
      </c>
      <c r="CU352" s="57">
        <f>IFERROR($N353/$N352-1,"")</f>
        <v/>
      </c>
      <c r="CV352" s="57">
        <f>IFERROR($O353/$O352-1,"")</f>
        <v/>
      </c>
      <c r="CW352" s="57">
        <f>IFERROR($P353/$P352-1,"")</f>
        <v/>
      </c>
      <c r="CX352" s="57">
        <f>IFERROR($Q353/$Q352-1,"")</f>
        <v/>
      </c>
      <c r="CY352" s="57">
        <f>IFERROR($R353/$R352-1,"")</f>
        <v/>
      </c>
      <c r="CZ352" s="57">
        <f>IFERROR($S353/$S352-1,"")</f>
        <v/>
      </c>
      <c r="DA352" s="57">
        <f>IFERROR($T353/$T352-1,"")</f>
        <v/>
      </c>
      <c r="DB352" s="57">
        <f>IFERROR($U353/$U352-1,"")</f>
        <v/>
      </c>
      <c r="DC352" s="57">
        <f>IFERROR($V353/$V352-1,"")</f>
        <v/>
      </c>
      <c r="DD352" s="57">
        <f>IFERROR($W353/$W352-1,"")</f>
        <v/>
      </c>
      <c r="DE352" s="57">
        <f>IFERROR($X353/$X352-1,"")</f>
        <v/>
      </c>
      <c r="DF352" s="57">
        <f>IFERROR($Y353/$Y352-1,"")</f>
        <v/>
      </c>
      <c r="DG352" s="57">
        <f>IFERROR($Z353/$Z352-1,"")</f>
        <v/>
      </c>
      <c r="DH352" s="57">
        <f>IFERROR($AA353/$AA352-1,"")</f>
        <v/>
      </c>
      <c r="DI352" s="57">
        <f>IFERROR($AB353/$AB352-1,"")</f>
        <v/>
      </c>
      <c r="DJ352" s="57">
        <f>IFERROR($AC353/$AC352-1,"")</f>
        <v/>
      </c>
      <c r="DK352" s="57">
        <f>IFERROR($AD353/$AD352-1,"")</f>
        <v/>
      </c>
      <c r="DL352" s="57">
        <f>IFERROR($AE353/$AE352-1,"")</f>
        <v/>
      </c>
      <c r="DM352" s="56">
        <f>$AZ352-$AZ353</f>
        <v/>
      </c>
      <c r="DN352" s="56">
        <f>$BA352-$BA353</f>
        <v/>
      </c>
      <c r="DO352" s="56">
        <f>$BB352-$BB353</f>
        <v/>
      </c>
      <c r="DP352" s="56">
        <f>$BC352-$BC353</f>
        <v/>
      </c>
      <c r="DQ352" s="56">
        <f>$BD352-$BD353</f>
        <v/>
      </c>
      <c r="DR352" s="56">
        <f>$BE352-$BE353</f>
        <v/>
      </c>
      <c r="DS352" s="56">
        <f>$BF352-$BF353</f>
        <v/>
      </c>
      <c r="DT352" s="56">
        <f>$BG352-$BG353</f>
        <v/>
      </c>
      <c r="DU352" s="56">
        <f>$BH352-$BH353</f>
        <v/>
      </c>
      <c r="DV352" s="56">
        <f>$BI352-$BI353</f>
        <v/>
      </c>
      <c r="DW352" s="56">
        <f>$BJ352-$BJ353</f>
        <v/>
      </c>
      <c r="DX352" s="56">
        <f>$BK352-$BK353</f>
        <v/>
      </c>
      <c r="DY352" s="56">
        <f>$BL352-$BL353</f>
        <v/>
      </c>
      <c r="DZ352" s="56">
        <f>$BM352-$BM353</f>
        <v/>
      </c>
      <c r="EA352" s="56">
        <f>$BN352-$BN353</f>
        <v/>
      </c>
      <c r="EB352" s="56">
        <f>$BO352-$BO353</f>
        <v/>
      </c>
      <c r="EC352" s="56">
        <f>$BP352-$BP353</f>
        <v/>
      </c>
      <c r="ED352" s="56">
        <f>$BQ352-$BQ353</f>
        <v/>
      </c>
      <c r="EE352" s="56">
        <f>$BR352-$BR353</f>
        <v/>
      </c>
      <c r="EF352" s="56">
        <f>$BS352-$BS353</f>
        <v/>
      </c>
      <c r="EG352" s="56">
        <f>$BT352-$BT353</f>
        <v/>
      </c>
      <c r="EH352" s="56">
        <f>$BU352-$BU353</f>
        <v/>
      </c>
    </row>
    <row r="353">
      <c r="BV353" s="56">
        <f>($D353-$D354)*100</f>
        <v/>
      </c>
      <c r="BW353" s="56">
        <f>($C353-$C354)*100</f>
        <v/>
      </c>
      <c r="BX353" s="57">
        <f>IFERROR($I353/$I354-1,"")</f>
        <v/>
      </c>
      <c r="BY353" s="56">
        <f>($AF353-$AF354)*100</f>
        <v/>
      </c>
      <c r="BZ353" s="56">
        <f>($AG353-$AG354)*100</f>
        <v/>
      </c>
      <c r="CA353" s="56">
        <f>($AH353-$AH354)*100</f>
        <v/>
      </c>
      <c r="CB353" s="56">
        <f>($AI353-$AI354)*100</f>
        <v/>
      </c>
      <c r="CC353" s="56">
        <f>($AJ353-$AJ354)*100</f>
        <v/>
      </c>
      <c r="CD353" s="56">
        <f>($AK353-$AK354)*100</f>
        <v/>
      </c>
      <c r="CE353" s="56">
        <f>($AL353-$AL354)*100</f>
        <v/>
      </c>
      <c r="CF353" s="56">
        <f>($AM353-$AM354)*100</f>
        <v/>
      </c>
      <c r="CG353" s="56">
        <f>($AN353-$AN354)*100</f>
        <v/>
      </c>
      <c r="CH353" s="56">
        <f>($AO353-$AO354)*100</f>
        <v/>
      </c>
      <c r="CI353" s="56">
        <f>($AP353-$AP354)*100</f>
        <v/>
      </c>
      <c r="CJ353" s="56">
        <f>($AQ353-$AQ354)*100</f>
        <v/>
      </c>
      <c r="CK353" s="56">
        <f>($AR353-$AR354)*100</f>
        <v/>
      </c>
      <c r="CL353" s="56">
        <f>($AS353-$AS354)*100</f>
        <v/>
      </c>
      <c r="CM353" s="56">
        <f>($AT353-$AT354)*100</f>
        <v/>
      </c>
      <c r="CN353" s="56">
        <f>($AU353-$AU354)*100</f>
        <v/>
      </c>
      <c r="CO353" s="56">
        <f>($AV353-$AV354)*100</f>
        <v/>
      </c>
      <c r="CP353" s="56">
        <f>($AW353-$AW354)*100</f>
        <v/>
      </c>
      <c r="CQ353" s="56">
        <f>($AX353-$AX354)*100</f>
        <v/>
      </c>
      <c r="CR353" s="56">
        <f>($AY353-$AY354)*100</f>
        <v/>
      </c>
      <c r="CS353" s="57">
        <f>IFERROR($L354/$L353-1,"")</f>
        <v/>
      </c>
      <c r="CT353" s="57">
        <f>IFERROR($M354/$M353-1,"")</f>
        <v/>
      </c>
      <c r="CU353" s="57">
        <f>IFERROR($N354/$N353-1,"")</f>
        <v/>
      </c>
      <c r="CV353" s="57">
        <f>IFERROR($O354/$O353-1,"")</f>
        <v/>
      </c>
      <c r="CW353" s="57">
        <f>IFERROR($P354/$P353-1,"")</f>
        <v/>
      </c>
      <c r="CX353" s="57">
        <f>IFERROR($Q354/$Q353-1,"")</f>
        <v/>
      </c>
      <c r="CY353" s="57">
        <f>IFERROR($R354/$R353-1,"")</f>
        <v/>
      </c>
      <c r="CZ353" s="57">
        <f>IFERROR($S354/$S353-1,"")</f>
        <v/>
      </c>
      <c r="DA353" s="57">
        <f>IFERROR($T354/$T353-1,"")</f>
        <v/>
      </c>
      <c r="DB353" s="57">
        <f>IFERROR($U354/$U353-1,"")</f>
        <v/>
      </c>
      <c r="DC353" s="57">
        <f>IFERROR($V354/$V353-1,"")</f>
        <v/>
      </c>
      <c r="DD353" s="57">
        <f>IFERROR($W354/$W353-1,"")</f>
        <v/>
      </c>
      <c r="DE353" s="57">
        <f>IFERROR($X354/$X353-1,"")</f>
        <v/>
      </c>
      <c r="DF353" s="57">
        <f>IFERROR($Y354/$Y353-1,"")</f>
        <v/>
      </c>
      <c r="DG353" s="57">
        <f>IFERROR($Z354/$Z353-1,"")</f>
        <v/>
      </c>
      <c r="DH353" s="57">
        <f>IFERROR($AA354/$AA353-1,"")</f>
        <v/>
      </c>
      <c r="DI353" s="57">
        <f>IFERROR($AB354/$AB353-1,"")</f>
        <v/>
      </c>
      <c r="DJ353" s="57">
        <f>IFERROR($AC354/$AC353-1,"")</f>
        <v/>
      </c>
      <c r="DK353" s="57">
        <f>IFERROR($AD354/$AD353-1,"")</f>
        <v/>
      </c>
      <c r="DL353" s="57">
        <f>IFERROR($AE354/$AE353-1,"")</f>
        <v/>
      </c>
      <c r="DM353" s="56">
        <f>$AZ353-$AZ354</f>
        <v/>
      </c>
      <c r="DN353" s="56">
        <f>$BA353-$BA354</f>
        <v/>
      </c>
      <c r="DO353" s="56">
        <f>$BB353-$BB354</f>
        <v/>
      </c>
      <c r="DP353" s="56">
        <f>$BC353-$BC354</f>
        <v/>
      </c>
      <c r="DQ353" s="56">
        <f>$BD353-$BD354</f>
        <v/>
      </c>
      <c r="DR353" s="56">
        <f>$BE353-$BE354</f>
        <v/>
      </c>
      <c r="DS353" s="56">
        <f>$BF353-$BF354</f>
        <v/>
      </c>
      <c r="DT353" s="56">
        <f>$BG353-$BG354</f>
        <v/>
      </c>
      <c r="DU353" s="56">
        <f>$BH353-$BH354</f>
        <v/>
      </c>
      <c r="DV353" s="56">
        <f>$BI353-$BI354</f>
        <v/>
      </c>
      <c r="DW353" s="56">
        <f>$BJ353-$BJ354</f>
        <v/>
      </c>
      <c r="DX353" s="56">
        <f>$BK353-$BK354</f>
        <v/>
      </c>
      <c r="DY353" s="56">
        <f>$BL353-$BL354</f>
        <v/>
      </c>
      <c r="DZ353" s="56">
        <f>$BM353-$BM354</f>
        <v/>
      </c>
      <c r="EA353" s="56">
        <f>$BN353-$BN354</f>
        <v/>
      </c>
      <c r="EB353" s="56">
        <f>$BO353-$BO354</f>
        <v/>
      </c>
      <c r="EC353" s="56">
        <f>$BP353-$BP354</f>
        <v/>
      </c>
      <c r="ED353" s="56">
        <f>$BQ353-$BQ354</f>
        <v/>
      </c>
      <c r="EE353" s="56">
        <f>$BR353-$BR354</f>
        <v/>
      </c>
      <c r="EF353" s="56">
        <f>$BS353-$BS354</f>
        <v/>
      </c>
      <c r="EG353" s="56">
        <f>$BT353-$BT354</f>
        <v/>
      </c>
      <c r="EH353" s="56">
        <f>$BU353-$BU354</f>
        <v/>
      </c>
    </row>
    <row r="354">
      <c r="BV354" s="56">
        <f>($D354-$D355)*100</f>
        <v/>
      </c>
      <c r="BW354" s="56">
        <f>($C354-$C355)*100</f>
        <v/>
      </c>
      <c r="BX354" s="57">
        <f>IFERROR($I354/$I355-1,"")</f>
        <v/>
      </c>
      <c r="BY354" s="56">
        <f>($AF354-$AF355)*100</f>
        <v/>
      </c>
      <c r="BZ354" s="56">
        <f>($AG354-$AG355)*100</f>
        <v/>
      </c>
      <c r="CA354" s="56">
        <f>($AH354-$AH355)*100</f>
        <v/>
      </c>
      <c r="CB354" s="56">
        <f>($AI354-$AI355)*100</f>
        <v/>
      </c>
      <c r="CC354" s="56">
        <f>($AJ354-$AJ355)*100</f>
        <v/>
      </c>
      <c r="CD354" s="56">
        <f>($AK354-$AK355)*100</f>
        <v/>
      </c>
      <c r="CE354" s="56">
        <f>($AL354-$AL355)*100</f>
        <v/>
      </c>
      <c r="CF354" s="56">
        <f>($AM354-$AM355)*100</f>
        <v/>
      </c>
      <c r="CG354" s="56">
        <f>($AN354-$AN355)*100</f>
        <v/>
      </c>
      <c r="CH354" s="56">
        <f>($AO354-$AO355)*100</f>
        <v/>
      </c>
      <c r="CI354" s="56">
        <f>($AP354-$AP355)*100</f>
        <v/>
      </c>
      <c r="CJ354" s="56">
        <f>($AQ354-$AQ355)*100</f>
        <v/>
      </c>
      <c r="CK354" s="56">
        <f>($AR354-$AR355)*100</f>
        <v/>
      </c>
      <c r="CL354" s="56">
        <f>($AS354-$AS355)*100</f>
        <v/>
      </c>
      <c r="CM354" s="56">
        <f>($AT354-$AT355)*100</f>
        <v/>
      </c>
      <c r="CN354" s="56">
        <f>($AU354-$AU355)*100</f>
        <v/>
      </c>
      <c r="CO354" s="56">
        <f>($AV354-$AV355)*100</f>
        <v/>
      </c>
      <c r="CP354" s="56">
        <f>($AW354-$AW355)*100</f>
        <v/>
      </c>
      <c r="CQ354" s="56">
        <f>($AX354-$AX355)*100</f>
        <v/>
      </c>
      <c r="CR354" s="56">
        <f>($AY354-$AY355)*100</f>
        <v/>
      </c>
      <c r="CS354" s="57">
        <f>IFERROR($L355/$L354-1,"")</f>
        <v/>
      </c>
      <c r="CT354" s="57">
        <f>IFERROR($M355/$M354-1,"")</f>
        <v/>
      </c>
      <c r="CU354" s="57">
        <f>IFERROR($N355/$N354-1,"")</f>
        <v/>
      </c>
      <c r="CV354" s="57">
        <f>IFERROR($O355/$O354-1,"")</f>
        <v/>
      </c>
      <c r="CW354" s="57">
        <f>IFERROR($P355/$P354-1,"")</f>
        <v/>
      </c>
      <c r="CX354" s="57">
        <f>IFERROR($Q355/$Q354-1,"")</f>
        <v/>
      </c>
      <c r="CY354" s="57">
        <f>IFERROR($R355/$R354-1,"")</f>
        <v/>
      </c>
      <c r="CZ354" s="57">
        <f>IFERROR($S355/$S354-1,"")</f>
        <v/>
      </c>
      <c r="DA354" s="57">
        <f>IFERROR($T355/$T354-1,"")</f>
        <v/>
      </c>
      <c r="DB354" s="57">
        <f>IFERROR($U355/$U354-1,"")</f>
        <v/>
      </c>
      <c r="DC354" s="57">
        <f>IFERROR($V355/$V354-1,"")</f>
        <v/>
      </c>
      <c r="DD354" s="57">
        <f>IFERROR($W355/$W354-1,"")</f>
        <v/>
      </c>
      <c r="DE354" s="57">
        <f>IFERROR($X355/$X354-1,"")</f>
        <v/>
      </c>
      <c r="DF354" s="57">
        <f>IFERROR($Y355/$Y354-1,"")</f>
        <v/>
      </c>
      <c r="DG354" s="57">
        <f>IFERROR($Z355/$Z354-1,"")</f>
        <v/>
      </c>
      <c r="DH354" s="57">
        <f>IFERROR($AA355/$AA354-1,"")</f>
        <v/>
      </c>
      <c r="DI354" s="57">
        <f>IFERROR($AB355/$AB354-1,"")</f>
        <v/>
      </c>
      <c r="DJ354" s="57">
        <f>IFERROR($AC355/$AC354-1,"")</f>
        <v/>
      </c>
      <c r="DK354" s="57">
        <f>IFERROR($AD355/$AD354-1,"")</f>
        <v/>
      </c>
      <c r="DL354" s="57">
        <f>IFERROR($AE355/$AE354-1,"")</f>
        <v/>
      </c>
      <c r="DM354" s="56">
        <f>$AZ354-$AZ355</f>
        <v/>
      </c>
      <c r="DN354" s="56">
        <f>$BA354-$BA355</f>
        <v/>
      </c>
      <c r="DO354" s="56">
        <f>$BB354-$BB355</f>
        <v/>
      </c>
      <c r="DP354" s="56">
        <f>$BC354-$BC355</f>
        <v/>
      </c>
      <c r="DQ354" s="56">
        <f>$BD354-$BD355</f>
        <v/>
      </c>
      <c r="DR354" s="56">
        <f>$BE354-$BE355</f>
        <v/>
      </c>
      <c r="DS354" s="56">
        <f>$BF354-$BF355</f>
        <v/>
      </c>
      <c r="DT354" s="56">
        <f>$BG354-$BG355</f>
        <v/>
      </c>
      <c r="DU354" s="56">
        <f>$BH354-$BH355</f>
        <v/>
      </c>
      <c r="DV354" s="56">
        <f>$BI354-$BI355</f>
        <v/>
      </c>
      <c r="DW354" s="56">
        <f>$BJ354-$BJ355</f>
        <v/>
      </c>
      <c r="DX354" s="56">
        <f>$BK354-$BK355</f>
        <v/>
      </c>
      <c r="DY354" s="56">
        <f>$BL354-$BL355</f>
        <v/>
      </c>
      <c r="DZ354" s="56">
        <f>$BM354-$BM355</f>
        <v/>
      </c>
      <c r="EA354" s="56">
        <f>$BN354-$BN355</f>
        <v/>
      </c>
      <c r="EB354" s="56">
        <f>$BO354-$BO355</f>
        <v/>
      </c>
      <c r="EC354" s="56">
        <f>$BP354-$BP355</f>
        <v/>
      </c>
      <c r="ED354" s="56">
        <f>$BQ354-$BQ355</f>
        <v/>
      </c>
      <c r="EE354" s="56">
        <f>$BR354-$BR355</f>
        <v/>
      </c>
      <c r="EF354" s="56">
        <f>$BS354-$BS355</f>
        <v/>
      </c>
      <c r="EG354" s="56">
        <f>$BT354-$BT355</f>
        <v/>
      </c>
      <c r="EH354" s="56">
        <f>$BU354-$BU355</f>
        <v/>
      </c>
    </row>
    <row r="355">
      <c r="BV355" s="56">
        <f>($D355-$D356)*100</f>
        <v/>
      </c>
      <c r="BW355" s="56">
        <f>($C355-$C356)*100</f>
        <v/>
      </c>
      <c r="BX355" s="57">
        <f>IFERROR($I355/$I356-1,"")</f>
        <v/>
      </c>
      <c r="BY355" s="56">
        <f>($AF355-$AF356)*100</f>
        <v/>
      </c>
      <c r="BZ355" s="56">
        <f>($AG355-$AG356)*100</f>
        <v/>
      </c>
      <c r="CA355" s="56">
        <f>($AH355-$AH356)*100</f>
        <v/>
      </c>
      <c r="CB355" s="56">
        <f>($AI355-$AI356)*100</f>
        <v/>
      </c>
      <c r="CC355" s="56">
        <f>($AJ355-$AJ356)*100</f>
        <v/>
      </c>
      <c r="CD355" s="56">
        <f>($AK355-$AK356)*100</f>
        <v/>
      </c>
      <c r="CE355" s="56">
        <f>($AL355-$AL356)*100</f>
        <v/>
      </c>
      <c r="CF355" s="56">
        <f>($AM355-$AM356)*100</f>
        <v/>
      </c>
      <c r="CG355" s="56">
        <f>($AN355-$AN356)*100</f>
        <v/>
      </c>
      <c r="CH355" s="56">
        <f>($AO355-$AO356)*100</f>
        <v/>
      </c>
      <c r="CI355" s="56">
        <f>($AP355-$AP356)*100</f>
        <v/>
      </c>
      <c r="CJ355" s="56">
        <f>($AQ355-$AQ356)*100</f>
        <v/>
      </c>
      <c r="CK355" s="56">
        <f>($AR355-$AR356)*100</f>
        <v/>
      </c>
      <c r="CL355" s="56">
        <f>($AS355-$AS356)*100</f>
        <v/>
      </c>
      <c r="CM355" s="56">
        <f>($AT355-$AT356)*100</f>
        <v/>
      </c>
      <c r="CN355" s="56">
        <f>($AU355-$AU356)*100</f>
        <v/>
      </c>
      <c r="CO355" s="56">
        <f>($AV355-$AV356)*100</f>
        <v/>
      </c>
      <c r="CP355" s="56">
        <f>($AW355-$AW356)*100</f>
        <v/>
      </c>
      <c r="CQ355" s="56">
        <f>($AX355-$AX356)*100</f>
        <v/>
      </c>
      <c r="CR355" s="56">
        <f>($AY355-$AY356)*100</f>
        <v/>
      </c>
      <c r="CS355" s="57">
        <f>IFERROR($L356/$L355-1,"")</f>
        <v/>
      </c>
      <c r="CT355" s="57">
        <f>IFERROR($M356/$M355-1,"")</f>
        <v/>
      </c>
      <c r="CU355" s="57">
        <f>IFERROR($N356/$N355-1,"")</f>
        <v/>
      </c>
      <c r="CV355" s="57">
        <f>IFERROR($O356/$O355-1,"")</f>
        <v/>
      </c>
      <c r="CW355" s="57">
        <f>IFERROR($P356/$P355-1,"")</f>
        <v/>
      </c>
      <c r="CX355" s="57">
        <f>IFERROR($Q356/$Q355-1,"")</f>
        <v/>
      </c>
      <c r="CY355" s="57">
        <f>IFERROR($R356/$R355-1,"")</f>
        <v/>
      </c>
      <c r="CZ355" s="57">
        <f>IFERROR($S356/$S355-1,"")</f>
        <v/>
      </c>
      <c r="DA355" s="57">
        <f>IFERROR($T356/$T355-1,"")</f>
        <v/>
      </c>
      <c r="DB355" s="57">
        <f>IFERROR($U356/$U355-1,"")</f>
        <v/>
      </c>
      <c r="DC355" s="57">
        <f>IFERROR($V356/$V355-1,"")</f>
        <v/>
      </c>
      <c r="DD355" s="57">
        <f>IFERROR($W356/$W355-1,"")</f>
        <v/>
      </c>
      <c r="DE355" s="57">
        <f>IFERROR($X356/$X355-1,"")</f>
        <v/>
      </c>
      <c r="DF355" s="57">
        <f>IFERROR($Y356/$Y355-1,"")</f>
        <v/>
      </c>
      <c r="DG355" s="57">
        <f>IFERROR($Z356/$Z355-1,"")</f>
        <v/>
      </c>
      <c r="DH355" s="57">
        <f>IFERROR($AA356/$AA355-1,"")</f>
        <v/>
      </c>
      <c r="DI355" s="57">
        <f>IFERROR($AB356/$AB355-1,"")</f>
        <v/>
      </c>
      <c r="DJ355" s="57">
        <f>IFERROR($AC356/$AC355-1,"")</f>
        <v/>
      </c>
      <c r="DK355" s="57">
        <f>IFERROR($AD356/$AD355-1,"")</f>
        <v/>
      </c>
      <c r="DL355" s="57">
        <f>IFERROR($AE356/$AE355-1,"")</f>
        <v/>
      </c>
      <c r="DM355" s="56">
        <f>$AZ355-$AZ356</f>
        <v/>
      </c>
      <c r="DN355" s="56">
        <f>$BA355-$BA356</f>
        <v/>
      </c>
      <c r="DO355" s="56">
        <f>$BB355-$BB356</f>
        <v/>
      </c>
      <c r="DP355" s="56">
        <f>$BC355-$BC356</f>
        <v/>
      </c>
      <c r="DQ355" s="56">
        <f>$BD355-$BD356</f>
        <v/>
      </c>
      <c r="DR355" s="56">
        <f>$BE355-$BE356</f>
        <v/>
      </c>
      <c r="DS355" s="56">
        <f>$BF355-$BF356</f>
        <v/>
      </c>
      <c r="DT355" s="56">
        <f>$BG355-$BG356</f>
        <v/>
      </c>
      <c r="DU355" s="56">
        <f>$BH355-$BH356</f>
        <v/>
      </c>
      <c r="DV355" s="56">
        <f>$BI355-$BI356</f>
        <v/>
      </c>
      <c r="DW355" s="56">
        <f>$BJ355-$BJ356</f>
        <v/>
      </c>
      <c r="DX355" s="56">
        <f>$BK355-$BK356</f>
        <v/>
      </c>
      <c r="DY355" s="56">
        <f>$BL355-$BL356</f>
        <v/>
      </c>
      <c r="DZ355" s="56">
        <f>$BM355-$BM356</f>
        <v/>
      </c>
      <c r="EA355" s="56">
        <f>$BN355-$BN356</f>
        <v/>
      </c>
      <c r="EB355" s="56">
        <f>$BO355-$BO356</f>
        <v/>
      </c>
      <c r="EC355" s="56">
        <f>$BP355-$BP356</f>
        <v/>
      </c>
      <c r="ED355" s="56">
        <f>$BQ355-$BQ356</f>
        <v/>
      </c>
      <c r="EE355" s="56">
        <f>$BR355-$BR356</f>
        <v/>
      </c>
      <c r="EF355" s="56">
        <f>$BS355-$BS356</f>
        <v/>
      </c>
      <c r="EG355" s="56">
        <f>$BT355-$BT356</f>
        <v/>
      </c>
      <c r="EH355" s="56">
        <f>$BU355-$BU356</f>
        <v/>
      </c>
    </row>
    <row r="356">
      <c r="BV356" s="56">
        <f>($D356-$D357)*100</f>
        <v/>
      </c>
      <c r="BW356" s="56">
        <f>($C356-$C357)*100</f>
        <v/>
      </c>
      <c r="BX356" s="57">
        <f>IFERROR($I356/$I357-1,"")</f>
        <v/>
      </c>
      <c r="BY356" s="56">
        <f>($AF356-$AF357)*100</f>
        <v/>
      </c>
      <c r="BZ356" s="56">
        <f>($AG356-$AG357)*100</f>
        <v/>
      </c>
      <c r="CA356" s="56">
        <f>($AH356-$AH357)*100</f>
        <v/>
      </c>
      <c r="CB356" s="56">
        <f>($AI356-$AI357)*100</f>
        <v/>
      </c>
      <c r="CC356" s="56">
        <f>($AJ356-$AJ357)*100</f>
        <v/>
      </c>
      <c r="CD356" s="56">
        <f>($AK356-$AK357)*100</f>
        <v/>
      </c>
      <c r="CE356" s="56">
        <f>($AL356-$AL357)*100</f>
        <v/>
      </c>
      <c r="CF356" s="56">
        <f>($AM356-$AM357)*100</f>
        <v/>
      </c>
      <c r="CG356" s="56">
        <f>($AN356-$AN357)*100</f>
        <v/>
      </c>
      <c r="CH356" s="56">
        <f>($AO356-$AO357)*100</f>
        <v/>
      </c>
      <c r="CI356" s="56">
        <f>($AP356-$AP357)*100</f>
        <v/>
      </c>
      <c r="CJ356" s="56">
        <f>($AQ356-$AQ357)*100</f>
        <v/>
      </c>
      <c r="CK356" s="56">
        <f>($AR356-$AR357)*100</f>
        <v/>
      </c>
      <c r="CL356" s="56">
        <f>($AS356-$AS357)*100</f>
        <v/>
      </c>
      <c r="CM356" s="56">
        <f>($AT356-$AT357)*100</f>
        <v/>
      </c>
      <c r="CN356" s="56">
        <f>($AU356-$AU357)*100</f>
        <v/>
      </c>
      <c r="CO356" s="56">
        <f>($AV356-$AV357)*100</f>
        <v/>
      </c>
      <c r="CP356" s="56">
        <f>($AW356-$AW357)*100</f>
        <v/>
      </c>
      <c r="CQ356" s="56">
        <f>($AX356-$AX357)*100</f>
        <v/>
      </c>
      <c r="CR356" s="56">
        <f>($AY356-$AY357)*100</f>
        <v/>
      </c>
      <c r="CS356" s="57">
        <f>IFERROR($L357/$L356-1,"")</f>
        <v/>
      </c>
      <c r="CT356" s="57">
        <f>IFERROR($M357/$M356-1,"")</f>
        <v/>
      </c>
      <c r="CU356" s="57">
        <f>IFERROR($N357/$N356-1,"")</f>
        <v/>
      </c>
      <c r="CV356" s="57">
        <f>IFERROR($O357/$O356-1,"")</f>
        <v/>
      </c>
      <c r="CW356" s="57">
        <f>IFERROR($P357/$P356-1,"")</f>
        <v/>
      </c>
      <c r="CX356" s="57">
        <f>IFERROR($Q357/$Q356-1,"")</f>
        <v/>
      </c>
      <c r="CY356" s="57">
        <f>IFERROR($R357/$R356-1,"")</f>
        <v/>
      </c>
      <c r="CZ356" s="57">
        <f>IFERROR($S357/$S356-1,"")</f>
        <v/>
      </c>
      <c r="DA356" s="57">
        <f>IFERROR($T357/$T356-1,"")</f>
        <v/>
      </c>
      <c r="DB356" s="57">
        <f>IFERROR($U357/$U356-1,"")</f>
        <v/>
      </c>
      <c r="DC356" s="57">
        <f>IFERROR($V357/$V356-1,"")</f>
        <v/>
      </c>
      <c r="DD356" s="57">
        <f>IFERROR($W357/$W356-1,"")</f>
        <v/>
      </c>
      <c r="DE356" s="57">
        <f>IFERROR($X357/$X356-1,"")</f>
        <v/>
      </c>
      <c r="DF356" s="57">
        <f>IFERROR($Y357/$Y356-1,"")</f>
        <v/>
      </c>
      <c r="DG356" s="57">
        <f>IFERROR($Z357/$Z356-1,"")</f>
        <v/>
      </c>
      <c r="DH356" s="57">
        <f>IFERROR($AA357/$AA356-1,"")</f>
        <v/>
      </c>
      <c r="DI356" s="57">
        <f>IFERROR($AB357/$AB356-1,"")</f>
        <v/>
      </c>
      <c r="DJ356" s="57">
        <f>IFERROR($AC357/$AC356-1,"")</f>
        <v/>
      </c>
      <c r="DK356" s="57">
        <f>IFERROR($AD357/$AD356-1,"")</f>
        <v/>
      </c>
      <c r="DL356" s="57">
        <f>IFERROR($AE357/$AE356-1,"")</f>
        <v/>
      </c>
      <c r="DM356" s="56">
        <f>$AZ356-$AZ357</f>
        <v/>
      </c>
      <c r="DN356" s="56">
        <f>$BA356-$BA357</f>
        <v/>
      </c>
      <c r="DO356" s="56">
        <f>$BB356-$BB357</f>
        <v/>
      </c>
      <c r="DP356" s="56">
        <f>$BC356-$BC357</f>
        <v/>
      </c>
      <c r="DQ356" s="56">
        <f>$BD356-$BD357</f>
        <v/>
      </c>
      <c r="DR356" s="56">
        <f>$BE356-$BE357</f>
        <v/>
      </c>
      <c r="DS356" s="56">
        <f>$BF356-$BF357</f>
        <v/>
      </c>
      <c r="DT356" s="56">
        <f>$BG356-$BG357</f>
        <v/>
      </c>
      <c r="DU356" s="56">
        <f>$BH356-$BH357</f>
        <v/>
      </c>
      <c r="DV356" s="56">
        <f>$BI356-$BI357</f>
        <v/>
      </c>
      <c r="DW356" s="56">
        <f>$BJ356-$BJ357</f>
        <v/>
      </c>
      <c r="DX356" s="56">
        <f>$BK356-$BK357</f>
        <v/>
      </c>
      <c r="DY356" s="56">
        <f>$BL356-$BL357</f>
        <v/>
      </c>
      <c r="DZ356" s="56">
        <f>$BM356-$BM357</f>
        <v/>
      </c>
      <c r="EA356" s="56">
        <f>$BN356-$BN357</f>
        <v/>
      </c>
      <c r="EB356" s="56">
        <f>$BO356-$BO357</f>
        <v/>
      </c>
      <c r="EC356" s="56">
        <f>$BP356-$BP357</f>
        <v/>
      </c>
      <c r="ED356" s="56">
        <f>$BQ356-$BQ357</f>
        <v/>
      </c>
      <c r="EE356" s="56">
        <f>$BR356-$BR357</f>
        <v/>
      </c>
      <c r="EF356" s="56">
        <f>$BS356-$BS357</f>
        <v/>
      </c>
      <c r="EG356" s="56">
        <f>$BT356-$BT357</f>
        <v/>
      </c>
      <c r="EH356" s="56">
        <f>$BU356-$BU357</f>
        <v/>
      </c>
    </row>
    <row r="357">
      <c r="BV357" s="56">
        <f>($D357-$D358)*100</f>
        <v/>
      </c>
      <c r="BW357" s="56">
        <f>($C357-$C358)*100</f>
        <v/>
      </c>
      <c r="BX357" s="57">
        <f>IFERROR($I357/$I358-1,"")</f>
        <v/>
      </c>
      <c r="BY357" s="56">
        <f>($AF357-$AF358)*100</f>
        <v/>
      </c>
      <c r="BZ357" s="56">
        <f>($AG357-$AG358)*100</f>
        <v/>
      </c>
      <c r="CA357" s="56">
        <f>($AH357-$AH358)*100</f>
        <v/>
      </c>
      <c r="CB357" s="56">
        <f>($AI357-$AI358)*100</f>
        <v/>
      </c>
      <c r="CC357" s="56">
        <f>($AJ357-$AJ358)*100</f>
        <v/>
      </c>
      <c r="CD357" s="56">
        <f>($AK357-$AK358)*100</f>
        <v/>
      </c>
      <c r="CE357" s="56">
        <f>($AL357-$AL358)*100</f>
        <v/>
      </c>
      <c r="CF357" s="56">
        <f>($AM357-$AM358)*100</f>
        <v/>
      </c>
      <c r="CG357" s="56">
        <f>($AN357-$AN358)*100</f>
        <v/>
      </c>
      <c r="CH357" s="56">
        <f>($AO357-$AO358)*100</f>
        <v/>
      </c>
      <c r="CI357" s="56">
        <f>($AP357-$AP358)*100</f>
        <v/>
      </c>
      <c r="CJ357" s="56">
        <f>($AQ357-$AQ358)*100</f>
        <v/>
      </c>
      <c r="CK357" s="56">
        <f>($AR357-$AR358)*100</f>
        <v/>
      </c>
      <c r="CL357" s="56">
        <f>($AS357-$AS358)*100</f>
        <v/>
      </c>
      <c r="CM357" s="56">
        <f>($AT357-$AT358)*100</f>
        <v/>
      </c>
      <c r="CN357" s="56">
        <f>($AU357-$AU358)*100</f>
        <v/>
      </c>
      <c r="CO357" s="56">
        <f>($AV357-$AV358)*100</f>
        <v/>
      </c>
      <c r="CP357" s="56">
        <f>($AW357-$AW358)*100</f>
        <v/>
      </c>
      <c r="CQ357" s="56">
        <f>($AX357-$AX358)*100</f>
        <v/>
      </c>
      <c r="CR357" s="56">
        <f>($AY357-$AY358)*100</f>
        <v/>
      </c>
      <c r="CS357" s="57">
        <f>IFERROR($L358/$L357-1,"")</f>
        <v/>
      </c>
      <c r="CT357" s="57">
        <f>IFERROR($M358/$M357-1,"")</f>
        <v/>
      </c>
      <c r="CU357" s="57">
        <f>IFERROR($N358/$N357-1,"")</f>
        <v/>
      </c>
      <c r="CV357" s="57">
        <f>IFERROR($O358/$O357-1,"")</f>
        <v/>
      </c>
      <c r="CW357" s="57">
        <f>IFERROR($P358/$P357-1,"")</f>
        <v/>
      </c>
      <c r="CX357" s="57">
        <f>IFERROR($Q358/$Q357-1,"")</f>
        <v/>
      </c>
      <c r="CY357" s="57">
        <f>IFERROR($R358/$R357-1,"")</f>
        <v/>
      </c>
      <c r="CZ357" s="57">
        <f>IFERROR($S358/$S357-1,"")</f>
        <v/>
      </c>
      <c r="DA357" s="57">
        <f>IFERROR($T358/$T357-1,"")</f>
        <v/>
      </c>
      <c r="DB357" s="57">
        <f>IFERROR($U358/$U357-1,"")</f>
        <v/>
      </c>
      <c r="DC357" s="57">
        <f>IFERROR($V358/$V357-1,"")</f>
        <v/>
      </c>
      <c r="DD357" s="57">
        <f>IFERROR($W358/$W357-1,"")</f>
        <v/>
      </c>
      <c r="DE357" s="57">
        <f>IFERROR($X358/$X357-1,"")</f>
        <v/>
      </c>
      <c r="DF357" s="57">
        <f>IFERROR($Y358/$Y357-1,"")</f>
        <v/>
      </c>
      <c r="DG357" s="57">
        <f>IFERROR($Z358/$Z357-1,"")</f>
        <v/>
      </c>
      <c r="DH357" s="57">
        <f>IFERROR($AA358/$AA357-1,"")</f>
        <v/>
      </c>
      <c r="DI357" s="57">
        <f>IFERROR($AB358/$AB357-1,"")</f>
        <v/>
      </c>
      <c r="DJ357" s="57">
        <f>IFERROR($AC358/$AC357-1,"")</f>
        <v/>
      </c>
      <c r="DK357" s="57">
        <f>IFERROR($AD358/$AD357-1,"")</f>
        <v/>
      </c>
      <c r="DL357" s="57">
        <f>IFERROR($AE358/$AE357-1,"")</f>
        <v/>
      </c>
      <c r="DM357" s="56">
        <f>$AZ357-$AZ358</f>
        <v/>
      </c>
      <c r="DN357" s="56">
        <f>$BA357-$BA358</f>
        <v/>
      </c>
      <c r="DO357" s="56">
        <f>$BB357-$BB358</f>
        <v/>
      </c>
      <c r="DP357" s="56">
        <f>$BC357-$BC358</f>
        <v/>
      </c>
      <c r="DQ357" s="56">
        <f>$BD357-$BD358</f>
        <v/>
      </c>
      <c r="DR357" s="56">
        <f>$BE357-$BE358</f>
        <v/>
      </c>
      <c r="DS357" s="56">
        <f>$BF357-$BF358</f>
        <v/>
      </c>
      <c r="DT357" s="56">
        <f>$BG357-$BG358</f>
        <v/>
      </c>
      <c r="DU357" s="56">
        <f>$BH357-$BH358</f>
        <v/>
      </c>
      <c r="DV357" s="56">
        <f>$BI357-$BI358</f>
        <v/>
      </c>
      <c r="DW357" s="56">
        <f>$BJ357-$BJ358</f>
        <v/>
      </c>
      <c r="DX357" s="56">
        <f>$BK357-$BK358</f>
        <v/>
      </c>
      <c r="DY357" s="56">
        <f>$BL357-$BL358</f>
        <v/>
      </c>
      <c r="DZ357" s="56">
        <f>$BM357-$BM358</f>
        <v/>
      </c>
      <c r="EA357" s="56">
        <f>$BN357-$BN358</f>
        <v/>
      </c>
      <c r="EB357" s="56">
        <f>$BO357-$BO358</f>
        <v/>
      </c>
      <c r="EC357" s="56">
        <f>$BP357-$BP358</f>
        <v/>
      </c>
      <c r="ED357" s="56">
        <f>$BQ357-$BQ358</f>
        <v/>
      </c>
      <c r="EE357" s="56">
        <f>$BR357-$BR358</f>
        <v/>
      </c>
      <c r="EF357" s="56">
        <f>$BS357-$BS358</f>
        <v/>
      </c>
      <c r="EG357" s="56">
        <f>$BT357-$BT358</f>
        <v/>
      </c>
      <c r="EH357" s="56">
        <f>$BU357-$BU358</f>
        <v/>
      </c>
    </row>
    <row r="358">
      <c r="BV358" s="56">
        <f>($D358-$D359)*100</f>
        <v/>
      </c>
      <c r="BW358" s="56">
        <f>($C358-$C359)*100</f>
        <v/>
      </c>
      <c r="BX358" s="57">
        <f>IFERROR($I358/$I359-1,"")</f>
        <v/>
      </c>
      <c r="BY358" s="56">
        <f>($AF358-$AF359)*100</f>
        <v/>
      </c>
      <c r="BZ358" s="56">
        <f>($AG358-$AG359)*100</f>
        <v/>
      </c>
      <c r="CA358" s="56">
        <f>($AH358-$AH359)*100</f>
        <v/>
      </c>
      <c r="CB358" s="56">
        <f>($AI358-$AI359)*100</f>
        <v/>
      </c>
      <c r="CC358" s="56">
        <f>($AJ358-$AJ359)*100</f>
        <v/>
      </c>
      <c r="CD358" s="56">
        <f>($AK358-$AK359)*100</f>
        <v/>
      </c>
      <c r="CE358" s="56">
        <f>($AL358-$AL359)*100</f>
        <v/>
      </c>
      <c r="CF358" s="56">
        <f>($AM358-$AM359)*100</f>
        <v/>
      </c>
      <c r="CG358" s="56">
        <f>($AN358-$AN359)*100</f>
        <v/>
      </c>
      <c r="CH358" s="56">
        <f>($AO358-$AO359)*100</f>
        <v/>
      </c>
      <c r="CI358" s="56">
        <f>($AP358-$AP359)*100</f>
        <v/>
      </c>
      <c r="CJ358" s="56">
        <f>($AQ358-$AQ359)*100</f>
        <v/>
      </c>
      <c r="CK358" s="56">
        <f>($AR358-$AR359)*100</f>
        <v/>
      </c>
      <c r="CL358" s="56">
        <f>($AS358-$AS359)*100</f>
        <v/>
      </c>
      <c r="CM358" s="56">
        <f>($AT358-$AT359)*100</f>
        <v/>
      </c>
      <c r="CN358" s="56">
        <f>($AU358-$AU359)*100</f>
        <v/>
      </c>
      <c r="CO358" s="56">
        <f>($AV358-$AV359)*100</f>
        <v/>
      </c>
      <c r="CP358" s="56">
        <f>($AW358-$AW359)*100</f>
        <v/>
      </c>
      <c r="CQ358" s="56">
        <f>($AX358-$AX359)*100</f>
        <v/>
      </c>
      <c r="CR358" s="56">
        <f>($AY358-$AY359)*100</f>
        <v/>
      </c>
      <c r="CS358" s="57">
        <f>IFERROR($L359/$L358-1,"")</f>
        <v/>
      </c>
      <c r="CT358" s="57">
        <f>IFERROR($M359/$M358-1,"")</f>
        <v/>
      </c>
      <c r="CU358" s="57">
        <f>IFERROR($N359/$N358-1,"")</f>
        <v/>
      </c>
      <c r="CV358" s="57">
        <f>IFERROR($O359/$O358-1,"")</f>
        <v/>
      </c>
      <c r="CW358" s="57">
        <f>IFERROR($P359/$P358-1,"")</f>
        <v/>
      </c>
      <c r="CX358" s="57">
        <f>IFERROR($Q359/$Q358-1,"")</f>
        <v/>
      </c>
      <c r="CY358" s="57">
        <f>IFERROR($R359/$R358-1,"")</f>
        <v/>
      </c>
      <c r="CZ358" s="57">
        <f>IFERROR($S359/$S358-1,"")</f>
        <v/>
      </c>
      <c r="DA358" s="57">
        <f>IFERROR($T359/$T358-1,"")</f>
        <v/>
      </c>
      <c r="DB358" s="57">
        <f>IFERROR($U359/$U358-1,"")</f>
        <v/>
      </c>
      <c r="DC358" s="57">
        <f>IFERROR($V359/$V358-1,"")</f>
        <v/>
      </c>
      <c r="DD358" s="57">
        <f>IFERROR($W359/$W358-1,"")</f>
        <v/>
      </c>
      <c r="DE358" s="57">
        <f>IFERROR($X359/$X358-1,"")</f>
        <v/>
      </c>
      <c r="DF358" s="57">
        <f>IFERROR($Y359/$Y358-1,"")</f>
        <v/>
      </c>
      <c r="DG358" s="57">
        <f>IFERROR($Z359/$Z358-1,"")</f>
        <v/>
      </c>
      <c r="DH358" s="57">
        <f>IFERROR($AA359/$AA358-1,"")</f>
        <v/>
      </c>
      <c r="DI358" s="57">
        <f>IFERROR($AB359/$AB358-1,"")</f>
        <v/>
      </c>
      <c r="DJ358" s="57">
        <f>IFERROR($AC359/$AC358-1,"")</f>
        <v/>
      </c>
      <c r="DK358" s="57">
        <f>IFERROR($AD359/$AD358-1,"")</f>
        <v/>
      </c>
      <c r="DL358" s="57">
        <f>IFERROR($AE359/$AE358-1,"")</f>
        <v/>
      </c>
      <c r="DM358" s="56">
        <f>$AZ358-$AZ359</f>
        <v/>
      </c>
      <c r="DN358" s="56">
        <f>$BA358-$BA359</f>
        <v/>
      </c>
      <c r="DO358" s="56">
        <f>$BB358-$BB359</f>
        <v/>
      </c>
      <c r="DP358" s="56">
        <f>$BC358-$BC359</f>
        <v/>
      </c>
      <c r="DQ358" s="56">
        <f>$BD358-$BD359</f>
        <v/>
      </c>
      <c r="DR358" s="56">
        <f>$BE358-$BE359</f>
        <v/>
      </c>
      <c r="DS358" s="56">
        <f>$BF358-$BF359</f>
        <v/>
      </c>
      <c r="DT358" s="56">
        <f>$BG358-$BG359</f>
        <v/>
      </c>
      <c r="DU358" s="56">
        <f>$BH358-$BH359</f>
        <v/>
      </c>
      <c r="DV358" s="56">
        <f>$BI358-$BI359</f>
        <v/>
      </c>
      <c r="DW358" s="56">
        <f>$BJ358-$BJ359</f>
        <v/>
      </c>
      <c r="DX358" s="56">
        <f>$BK358-$BK359</f>
        <v/>
      </c>
      <c r="DY358" s="56">
        <f>$BL358-$BL359</f>
        <v/>
      </c>
      <c r="DZ358" s="56">
        <f>$BM358-$BM359</f>
        <v/>
      </c>
      <c r="EA358" s="56">
        <f>$BN358-$BN359</f>
        <v/>
      </c>
      <c r="EB358" s="56">
        <f>$BO358-$BO359</f>
        <v/>
      </c>
      <c r="EC358" s="56">
        <f>$BP358-$BP359</f>
        <v/>
      </c>
      <c r="ED358" s="56">
        <f>$BQ358-$BQ359</f>
        <v/>
      </c>
      <c r="EE358" s="56">
        <f>$BR358-$BR359</f>
        <v/>
      </c>
      <c r="EF358" s="56">
        <f>$BS358-$BS359</f>
        <v/>
      </c>
      <c r="EG358" s="56">
        <f>$BT358-$BT359</f>
        <v/>
      </c>
      <c r="EH358" s="56">
        <f>$BU358-$BU359</f>
        <v/>
      </c>
    </row>
    <row r="359">
      <c r="BV359" s="56">
        <f>($D359-$D360)*100</f>
        <v/>
      </c>
      <c r="BW359" s="56">
        <f>($C359-$C360)*100</f>
        <v/>
      </c>
      <c r="BX359" s="57">
        <f>IFERROR($I359/$I360-1,"")</f>
        <v/>
      </c>
      <c r="BY359" s="56">
        <f>($AF359-$AF360)*100</f>
        <v/>
      </c>
      <c r="BZ359" s="56">
        <f>($AG359-$AG360)*100</f>
        <v/>
      </c>
      <c r="CA359" s="56">
        <f>($AH359-$AH360)*100</f>
        <v/>
      </c>
      <c r="CB359" s="56">
        <f>($AI359-$AI360)*100</f>
        <v/>
      </c>
      <c r="CC359" s="56">
        <f>($AJ359-$AJ360)*100</f>
        <v/>
      </c>
      <c r="CD359" s="56">
        <f>($AK359-$AK360)*100</f>
        <v/>
      </c>
      <c r="CE359" s="56">
        <f>($AL359-$AL360)*100</f>
        <v/>
      </c>
      <c r="CF359" s="56">
        <f>($AM359-$AM360)*100</f>
        <v/>
      </c>
      <c r="CG359" s="56">
        <f>($AN359-$AN360)*100</f>
        <v/>
      </c>
      <c r="CH359" s="56">
        <f>($AO359-$AO360)*100</f>
        <v/>
      </c>
      <c r="CI359" s="56">
        <f>($AP359-$AP360)*100</f>
        <v/>
      </c>
      <c r="CJ359" s="56">
        <f>($AQ359-$AQ360)*100</f>
        <v/>
      </c>
      <c r="CK359" s="56">
        <f>($AR359-$AR360)*100</f>
        <v/>
      </c>
      <c r="CL359" s="56">
        <f>($AS359-$AS360)*100</f>
        <v/>
      </c>
      <c r="CM359" s="56">
        <f>($AT359-$AT360)*100</f>
        <v/>
      </c>
      <c r="CN359" s="56">
        <f>($AU359-$AU360)*100</f>
        <v/>
      </c>
      <c r="CO359" s="56">
        <f>($AV359-$AV360)*100</f>
        <v/>
      </c>
      <c r="CP359" s="56">
        <f>($AW359-$AW360)*100</f>
        <v/>
      </c>
      <c r="CQ359" s="56">
        <f>($AX359-$AX360)*100</f>
        <v/>
      </c>
      <c r="CR359" s="56">
        <f>($AY359-$AY360)*100</f>
        <v/>
      </c>
      <c r="CS359" s="57">
        <f>IFERROR($L360/$L359-1,"")</f>
        <v/>
      </c>
      <c r="CT359" s="57">
        <f>IFERROR($M360/$M359-1,"")</f>
        <v/>
      </c>
      <c r="CU359" s="57">
        <f>IFERROR($N360/$N359-1,"")</f>
        <v/>
      </c>
      <c r="CV359" s="57">
        <f>IFERROR($O360/$O359-1,"")</f>
        <v/>
      </c>
      <c r="CW359" s="57">
        <f>IFERROR($P360/$P359-1,"")</f>
        <v/>
      </c>
      <c r="CX359" s="57">
        <f>IFERROR($Q360/$Q359-1,"")</f>
        <v/>
      </c>
      <c r="CY359" s="57">
        <f>IFERROR($R360/$R359-1,"")</f>
        <v/>
      </c>
      <c r="CZ359" s="57">
        <f>IFERROR($S360/$S359-1,"")</f>
        <v/>
      </c>
      <c r="DA359" s="57">
        <f>IFERROR($T360/$T359-1,"")</f>
        <v/>
      </c>
      <c r="DB359" s="57">
        <f>IFERROR($U360/$U359-1,"")</f>
        <v/>
      </c>
      <c r="DC359" s="57">
        <f>IFERROR($V360/$V359-1,"")</f>
        <v/>
      </c>
      <c r="DD359" s="57">
        <f>IFERROR($W360/$W359-1,"")</f>
        <v/>
      </c>
      <c r="DE359" s="57">
        <f>IFERROR($X360/$X359-1,"")</f>
        <v/>
      </c>
      <c r="DF359" s="57">
        <f>IFERROR($Y360/$Y359-1,"")</f>
        <v/>
      </c>
      <c r="DG359" s="57">
        <f>IFERROR($Z360/$Z359-1,"")</f>
        <v/>
      </c>
      <c r="DH359" s="57">
        <f>IFERROR($AA360/$AA359-1,"")</f>
        <v/>
      </c>
      <c r="DI359" s="57">
        <f>IFERROR($AB360/$AB359-1,"")</f>
        <v/>
      </c>
      <c r="DJ359" s="57">
        <f>IFERROR($AC360/$AC359-1,"")</f>
        <v/>
      </c>
      <c r="DK359" s="57">
        <f>IFERROR($AD360/$AD359-1,"")</f>
        <v/>
      </c>
      <c r="DL359" s="57">
        <f>IFERROR($AE360/$AE359-1,"")</f>
        <v/>
      </c>
      <c r="DM359" s="56">
        <f>$AZ359-$AZ360</f>
        <v/>
      </c>
      <c r="DN359" s="56">
        <f>$BA359-$BA360</f>
        <v/>
      </c>
      <c r="DO359" s="56">
        <f>$BB359-$BB360</f>
        <v/>
      </c>
      <c r="DP359" s="56">
        <f>$BC359-$BC360</f>
        <v/>
      </c>
      <c r="DQ359" s="56">
        <f>$BD359-$BD360</f>
        <v/>
      </c>
      <c r="DR359" s="56">
        <f>$BE359-$BE360</f>
        <v/>
      </c>
      <c r="DS359" s="56">
        <f>$BF359-$BF360</f>
        <v/>
      </c>
      <c r="DT359" s="56">
        <f>$BG359-$BG360</f>
        <v/>
      </c>
      <c r="DU359" s="56">
        <f>$BH359-$BH360</f>
        <v/>
      </c>
      <c r="DV359" s="56">
        <f>$BI359-$BI360</f>
        <v/>
      </c>
      <c r="DW359" s="56">
        <f>$BJ359-$BJ360</f>
        <v/>
      </c>
      <c r="DX359" s="56">
        <f>$BK359-$BK360</f>
        <v/>
      </c>
      <c r="DY359" s="56">
        <f>$BL359-$BL360</f>
        <v/>
      </c>
      <c r="DZ359" s="56">
        <f>$BM359-$BM360</f>
        <v/>
      </c>
      <c r="EA359" s="56">
        <f>$BN359-$BN360</f>
        <v/>
      </c>
      <c r="EB359" s="56">
        <f>$BO359-$BO360</f>
        <v/>
      </c>
      <c r="EC359" s="56">
        <f>$BP359-$BP360</f>
        <v/>
      </c>
      <c r="ED359" s="56">
        <f>$BQ359-$BQ360</f>
        <v/>
      </c>
      <c r="EE359" s="56">
        <f>$BR359-$BR360</f>
        <v/>
      </c>
      <c r="EF359" s="56">
        <f>$BS359-$BS360</f>
        <v/>
      </c>
      <c r="EG359" s="56">
        <f>$BT359-$BT360</f>
        <v/>
      </c>
      <c r="EH359" s="56">
        <f>$BU359-$BU360</f>
        <v/>
      </c>
    </row>
    <row r="360">
      <c r="BV360" s="56">
        <f>($D360-$D361)*100</f>
        <v/>
      </c>
      <c r="BW360" s="56">
        <f>($C360-$C361)*100</f>
        <v/>
      </c>
      <c r="BX360" s="57">
        <f>IFERROR($I360/$I361-1,"")</f>
        <v/>
      </c>
      <c r="BY360" s="56">
        <f>($AF360-$AF361)*100</f>
        <v/>
      </c>
      <c r="BZ360" s="56">
        <f>($AG360-$AG361)*100</f>
        <v/>
      </c>
      <c r="CA360" s="56">
        <f>($AH360-$AH361)*100</f>
        <v/>
      </c>
      <c r="CB360" s="56">
        <f>($AI360-$AI361)*100</f>
        <v/>
      </c>
      <c r="CC360" s="56">
        <f>($AJ360-$AJ361)*100</f>
        <v/>
      </c>
      <c r="CD360" s="56">
        <f>($AK360-$AK361)*100</f>
        <v/>
      </c>
      <c r="CE360" s="56">
        <f>($AL360-$AL361)*100</f>
        <v/>
      </c>
      <c r="CF360" s="56">
        <f>($AM360-$AM361)*100</f>
        <v/>
      </c>
      <c r="CG360" s="56">
        <f>($AN360-$AN361)*100</f>
        <v/>
      </c>
      <c r="CH360" s="56">
        <f>($AO360-$AO361)*100</f>
        <v/>
      </c>
      <c r="CI360" s="56">
        <f>($AP360-$AP361)*100</f>
        <v/>
      </c>
      <c r="CJ360" s="56">
        <f>($AQ360-$AQ361)*100</f>
        <v/>
      </c>
      <c r="CK360" s="56">
        <f>($AR360-$AR361)*100</f>
        <v/>
      </c>
      <c r="CL360" s="56">
        <f>($AS360-$AS361)*100</f>
        <v/>
      </c>
      <c r="CM360" s="56">
        <f>($AT360-$AT361)*100</f>
        <v/>
      </c>
      <c r="CN360" s="56">
        <f>($AU360-$AU361)*100</f>
        <v/>
      </c>
      <c r="CO360" s="56">
        <f>($AV360-$AV361)*100</f>
        <v/>
      </c>
      <c r="CP360" s="56">
        <f>($AW360-$AW361)*100</f>
        <v/>
      </c>
      <c r="CQ360" s="56">
        <f>($AX360-$AX361)*100</f>
        <v/>
      </c>
      <c r="CR360" s="56">
        <f>($AY360-$AY361)*100</f>
        <v/>
      </c>
      <c r="CS360" s="57">
        <f>IFERROR($L361/$L360-1,"")</f>
        <v/>
      </c>
      <c r="CT360" s="57">
        <f>IFERROR($M361/$M360-1,"")</f>
        <v/>
      </c>
      <c r="CU360" s="57">
        <f>IFERROR($N361/$N360-1,"")</f>
        <v/>
      </c>
      <c r="CV360" s="57">
        <f>IFERROR($O361/$O360-1,"")</f>
        <v/>
      </c>
      <c r="CW360" s="57">
        <f>IFERROR($P361/$P360-1,"")</f>
        <v/>
      </c>
      <c r="CX360" s="57">
        <f>IFERROR($Q361/$Q360-1,"")</f>
        <v/>
      </c>
      <c r="CY360" s="57">
        <f>IFERROR($R361/$R360-1,"")</f>
        <v/>
      </c>
      <c r="CZ360" s="57">
        <f>IFERROR($S361/$S360-1,"")</f>
        <v/>
      </c>
      <c r="DA360" s="57">
        <f>IFERROR($T361/$T360-1,"")</f>
        <v/>
      </c>
      <c r="DB360" s="57">
        <f>IFERROR($U361/$U360-1,"")</f>
        <v/>
      </c>
      <c r="DC360" s="57">
        <f>IFERROR($V361/$V360-1,"")</f>
        <v/>
      </c>
      <c r="DD360" s="57">
        <f>IFERROR($W361/$W360-1,"")</f>
        <v/>
      </c>
      <c r="DE360" s="57">
        <f>IFERROR($X361/$X360-1,"")</f>
        <v/>
      </c>
      <c r="DF360" s="57">
        <f>IFERROR($Y361/$Y360-1,"")</f>
        <v/>
      </c>
      <c r="DG360" s="57">
        <f>IFERROR($Z361/$Z360-1,"")</f>
        <v/>
      </c>
      <c r="DH360" s="57">
        <f>IFERROR($AA361/$AA360-1,"")</f>
        <v/>
      </c>
      <c r="DI360" s="57">
        <f>IFERROR($AB361/$AB360-1,"")</f>
        <v/>
      </c>
      <c r="DJ360" s="57">
        <f>IFERROR($AC361/$AC360-1,"")</f>
        <v/>
      </c>
      <c r="DK360" s="57">
        <f>IFERROR($AD361/$AD360-1,"")</f>
        <v/>
      </c>
      <c r="DL360" s="57">
        <f>IFERROR($AE361/$AE360-1,"")</f>
        <v/>
      </c>
      <c r="DM360" s="56">
        <f>$AZ360-$AZ361</f>
        <v/>
      </c>
      <c r="DN360" s="56">
        <f>$BA360-$BA361</f>
        <v/>
      </c>
      <c r="DO360" s="56">
        <f>$BB360-$BB361</f>
        <v/>
      </c>
      <c r="DP360" s="56">
        <f>$BC360-$BC361</f>
        <v/>
      </c>
      <c r="DQ360" s="56">
        <f>$BD360-$BD361</f>
        <v/>
      </c>
      <c r="DR360" s="56">
        <f>$BE360-$BE361</f>
        <v/>
      </c>
      <c r="DS360" s="56">
        <f>$BF360-$BF361</f>
        <v/>
      </c>
      <c r="DT360" s="56">
        <f>$BG360-$BG361</f>
        <v/>
      </c>
      <c r="DU360" s="56">
        <f>$BH360-$BH361</f>
        <v/>
      </c>
      <c r="DV360" s="56">
        <f>$BI360-$BI361</f>
        <v/>
      </c>
      <c r="DW360" s="56">
        <f>$BJ360-$BJ361</f>
        <v/>
      </c>
      <c r="DX360" s="56">
        <f>$BK360-$BK361</f>
        <v/>
      </c>
      <c r="DY360" s="56">
        <f>$BL360-$BL361</f>
        <v/>
      </c>
      <c r="DZ360" s="56">
        <f>$BM360-$BM361</f>
        <v/>
      </c>
      <c r="EA360" s="56">
        <f>$BN360-$BN361</f>
        <v/>
      </c>
      <c r="EB360" s="56">
        <f>$BO360-$BO361</f>
        <v/>
      </c>
      <c r="EC360" s="56">
        <f>$BP360-$BP361</f>
        <v/>
      </c>
      <c r="ED360" s="56">
        <f>$BQ360-$BQ361</f>
        <v/>
      </c>
      <c r="EE360" s="56">
        <f>$BR360-$BR361</f>
        <v/>
      </c>
      <c r="EF360" s="56">
        <f>$BS360-$BS361</f>
        <v/>
      </c>
      <c r="EG360" s="56">
        <f>$BT360-$BT361</f>
        <v/>
      </c>
      <c r="EH360" s="56">
        <f>$BU360-$BU361</f>
        <v/>
      </c>
    </row>
    <row r="361">
      <c r="BV361" s="56">
        <f>($D361-$D362)*100</f>
        <v/>
      </c>
      <c r="BW361" s="56">
        <f>($C361-$C362)*100</f>
        <v/>
      </c>
      <c r="BX361" s="57">
        <f>IFERROR($I361/$I362-1,"")</f>
        <v/>
      </c>
      <c r="BY361" s="56">
        <f>($AF361-$AF362)*100</f>
        <v/>
      </c>
      <c r="BZ361" s="56">
        <f>($AG361-$AG362)*100</f>
        <v/>
      </c>
      <c r="CA361" s="56">
        <f>($AH361-$AH362)*100</f>
        <v/>
      </c>
      <c r="CB361" s="56">
        <f>($AI361-$AI362)*100</f>
        <v/>
      </c>
      <c r="CC361" s="56">
        <f>($AJ361-$AJ362)*100</f>
        <v/>
      </c>
      <c r="CD361" s="56">
        <f>($AK361-$AK362)*100</f>
        <v/>
      </c>
      <c r="CE361" s="56">
        <f>($AL361-$AL362)*100</f>
        <v/>
      </c>
      <c r="CF361" s="56">
        <f>($AM361-$AM362)*100</f>
        <v/>
      </c>
      <c r="CG361" s="56">
        <f>($AN361-$AN362)*100</f>
        <v/>
      </c>
      <c r="CH361" s="56">
        <f>($AO361-$AO362)*100</f>
        <v/>
      </c>
      <c r="CI361" s="56">
        <f>($AP361-$AP362)*100</f>
        <v/>
      </c>
      <c r="CJ361" s="56">
        <f>($AQ361-$AQ362)*100</f>
        <v/>
      </c>
      <c r="CK361" s="56">
        <f>($AR361-$AR362)*100</f>
        <v/>
      </c>
      <c r="CL361" s="56">
        <f>($AS361-$AS362)*100</f>
        <v/>
      </c>
      <c r="CM361" s="56">
        <f>($AT361-$AT362)*100</f>
        <v/>
      </c>
      <c r="CN361" s="56">
        <f>($AU361-$AU362)*100</f>
        <v/>
      </c>
      <c r="CO361" s="56">
        <f>($AV361-$AV362)*100</f>
        <v/>
      </c>
      <c r="CP361" s="56">
        <f>($AW361-$AW362)*100</f>
        <v/>
      </c>
      <c r="CQ361" s="56">
        <f>($AX361-$AX362)*100</f>
        <v/>
      </c>
      <c r="CR361" s="56">
        <f>($AY361-$AY362)*100</f>
        <v/>
      </c>
      <c r="CS361" s="57">
        <f>IFERROR($L362/$L361-1,"")</f>
        <v/>
      </c>
      <c r="CT361" s="57">
        <f>IFERROR($M362/$M361-1,"")</f>
        <v/>
      </c>
      <c r="CU361" s="57">
        <f>IFERROR($N362/$N361-1,"")</f>
        <v/>
      </c>
      <c r="CV361" s="57">
        <f>IFERROR($O362/$O361-1,"")</f>
        <v/>
      </c>
      <c r="CW361" s="57">
        <f>IFERROR($P362/$P361-1,"")</f>
        <v/>
      </c>
      <c r="CX361" s="57">
        <f>IFERROR($Q362/$Q361-1,"")</f>
        <v/>
      </c>
      <c r="CY361" s="57">
        <f>IFERROR($R362/$R361-1,"")</f>
        <v/>
      </c>
      <c r="CZ361" s="57">
        <f>IFERROR($S362/$S361-1,"")</f>
        <v/>
      </c>
      <c r="DA361" s="57">
        <f>IFERROR($T362/$T361-1,"")</f>
        <v/>
      </c>
      <c r="DB361" s="57">
        <f>IFERROR($U362/$U361-1,"")</f>
        <v/>
      </c>
      <c r="DC361" s="57">
        <f>IFERROR($V362/$V361-1,"")</f>
        <v/>
      </c>
      <c r="DD361" s="57">
        <f>IFERROR($W362/$W361-1,"")</f>
        <v/>
      </c>
      <c r="DE361" s="57">
        <f>IFERROR($X362/$X361-1,"")</f>
        <v/>
      </c>
      <c r="DF361" s="57">
        <f>IFERROR($Y362/$Y361-1,"")</f>
        <v/>
      </c>
      <c r="DG361" s="57">
        <f>IFERROR($Z362/$Z361-1,"")</f>
        <v/>
      </c>
      <c r="DH361" s="57">
        <f>IFERROR($AA362/$AA361-1,"")</f>
        <v/>
      </c>
      <c r="DI361" s="57">
        <f>IFERROR($AB362/$AB361-1,"")</f>
        <v/>
      </c>
      <c r="DJ361" s="57">
        <f>IFERROR($AC362/$AC361-1,"")</f>
        <v/>
      </c>
      <c r="DK361" s="57">
        <f>IFERROR($AD362/$AD361-1,"")</f>
        <v/>
      </c>
      <c r="DL361" s="57">
        <f>IFERROR($AE362/$AE361-1,"")</f>
        <v/>
      </c>
      <c r="DM361" s="56">
        <f>$AZ361-$AZ362</f>
        <v/>
      </c>
      <c r="DN361" s="56">
        <f>$BA361-$BA362</f>
        <v/>
      </c>
      <c r="DO361" s="56">
        <f>$BB361-$BB362</f>
        <v/>
      </c>
      <c r="DP361" s="56">
        <f>$BC361-$BC362</f>
        <v/>
      </c>
      <c r="DQ361" s="56">
        <f>$BD361-$BD362</f>
        <v/>
      </c>
      <c r="DR361" s="56">
        <f>$BE361-$BE362</f>
        <v/>
      </c>
      <c r="DS361" s="56">
        <f>$BF361-$BF362</f>
        <v/>
      </c>
      <c r="DT361" s="56">
        <f>$BG361-$BG362</f>
        <v/>
      </c>
      <c r="DU361" s="56">
        <f>$BH361-$BH362</f>
        <v/>
      </c>
      <c r="DV361" s="56">
        <f>$BI361-$BI362</f>
        <v/>
      </c>
      <c r="DW361" s="56">
        <f>$BJ361-$BJ362</f>
        <v/>
      </c>
      <c r="DX361" s="56">
        <f>$BK361-$BK362</f>
        <v/>
      </c>
      <c r="DY361" s="56">
        <f>$BL361-$BL362</f>
        <v/>
      </c>
      <c r="DZ361" s="56">
        <f>$BM361-$BM362</f>
        <v/>
      </c>
      <c r="EA361" s="56">
        <f>$BN361-$BN362</f>
        <v/>
      </c>
      <c r="EB361" s="56">
        <f>$BO361-$BO362</f>
        <v/>
      </c>
      <c r="EC361" s="56">
        <f>$BP361-$BP362</f>
        <v/>
      </c>
      <c r="ED361" s="56">
        <f>$BQ361-$BQ362</f>
        <v/>
      </c>
      <c r="EE361" s="56">
        <f>$BR361-$BR362</f>
        <v/>
      </c>
      <c r="EF361" s="56">
        <f>$BS361-$BS362</f>
        <v/>
      </c>
      <c r="EG361" s="56">
        <f>$BT361-$BT362</f>
        <v/>
      </c>
      <c r="EH361" s="56">
        <f>$BU361-$BU362</f>
        <v/>
      </c>
    </row>
    <row r="362">
      <c r="BV362" s="56">
        <f>($D362-$D363)*100</f>
        <v/>
      </c>
      <c r="BW362" s="56">
        <f>($C362-$C363)*100</f>
        <v/>
      </c>
      <c r="BX362" s="57">
        <f>IFERROR($I362/$I363-1,"")</f>
        <v/>
      </c>
      <c r="BY362" s="56">
        <f>($AF362-$AF363)*100</f>
        <v/>
      </c>
      <c r="BZ362" s="56">
        <f>($AG362-$AG363)*100</f>
        <v/>
      </c>
      <c r="CA362" s="56">
        <f>($AH362-$AH363)*100</f>
        <v/>
      </c>
      <c r="CB362" s="56">
        <f>($AI362-$AI363)*100</f>
        <v/>
      </c>
      <c r="CC362" s="56">
        <f>($AJ362-$AJ363)*100</f>
        <v/>
      </c>
      <c r="CD362" s="56">
        <f>($AK362-$AK363)*100</f>
        <v/>
      </c>
      <c r="CE362" s="56">
        <f>($AL362-$AL363)*100</f>
        <v/>
      </c>
      <c r="CF362" s="56">
        <f>($AM362-$AM363)*100</f>
        <v/>
      </c>
      <c r="CG362" s="56">
        <f>($AN362-$AN363)*100</f>
        <v/>
      </c>
      <c r="CH362" s="56">
        <f>($AO362-$AO363)*100</f>
        <v/>
      </c>
      <c r="CI362" s="56">
        <f>($AP362-$AP363)*100</f>
        <v/>
      </c>
      <c r="CJ362" s="56">
        <f>($AQ362-$AQ363)*100</f>
        <v/>
      </c>
      <c r="CK362" s="56">
        <f>($AR362-$AR363)*100</f>
        <v/>
      </c>
      <c r="CL362" s="56">
        <f>($AS362-$AS363)*100</f>
        <v/>
      </c>
      <c r="CM362" s="56">
        <f>($AT362-$AT363)*100</f>
        <v/>
      </c>
      <c r="CN362" s="56">
        <f>($AU362-$AU363)*100</f>
        <v/>
      </c>
      <c r="CO362" s="56">
        <f>($AV362-$AV363)*100</f>
        <v/>
      </c>
      <c r="CP362" s="56">
        <f>($AW362-$AW363)*100</f>
        <v/>
      </c>
      <c r="CQ362" s="56">
        <f>($AX362-$AX363)*100</f>
        <v/>
      </c>
      <c r="CR362" s="56">
        <f>($AY362-$AY363)*100</f>
        <v/>
      </c>
      <c r="CS362" s="57">
        <f>IFERROR($L363/$L362-1,"")</f>
        <v/>
      </c>
      <c r="CT362" s="57">
        <f>IFERROR($M363/$M362-1,"")</f>
        <v/>
      </c>
      <c r="CU362" s="57">
        <f>IFERROR($N363/$N362-1,"")</f>
        <v/>
      </c>
      <c r="CV362" s="57">
        <f>IFERROR($O363/$O362-1,"")</f>
        <v/>
      </c>
      <c r="CW362" s="57">
        <f>IFERROR($P363/$P362-1,"")</f>
        <v/>
      </c>
      <c r="CX362" s="57">
        <f>IFERROR($Q363/$Q362-1,"")</f>
        <v/>
      </c>
      <c r="CY362" s="57">
        <f>IFERROR($R363/$R362-1,"")</f>
        <v/>
      </c>
      <c r="CZ362" s="57">
        <f>IFERROR($S363/$S362-1,"")</f>
        <v/>
      </c>
      <c r="DA362" s="57">
        <f>IFERROR($T363/$T362-1,"")</f>
        <v/>
      </c>
      <c r="DB362" s="57">
        <f>IFERROR($U363/$U362-1,"")</f>
        <v/>
      </c>
      <c r="DC362" s="57">
        <f>IFERROR($V363/$V362-1,"")</f>
        <v/>
      </c>
      <c r="DD362" s="57">
        <f>IFERROR($W363/$W362-1,"")</f>
        <v/>
      </c>
      <c r="DE362" s="57">
        <f>IFERROR($X363/$X362-1,"")</f>
        <v/>
      </c>
      <c r="DF362" s="57">
        <f>IFERROR($Y363/$Y362-1,"")</f>
        <v/>
      </c>
      <c r="DG362" s="57">
        <f>IFERROR($Z363/$Z362-1,"")</f>
        <v/>
      </c>
      <c r="DH362" s="57">
        <f>IFERROR($AA363/$AA362-1,"")</f>
        <v/>
      </c>
      <c r="DI362" s="57">
        <f>IFERROR($AB363/$AB362-1,"")</f>
        <v/>
      </c>
      <c r="DJ362" s="57">
        <f>IFERROR($AC363/$AC362-1,"")</f>
        <v/>
      </c>
      <c r="DK362" s="57">
        <f>IFERROR($AD363/$AD362-1,"")</f>
        <v/>
      </c>
      <c r="DL362" s="57">
        <f>IFERROR($AE363/$AE362-1,"")</f>
        <v/>
      </c>
      <c r="DM362" s="56">
        <f>$AZ362-$AZ363</f>
        <v/>
      </c>
      <c r="DN362" s="56">
        <f>$BA362-$BA363</f>
        <v/>
      </c>
      <c r="DO362" s="56">
        <f>$BB362-$BB363</f>
        <v/>
      </c>
      <c r="DP362" s="56">
        <f>$BC362-$BC363</f>
        <v/>
      </c>
      <c r="DQ362" s="56">
        <f>$BD362-$BD363</f>
        <v/>
      </c>
      <c r="DR362" s="56">
        <f>$BE362-$BE363</f>
        <v/>
      </c>
      <c r="DS362" s="56">
        <f>$BF362-$BF363</f>
        <v/>
      </c>
      <c r="DT362" s="56">
        <f>$BG362-$BG363</f>
        <v/>
      </c>
      <c r="DU362" s="56">
        <f>$BH362-$BH363</f>
        <v/>
      </c>
      <c r="DV362" s="56">
        <f>$BI362-$BI363</f>
        <v/>
      </c>
      <c r="DW362" s="56">
        <f>$BJ362-$BJ363</f>
        <v/>
      </c>
      <c r="DX362" s="56">
        <f>$BK362-$BK363</f>
        <v/>
      </c>
      <c r="DY362" s="56">
        <f>$BL362-$BL363</f>
        <v/>
      </c>
      <c r="DZ362" s="56">
        <f>$BM362-$BM363</f>
        <v/>
      </c>
      <c r="EA362" s="56">
        <f>$BN362-$BN363</f>
        <v/>
      </c>
      <c r="EB362" s="56">
        <f>$BO362-$BO363</f>
        <v/>
      </c>
      <c r="EC362" s="56">
        <f>$BP362-$BP363</f>
        <v/>
      </c>
      <c r="ED362" s="56">
        <f>$BQ362-$BQ363</f>
        <v/>
      </c>
      <c r="EE362" s="56">
        <f>$BR362-$BR363</f>
        <v/>
      </c>
      <c r="EF362" s="56">
        <f>$BS362-$BS363</f>
        <v/>
      </c>
      <c r="EG362" s="56">
        <f>$BT362-$BT363</f>
        <v/>
      </c>
      <c r="EH362" s="56">
        <f>$BU362-$BU363</f>
        <v/>
      </c>
    </row>
    <row r="363">
      <c r="BV363" s="56">
        <f>($D363-$D364)*100</f>
        <v/>
      </c>
      <c r="BW363" s="56">
        <f>($C363-$C364)*100</f>
        <v/>
      </c>
      <c r="BX363" s="57">
        <f>IFERROR($I363/$I364-1,"")</f>
        <v/>
      </c>
      <c r="BY363" s="56">
        <f>($AF363-$AF364)*100</f>
        <v/>
      </c>
      <c r="BZ363" s="56">
        <f>($AG363-$AG364)*100</f>
        <v/>
      </c>
      <c r="CA363" s="56">
        <f>($AH363-$AH364)*100</f>
        <v/>
      </c>
      <c r="CB363" s="56">
        <f>($AI363-$AI364)*100</f>
        <v/>
      </c>
      <c r="CC363" s="56">
        <f>($AJ363-$AJ364)*100</f>
        <v/>
      </c>
      <c r="CD363" s="56">
        <f>($AK363-$AK364)*100</f>
        <v/>
      </c>
      <c r="CE363" s="56">
        <f>($AL363-$AL364)*100</f>
        <v/>
      </c>
      <c r="CF363" s="56">
        <f>($AM363-$AM364)*100</f>
        <v/>
      </c>
      <c r="CG363" s="56">
        <f>($AN363-$AN364)*100</f>
        <v/>
      </c>
      <c r="CH363" s="56">
        <f>($AO363-$AO364)*100</f>
        <v/>
      </c>
      <c r="CI363" s="56">
        <f>($AP363-$AP364)*100</f>
        <v/>
      </c>
      <c r="CJ363" s="56">
        <f>($AQ363-$AQ364)*100</f>
        <v/>
      </c>
      <c r="CK363" s="56">
        <f>($AR363-$AR364)*100</f>
        <v/>
      </c>
      <c r="CL363" s="56">
        <f>($AS363-$AS364)*100</f>
        <v/>
      </c>
      <c r="CM363" s="56">
        <f>($AT363-$AT364)*100</f>
        <v/>
      </c>
      <c r="CN363" s="56">
        <f>($AU363-$AU364)*100</f>
        <v/>
      </c>
      <c r="CO363" s="56">
        <f>($AV363-$AV364)*100</f>
        <v/>
      </c>
      <c r="CP363" s="56">
        <f>($AW363-$AW364)*100</f>
        <v/>
      </c>
      <c r="CQ363" s="56">
        <f>($AX363-$AX364)*100</f>
        <v/>
      </c>
      <c r="CR363" s="56">
        <f>($AY363-$AY364)*100</f>
        <v/>
      </c>
      <c r="CS363" s="57">
        <f>IFERROR($L364/$L363-1,"")</f>
        <v/>
      </c>
      <c r="CT363" s="57">
        <f>IFERROR($M364/$M363-1,"")</f>
        <v/>
      </c>
      <c r="CU363" s="57">
        <f>IFERROR($N364/$N363-1,"")</f>
        <v/>
      </c>
      <c r="CV363" s="57">
        <f>IFERROR($O364/$O363-1,"")</f>
        <v/>
      </c>
      <c r="CW363" s="57">
        <f>IFERROR($P364/$P363-1,"")</f>
        <v/>
      </c>
      <c r="CX363" s="57">
        <f>IFERROR($Q364/$Q363-1,"")</f>
        <v/>
      </c>
      <c r="CY363" s="57">
        <f>IFERROR($R364/$R363-1,"")</f>
        <v/>
      </c>
      <c r="CZ363" s="57">
        <f>IFERROR($S364/$S363-1,"")</f>
        <v/>
      </c>
      <c r="DA363" s="57">
        <f>IFERROR($T364/$T363-1,"")</f>
        <v/>
      </c>
      <c r="DB363" s="57">
        <f>IFERROR($U364/$U363-1,"")</f>
        <v/>
      </c>
      <c r="DC363" s="57">
        <f>IFERROR($V364/$V363-1,"")</f>
        <v/>
      </c>
      <c r="DD363" s="57">
        <f>IFERROR($W364/$W363-1,"")</f>
        <v/>
      </c>
      <c r="DE363" s="57">
        <f>IFERROR($X364/$X363-1,"")</f>
        <v/>
      </c>
      <c r="DF363" s="57">
        <f>IFERROR($Y364/$Y363-1,"")</f>
        <v/>
      </c>
      <c r="DG363" s="57">
        <f>IFERROR($Z364/$Z363-1,"")</f>
        <v/>
      </c>
      <c r="DH363" s="57">
        <f>IFERROR($AA364/$AA363-1,"")</f>
        <v/>
      </c>
      <c r="DI363" s="57">
        <f>IFERROR($AB364/$AB363-1,"")</f>
        <v/>
      </c>
      <c r="DJ363" s="57">
        <f>IFERROR($AC364/$AC363-1,"")</f>
        <v/>
      </c>
      <c r="DK363" s="57">
        <f>IFERROR($AD364/$AD363-1,"")</f>
        <v/>
      </c>
      <c r="DL363" s="57">
        <f>IFERROR($AE364/$AE363-1,"")</f>
        <v/>
      </c>
      <c r="DM363" s="56">
        <f>$AZ363-$AZ364</f>
        <v/>
      </c>
      <c r="DN363" s="56">
        <f>$BA363-$BA364</f>
        <v/>
      </c>
      <c r="DO363" s="56">
        <f>$BB363-$BB364</f>
        <v/>
      </c>
      <c r="DP363" s="56">
        <f>$BC363-$BC364</f>
        <v/>
      </c>
      <c r="DQ363" s="56">
        <f>$BD363-$BD364</f>
        <v/>
      </c>
      <c r="DR363" s="56">
        <f>$BE363-$BE364</f>
        <v/>
      </c>
      <c r="DS363" s="56">
        <f>$BF363-$BF364</f>
        <v/>
      </c>
      <c r="DT363" s="56">
        <f>$BG363-$BG364</f>
        <v/>
      </c>
      <c r="DU363" s="56">
        <f>$BH363-$BH364</f>
        <v/>
      </c>
      <c r="DV363" s="56">
        <f>$BI363-$BI364</f>
        <v/>
      </c>
      <c r="DW363" s="56">
        <f>$BJ363-$BJ364</f>
        <v/>
      </c>
      <c r="DX363" s="56">
        <f>$BK363-$BK364</f>
        <v/>
      </c>
      <c r="DY363" s="56">
        <f>$BL363-$BL364</f>
        <v/>
      </c>
      <c r="DZ363" s="56">
        <f>$BM363-$BM364</f>
        <v/>
      </c>
      <c r="EA363" s="56">
        <f>$BN363-$BN364</f>
        <v/>
      </c>
      <c r="EB363" s="56">
        <f>$BO363-$BO364</f>
        <v/>
      </c>
      <c r="EC363" s="56">
        <f>$BP363-$BP364</f>
        <v/>
      </c>
      <c r="ED363" s="56">
        <f>$BQ363-$BQ364</f>
        <v/>
      </c>
      <c r="EE363" s="56">
        <f>$BR363-$BR364</f>
        <v/>
      </c>
      <c r="EF363" s="56">
        <f>$BS363-$BS364</f>
        <v/>
      </c>
      <c r="EG363" s="56">
        <f>$BT363-$BT364</f>
        <v/>
      </c>
      <c r="EH363" s="56">
        <f>$BU363-$BU364</f>
        <v/>
      </c>
    </row>
    <row r="364">
      <c r="BV364" s="56">
        <f>($D364-$D365)*100</f>
        <v/>
      </c>
      <c r="BW364" s="56">
        <f>($C364-$C365)*100</f>
        <v/>
      </c>
      <c r="BX364" s="57">
        <f>IFERROR($I364/$I365-1,"")</f>
        <v/>
      </c>
      <c r="BY364" s="56">
        <f>($AF364-$AF365)*100</f>
        <v/>
      </c>
      <c r="BZ364" s="56">
        <f>($AG364-$AG365)*100</f>
        <v/>
      </c>
      <c r="CA364" s="56">
        <f>($AH364-$AH365)*100</f>
        <v/>
      </c>
      <c r="CB364" s="56">
        <f>($AI364-$AI365)*100</f>
        <v/>
      </c>
      <c r="CC364" s="56">
        <f>($AJ364-$AJ365)*100</f>
        <v/>
      </c>
      <c r="CD364" s="56">
        <f>($AK364-$AK365)*100</f>
        <v/>
      </c>
      <c r="CE364" s="56">
        <f>($AL364-$AL365)*100</f>
        <v/>
      </c>
      <c r="CF364" s="56">
        <f>($AM364-$AM365)*100</f>
        <v/>
      </c>
      <c r="CG364" s="56">
        <f>($AN364-$AN365)*100</f>
        <v/>
      </c>
      <c r="CH364" s="56">
        <f>($AO364-$AO365)*100</f>
        <v/>
      </c>
      <c r="CI364" s="56">
        <f>($AP364-$AP365)*100</f>
        <v/>
      </c>
      <c r="CJ364" s="56">
        <f>($AQ364-$AQ365)*100</f>
        <v/>
      </c>
      <c r="CK364" s="56">
        <f>($AR364-$AR365)*100</f>
        <v/>
      </c>
      <c r="CL364" s="56">
        <f>($AS364-$AS365)*100</f>
        <v/>
      </c>
      <c r="CM364" s="56">
        <f>($AT364-$AT365)*100</f>
        <v/>
      </c>
      <c r="CN364" s="56">
        <f>($AU364-$AU365)*100</f>
        <v/>
      </c>
      <c r="CO364" s="56">
        <f>($AV364-$AV365)*100</f>
        <v/>
      </c>
      <c r="CP364" s="56">
        <f>($AW364-$AW365)*100</f>
        <v/>
      </c>
      <c r="CQ364" s="56">
        <f>($AX364-$AX365)*100</f>
        <v/>
      </c>
      <c r="CR364" s="56">
        <f>($AY364-$AY365)*100</f>
        <v/>
      </c>
      <c r="CS364" s="57">
        <f>IFERROR($L365/$L364-1,"")</f>
        <v/>
      </c>
      <c r="CT364" s="57">
        <f>IFERROR($M365/$M364-1,"")</f>
        <v/>
      </c>
      <c r="CU364" s="57">
        <f>IFERROR($N365/$N364-1,"")</f>
        <v/>
      </c>
      <c r="CV364" s="57">
        <f>IFERROR($O365/$O364-1,"")</f>
        <v/>
      </c>
      <c r="CW364" s="57">
        <f>IFERROR($P365/$P364-1,"")</f>
        <v/>
      </c>
      <c r="CX364" s="57">
        <f>IFERROR($Q365/$Q364-1,"")</f>
        <v/>
      </c>
      <c r="CY364" s="57">
        <f>IFERROR($R365/$R364-1,"")</f>
        <v/>
      </c>
      <c r="CZ364" s="57">
        <f>IFERROR($S365/$S364-1,"")</f>
        <v/>
      </c>
      <c r="DA364" s="57">
        <f>IFERROR($T365/$T364-1,"")</f>
        <v/>
      </c>
      <c r="DB364" s="57">
        <f>IFERROR($U365/$U364-1,"")</f>
        <v/>
      </c>
      <c r="DC364" s="57">
        <f>IFERROR($V365/$V364-1,"")</f>
        <v/>
      </c>
      <c r="DD364" s="57">
        <f>IFERROR($W365/$W364-1,"")</f>
        <v/>
      </c>
      <c r="DE364" s="57">
        <f>IFERROR($X365/$X364-1,"")</f>
        <v/>
      </c>
      <c r="DF364" s="57">
        <f>IFERROR($Y365/$Y364-1,"")</f>
        <v/>
      </c>
      <c r="DG364" s="57">
        <f>IFERROR($Z365/$Z364-1,"")</f>
        <v/>
      </c>
      <c r="DH364" s="57">
        <f>IFERROR($AA365/$AA364-1,"")</f>
        <v/>
      </c>
      <c r="DI364" s="57">
        <f>IFERROR($AB365/$AB364-1,"")</f>
        <v/>
      </c>
      <c r="DJ364" s="57">
        <f>IFERROR($AC365/$AC364-1,"")</f>
        <v/>
      </c>
      <c r="DK364" s="57">
        <f>IFERROR($AD365/$AD364-1,"")</f>
        <v/>
      </c>
      <c r="DL364" s="57">
        <f>IFERROR($AE365/$AE364-1,"")</f>
        <v/>
      </c>
      <c r="DM364" s="56">
        <f>$AZ364-$AZ365</f>
        <v/>
      </c>
      <c r="DN364" s="56">
        <f>$BA364-$BA365</f>
        <v/>
      </c>
      <c r="DO364" s="56">
        <f>$BB364-$BB365</f>
        <v/>
      </c>
      <c r="DP364" s="56">
        <f>$BC364-$BC365</f>
        <v/>
      </c>
      <c r="DQ364" s="56">
        <f>$BD364-$BD365</f>
        <v/>
      </c>
      <c r="DR364" s="56">
        <f>$BE364-$BE365</f>
        <v/>
      </c>
      <c r="DS364" s="56">
        <f>$BF364-$BF365</f>
        <v/>
      </c>
      <c r="DT364" s="56">
        <f>$BG364-$BG365</f>
        <v/>
      </c>
      <c r="DU364" s="56">
        <f>$BH364-$BH365</f>
        <v/>
      </c>
      <c r="DV364" s="56">
        <f>$BI364-$BI365</f>
        <v/>
      </c>
      <c r="DW364" s="56">
        <f>$BJ364-$BJ365</f>
        <v/>
      </c>
      <c r="DX364" s="56">
        <f>$BK364-$BK365</f>
        <v/>
      </c>
      <c r="DY364" s="56">
        <f>$BL364-$BL365</f>
        <v/>
      </c>
      <c r="DZ364" s="56">
        <f>$BM364-$BM365</f>
        <v/>
      </c>
      <c r="EA364" s="56">
        <f>$BN364-$BN365</f>
        <v/>
      </c>
      <c r="EB364" s="56">
        <f>$BO364-$BO365</f>
        <v/>
      </c>
      <c r="EC364" s="56">
        <f>$BP364-$BP365</f>
        <v/>
      </c>
      <c r="ED364" s="56">
        <f>$BQ364-$BQ365</f>
        <v/>
      </c>
      <c r="EE364" s="56">
        <f>$BR364-$BR365</f>
        <v/>
      </c>
      <c r="EF364" s="56">
        <f>$BS364-$BS365</f>
        <v/>
      </c>
      <c r="EG364" s="56">
        <f>$BT364-$BT365</f>
        <v/>
      </c>
      <c r="EH364" s="56">
        <f>$BU364-$BU365</f>
        <v/>
      </c>
    </row>
    <row r="365">
      <c r="BV365" s="56">
        <f>($D365-$D366)*100</f>
        <v/>
      </c>
      <c r="BW365" s="56">
        <f>($C365-$C366)*100</f>
        <v/>
      </c>
      <c r="BX365" s="57">
        <f>IFERROR($I365/$I366-1,"")</f>
        <v/>
      </c>
      <c r="BY365" s="56">
        <f>($AF365-$AF366)*100</f>
        <v/>
      </c>
      <c r="BZ365" s="56">
        <f>($AG365-$AG366)*100</f>
        <v/>
      </c>
      <c r="CA365" s="56">
        <f>($AH365-$AH366)*100</f>
        <v/>
      </c>
      <c r="CB365" s="56">
        <f>($AI365-$AI366)*100</f>
        <v/>
      </c>
      <c r="CC365" s="56">
        <f>($AJ365-$AJ366)*100</f>
        <v/>
      </c>
      <c r="CD365" s="56">
        <f>($AK365-$AK366)*100</f>
        <v/>
      </c>
      <c r="CE365" s="56">
        <f>($AL365-$AL366)*100</f>
        <v/>
      </c>
      <c r="CF365" s="56">
        <f>($AM365-$AM366)*100</f>
        <v/>
      </c>
      <c r="CG365" s="56">
        <f>($AN365-$AN366)*100</f>
        <v/>
      </c>
      <c r="CH365" s="56">
        <f>($AO365-$AO366)*100</f>
        <v/>
      </c>
      <c r="CI365" s="56">
        <f>($AP365-$AP366)*100</f>
        <v/>
      </c>
      <c r="CJ365" s="56">
        <f>($AQ365-$AQ366)*100</f>
        <v/>
      </c>
      <c r="CK365" s="56">
        <f>($AR365-$AR366)*100</f>
        <v/>
      </c>
      <c r="CL365" s="56">
        <f>($AS365-$AS366)*100</f>
        <v/>
      </c>
      <c r="CM365" s="56">
        <f>($AT365-$AT366)*100</f>
        <v/>
      </c>
      <c r="CN365" s="56">
        <f>($AU365-$AU366)*100</f>
        <v/>
      </c>
      <c r="CO365" s="56">
        <f>($AV365-$AV366)*100</f>
        <v/>
      </c>
      <c r="CP365" s="56">
        <f>($AW365-$AW366)*100</f>
        <v/>
      </c>
      <c r="CQ365" s="56">
        <f>($AX365-$AX366)*100</f>
        <v/>
      </c>
      <c r="CR365" s="56">
        <f>($AY365-$AY366)*100</f>
        <v/>
      </c>
      <c r="CS365" s="57">
        <f>IFERROR($L366/$L365-1,"")</f>
        <v/>
      </c>
      <c r="CT365" s="57">
        <f>IFERROR($M366/$M365-1,"")</f>
        <v/>
      </c>
      <c r="CU365" s="57">
        <f>IFERROR($N366/$N365-1,"")</f>
        <v/>
      </c>
      <c r="CV365" s="57">
        <f>IFERROR($O366/$O365-1,"")</f>
        <v/>
      </c>
      <c r="CW365" s="57">
        <f>IFERROR($P366/$P365-1,"")</f>
        <v/>
      </c>
      <c r="CX365" s="57">
        <f>IFERROR($Q366/$Q365-1,"")</f>
        <v/>
      </c>
      <c r="CY365" s="57">
        <f>IFERROR($R366/$R365-1,"")</f>
        <v/>
      </c>
      <c r="CZ365" s="57">
        <f>IFERROR($S366/$S365-1,"")</f>
        <v/>
      </c>
      <c r="DA365" s="57">
        <f>IFERROR($T366/$T365-1,"")</f>
        <v/>
      </c>
      <c r="DB365" s="57">
        <f>IFERROR($U366/$U365-1,"")</f>
        <v/>
      </c>
      <c r="DC365" s="57">
        <f>IFERROR($V366/$V365-1,"")</f>
        <v/>
      </c>
      <c r="DD365" s="57">
        <f>IFERROR($W366/$W365-1,"")</f>
        <v/>
      </c>
      <c r="DE365" s="57">
        <f>IFERROR($X366/$X365-1,"")</f>
        <v/>
      </c>
      <c r="DF365" s="57">
        <f>IFERROR($Y366/$Y365-1,"")</f>
        <v/>
      </c>
      <c r="DG365" s="57">
        <f>IFERROR($Z366/$Z365-1,"")</f>
        <v/>
      </c>
      <c r="DH365" s="57">
        <f>IFERROR($AA366/$AA365-1,"")</f>
        <v/>
      </c>
      <c r="DI365" s="57">
        <f>IFERROR($AB366/$AB365-1,"")</f>
        <v/>
      </c>
      <c r="DJ365" s="57">
        <f>IFERROR($AC366/$AC365-1,"")</f>
        <v/>
      </c>
      <c r="DK365" s="57">
        <f>IFERROR($AD366/$AD365-1,"")</f>
        <v/>
      </c>
      <c r="DL365" s="57">
        <f>IFERROR($AE366/$AE365-1,"")</f>
        <v/>
      </c>
      <c r="DM365" s="56">
        <f>$AZ365-$AZ366</f>
        <v/>
      </c>
      <c r="DN365" s="56">
        <f>$BA365-$BA366</f>
        <v/>
      </c>
      <c r="DO365" s="56">
        <f>$BB365-$BB366</f>
        <v/>
      </c>
      <c r="DP365" s="56">
        <f>$BC365-$BC366</f>
        <v/>
      </c>
      <c r="DQ365" s="56">
        <f>$BD365-$BD366</f>
        <v/>
      </c>
      <c r="DR365" s="56">
        <f>$BE365-$BE366</f>
        <v/>
      </c>
      <c r="DS365" s="56">
        <f>$BF365-$BF366</f>
        <v/>
      </c>
      <c r="DT365" s="56">
        <f>$BG365-$BG366</f>
        <v/>
      </c>
      <c r="DU365" s="56">
        <f>$BH365-$BH366</f>
        <v/>
      </c>
      <c r="DV365" s="56">
        <f>$BI365-$BI366</f>
        <v/>
      </c>
      <c r="DW365" s="56">
        <f>$BJ365-$BJ366</f>
        <v/>
      </c>
      <c r="DX365" s="56">
        <f>$BK365-$BK366</f>
        <v/>
      </c>
      <c r="DY365" s="56">
        <f>$BL365-$BL366</f>
        <v/>
      </c>
      <c r="DZ365" s="56">
        <f>$BM365-$BM366</f>
        <v/>
      </c>
      <c r="EA365" s="56">
        <f>$BN365-$BN366</f>
        <v/>
      </c>
      <c r="EB365" s="56">
        <f>$BO365-$BO366</f>
        <v/>
      </c>
      <c r="EC365" s="56">
        <f>$BP365-$BP366</f>
        <v/>
      </c>
      <c r="ED365" s="56">
        <f>$BQ365-$BQ366</f>
        <v/>
      </c>
      <c r="EE365" s="56">
        <f>$BR365-$BR366</f>
        <v/>
      </c>
      <c r="EF365" s="56">
        <f>$BS365-$BS366</f>
        <v/>
      </c>
      <c r="EG365" s="56">
        <f>$BT365-$BT366</f>
        <v/>
      </c>
      <c r="EH365" s="56">
        <f>$BU365-$BU366</f>
        <v/>
      </c>
    </row>
    <row r="366">
      <c r="BV366" s="56">
        <f>($D366-$D367)*100</f>
        <v/>
      </c>
      <c r="BW366" s="56">
        <f>($C366-$C367)*100</f>
        <v/>
      </c>
      <c r="BX366" s="57">
        <f>IFERROR($I366/$I367-1,"")</f>
        <v/>
      </c>
      <c r="BY366" s="56">
        <f>($AF366-$AF367)*100</f>
        <v/>
      </c>
      <c r="BZ366" s="56">
        <f>($AG366-$AG367)*100</f>
        <v/>
      </c>
      <c r="CA366" s="56">
        <f>($AH366-$AH367)*100</f>
        <v/>
      </c>
      <c r="CB366" s="56">
        <f>($AI366-$AI367)*100</f>
        <v/>
      </c>
      <c r="CC366" s="56">
        <f>($AJ366-$AJ367)*100</f>
        <v/>
      </c>
      <c r="CD366" s="56">
        <f>($AK366-$AK367)*100</f>
        <v/>
      </c>
      <c r="CE366" s="56">
        <f>($AL366-$AL367)*100</f>
        <v/>
      </c>
      <c r="CF366" s="56">
        <f>($AM366-$AM367)*100</f>
        <v/>
      </c>
      <c r="CG366" s="56">
        <f>($AN366-$AN367)*100</f>
        <v/>
      </c>
      <c r="CH366" s="56">
        <f>($AO366-$AO367)*100</f>
        <v/>
      </c>
      <c r="CI366" s="56">
        <f>($AP366-$AP367)*100</f>
        <v/>
      </c>
      <c r="CJ366" s="56">
        <f>($AQ366-$AQ367)*100</f>
        <v/>
      </c>
      <c r="CK366" s="56">
        <f>($AR366-$AR367)*100</f>
        <v/>
      </c>
      <c r="CL366" s="56">
        <f>($AS366-$AS367)*100</f>
        <v/>
      </c>
      <c r="CM366" s="56">
        <f>($AT366-$AT367)*100</f>
        <v/>
      </c>
      <c r="CN366" s="56">
        <f>($AU366-$AU367)*100</f>
        <v/>
      </c>
      <c r="CO366" s="56">
        <f>($AV366-$AV367)*100</f>
        <v/>
      </c>
      <c r="CP366" s="56">
        <f>($AW366-$AW367)*100</f>
        <v/>
      </c>
      <c r="CQ366" s="56">
        <f>($AX366-$AX367)*100</f>
        <v/>
      </c>
      <c r="CR366" s="56">
        <f>($AY366-$AY367)*100</f>
        <v/>
      </c>
      <c r="CS366" s="57">
        <f>IFERROR($L367/$L366-1,"")</f>
        <v/>
      </c>
      <c r="CT366" s="57">
        <f>IFERROR($M367/$M366-1,"")</f>
        <v/>
      </c>
      <c r="CU366" s="57">
        <f>IFERROR($N367/$N366-1,"")</f>
        <v/>
      </c>
      <c r="CV366" s="57">
        <f>IFERROR($O367/$O366-1,"")</f>
        <v/>
      </c>
      <c r="CW366" s="57">
        <f>IFERROR($P367/$P366-1,"")</f>
        <v/>
      </c>
      <c r="CX366" s="57">
        <f>IFERROR($Q367/$Q366-1,"")</f>
        <v/>
      </c>
      <c r="CY366" s="57">
        <f>IFERROR($R367/$R366-1,"")</f>
        <v/>
      </c>
      <c r="CZ366" s="57">
        <f>IFERROR($S367/$S366-1,"")</f>
        <v/>
      </c>
      <c r="DA366" s="57">
        <f>IFERROR($T367/$T366-1,"")</f>
        <v/>
      </c>
      <c r="DB366" s="57">
        <f>IFERROR($U367/$U366-1,"")</f>
        <v/>
      </c>
      <c r="DC366" s="57">
        <f>IFERROR($V367/$V366-1,"")</f>
        <v/>
      </c>
      <c r="DD366" s="57">
        <f>IFERROR($W367/$W366-1,"")</f>
        <v/>
      </c>
      <c r="DE366" s="57">
        <f>IFERROR($X367/$X366-1,"")</f>
        <v/>
      </c>
      <c r="DF366" s="57">
        <f>IFERROR($Y367/$Y366-1,"")</f>
        <v/>
      </c>
      <c r="DG366" s="57">
        <f>IFERROR($Z367/$Z366-1,"")</f>
        <v/>
      </c>
      <c r="DH366" s="57">
        <f>IFERROR($AA367/$AA366-1,"")</f>
        <v/>
      </c>
      <c r="DI366" s="57">
        <f>IFERROR($AB367/$AB366-1,"")</f>
        <v/>
      </c>
      <c r="DJ366" s="57">
        <f>IFERROR($AC367/$AC366-1,"")</f>
        <v/>
      </c>
      <c r="DK366" s="57">
        <f>IFERROR($AD367/$AD366-1,"")</f>
        <v/>
      </c>
      <c r="DL366" s="57">
        <f>IFERROR($AE367/$AE366-1,"")</f>
        <v/>
      </c>
      <c r="DM366" s="56">
        <f>$AZ366-$AZ367</f>
        <v/>
      </c>
      <c r="DN366" s="56">
        <f>$BA366-$BA367</f>
        <v/>
      </c>
      <c r="DO366" s="56">
        <f>$BB366-$BB367</f>
        <v/>
      </c>
      <c r="DP366" s="56">
        <f>$BC366-$BC367</f>
        <v/>
      </c>
      <c r="DQ366" s="56">
        <f>$BD366-$BD367</f>
        <v/>
      </c>
      <c r="DR366" s="56">
        <f>$BE366-$BE367</f>
        <v/>
      </c>
      <c r="DS366" s="56">
        <f>$BF366-$BF367</f>
        <v/>
      </c>
      <c r="DT366" s="56">
        <f>$BG366-$BG367</f>
        <v/>
      </c>
      <c r="DU366" s="56">
        <f>$BH366-$BH367</f>
        <v/>
      </c>
      <c r="DV366" s="56">
        <f>$BI366-$BI367</f>
        <v/>
      </c>
      <c r="DW366" s="56">
        <f>$BJ366-$BJ367</f>
        <v/>
      </c>
      <c r="DX366" s="56">
        <f>$BK366-$BK367</f>
        <v/>
      </c>
      <c r="DY366" s="56">
        <f>$BL366-$BL367</f>
        <v/>
      </c>
      <c r="DZ366" s="56">
        <f>$BM366-$BM367</f>
        <v/>
      </c>
      <c r="EA366" s="56">
        <f>$BN366-$BN367</f>
        <v/>
      </c>
      <c r="EB366" s="56">
        <f>$BO366-$BO367</f>
        <v/>
      </c>
      <c r="EC366" s="56">
        <f>$BP366-$BP367</f>
        <v/>
      </c>
      <c r="ED366" s="56">
        <f>$BQ366-$BQ367</f>
        <v/>
      </c>
      <c r="EE366" s="56">
        <f>$BR366-$BR367</f>
        <v/>
      </c>
      <c r="EF366" s="56">
        <f>$BS366-$BS367</f>
        <v/>
      </c>
      <c r="EG366" s="56">
        <f>$BT366-$BT367</f>
        <v/>
      </c>
      <c r="EH366" s="56">
        <f>$BU366-$BU367</f>
        <v/>
      </c>
    </row>
    <row r="367">
      <c r="BV367" s="56">
        <f>($D367-$D368)*100</f>
        <v/>
      </c>
      <c r="BW367" s="56">
        <f>($C367-$C368)*100</f>
        <v/>
      </c>
      <c r="BX367" s="57">
        <f>IFERROR($I367/$I368-1,"")</f>
        <v/>
      </c>
      <c r="BY367" s="56">
        <f>($AF367-$AF368)*100</f>
        <v/>
      </c>
      <c r="BZ367" s="56">
        <f>($AG367-$AG368)*100</f>
        <v/>
      </c>
      <c r="CA367" s="56">
        <f>($AH367-$AH368)*100</f>
        <v/>
      </c>
      <c r="CB367" s="56">
        <f>($AI367-$AI368)*100</f>
        <v/>
      </c>
      <c r="CC367" s="56">
        <f>($AJ367-$AJ368)*100</f>
        <v/>
      </c>
      <c r="CD367" s="56">
        <f>($AK367-$AK368)*100</f>
        <v/>
      </c>
      <c r="CE367" s="56">
        <f>($AL367-$AL368)*100</f>
        <v/>
      </c>
      <c r="CF367" s="56">
        <f>($AM367-$AM368)*100</f>
        <v/>
      </c>
      <c r="CG367" s="56">
        <f>($AN367-$AN368)*100</f>
        <v/>
      </c>
      <c r="CH367" s="56">
        <f>($AO367-$AO368)*100</f>
        <v/>
      </c>
      <c r="CI367" s="56">
        <f>($AP367-$AP368)*100</f>
        <v/>
      </c>
      <c r="CJ367" s="56">
        <f>($AQ367-$AQ368)*100</f>
        <v/>
      </c>
      <c r="CK367" s="56">
        <f>($AR367-$AR368)*100</f>
        <v/>
      </c>
      <c r="CL367" s="56">
        <f>($AS367-$AS368)*100</f>
        <v/>
      </c>
      <c r="CM367" s="56">
        <f>($AT367-$AT368)*100</f>
        <v/>
      </c>
      <c r="CN367" s="56">
        <f>($AU367-$AU368)*100</f>
        <v/>
      </c>
      <c r="CO367" s="56">
        <f>($AV367-$AV368)*100</f>
        <v/>
      </c>
      <c r="CP367" s="56">
        <f>($AW367-$AW368)*100</f>
        <v/>
      </c>
      <c r="CQ367" s="56">
        <f>($AX367-$AX368)*100</f>
        <v/>
      </c>
      <c r="CR367" s="56">
        <f>($AY367-$AY368)*100</f>
        <v/>
      </c>
      <c r="CS367" s="57">
        <f>IFERROR($L368/$L367-1,"")</f>
        <v/>
      </c>
      <c r="CT367" s="57">
        <f>IFERROR($M368/$M367-1,"")</f>
        <v/>
      </c>
      <c r="CU367" s="57">
        <f>IFERROR($N368/$N367-1,"")</f>
        <v/>
      </c>
      <c r="CV367" s="57">
        <f>IFERROR($O368/$O367-1,"")</f>
        <v/>
      </c>
      <c r="CW367" s="57">
        <f>IFERROR($P368/$P367-1,"")</f>
        <v/>
      </c>
      <c r="CX367" s="57">
        <f>IFERROR($Q368/$Q367-1,"")</f>
        <v/>
      </c>
      <c r="CY367" s="57">
        <f>IFERROR($R368/$R367-1,"")</f>
        <v/>
      </c>
      <c r="CZ367" s="57">
        <f>IFERROR($S368/$S367-1,"")</f>
        <v/>
      </c>
      <c r="DA367" s="57">
        <f>IFERROR($T368/$T367-1,"")</f>
        <v/>
      </c>
      <c r="DB367" s="57">
        <f>IFERROR($U368/$U367-1,"")</f>
        <v/>
      </c>
      <c r="DC367" s="57">
        <f>IFERROR($V368/$V367-1,"")</f>
        <v/>
      </c>
      <c r="DD367" s="57">
        <f>IFERROR($W368/$W367-1,"")</f>
        <v/>
      </c>
      <c r="DE367" s="57">
        <f>IFERROR($X368/$X367-1,"")</f>
        <v/>
      </c>
      <c r="DF367" s="57">
        <f>IFERROR($Y368/$Y367-1,"")</f>
        <v/>
      </c>
      <c r="DG367" s="57">
        <f>IFERROR($Z368/$Z367-1,"")</f>
        <v/>
      </c>
      <c r="DH367" s="57">
        <f>IFERROR($AA368/$AA367-1,"")</f>
        <v/>
      </c>
      <c r="DI367" s="57">
        <f>IFERROR($AB368/$AB367-1,"")</f>
        <v/>
      </c>
      <c r="DJ367" s="57">
        <f>IFERROR($AC368/$AC367-1,"")</f>
        <v/>
      </c>
      <c r="DK367" s="57">
        <f>IFERROR($AD368/$AD367-1,"")</f>
        <v/>
      </c>
      <c r="DL367" s="57">
        <f>IFERROR($AE368/$AE367-1,"")</f>
        <v/>
      </c>
      <c r="DM367" s="56">
        <f>$AZ367-$AZ368</f>
        <v/>
      </c>
      <c r="DN367" s="56">
        <f>$BA367-$BA368</f>
        <v/>
      </c>
      <c r="DO367" s="56">
        <f>$BB367-$BB368</f>
        <v/>
      </c>
      <c r="DP367" s="56">
        <f>$BC367-$BC368</f>
        <v/>
      </c>
      <c r="DQ367" s="56">
        <f>$BD367-$BD368</f>
        <v/>
      </c>
      <c r="DR367" s="56">
        <f>$BE367-$BE368</f>
        <v/>
      </c>
      <c r="DS367" s="56">
        <f>$BF367-$BF368</f>
        <v/>
      </c>
      <c r="DT367" s="56">
        <f>$BG367-$BG368</f>
        <v/>
      </c>
      <c r="DU367" s="56">
        <f>$BH367-$BH368</f>
        <v/>
      </c>
      <c r="DV367" s="56">
        <f>$BI367-$BI368</f>
        <v/>
      </c>
      <c r="DW367" s="56">
        <f>$BJ367-$BJ368</f>
        <v/>
      </c>
      <c r="DX367" s="56">
        <f>$BK367-$BK368</f>
        <v/>
      </c>
      <c r="DY367" s="56">
        <f>$BL367-$BL368</f>
        <v/>
      </c>
      <c r="DZ367" s="56">
        <f>$BM367-$BM368</f>
        <v/>
      </c>
      <c r="EA367" s="56">
        <f>$BN367-$BN368</f>
        <v/>
      </c>
      <c r="EB367" s="56">
        <f>$BO367-$BO368</f>
        <v/>
      </c>
      <c r="EC367" s="56">
        <f>$BP367-$BP368</f>
        <v/>
      </c>
      <c r="ED367" s="56">
        <f>$BQ367-$BQ368</f>
        <v/>
      </c>
      <c r="EE367" s="56">
        <f>$BR367-$BR368</f>
        <v/>
      </c>
      <c r="EF367" s="56">
        <f>$BS367-$BS368</f>
        <v/>
      </c>
      <c r="EG367" s="56">
        <f>$BT367-$BT368</f>
        <v/>
      </c>
      <c r="EH367" s="56">
        <f>$BU367-$BU368</f>
        <v/>
      </c>
    </row>
    <row r="368">
      <c r="BV368" s="56">
        <f>($D368-$D369)*100</f>
        <v/>
      </c>
      <c r="BW368" s="56">
        <f>($C368-$C369)*100</f>
        <v/>
      </c>
      <c r="BX368" s="57">
        <f>IFERROR($I368/$I369-1,"")</f>
        <v/>
      </c>
      <c r="BY368" s="56">
        <f>($AF368-$AF369)*100</f>
        <v/>
      </c>
      <c r="BZ368" s="56">
        <f>($AG368-$AG369)*100</f>
        <v/>
      </c>
      <c r="CA368" s="56">
        <f>($AH368-$AH369)*100</f>
        <v/>
      </c>
      <c r="CB368" s="56">
        <f>($AI368-$AI369)*100</f>
        <v/>
      </c>
      <c r="CC368" s="56">
        <f>($AJ368-$AJ369)*100</f>
        <v/>
      </c>
      <c r="CD368" s="56">
        <f>($AK368-$AK369)*100</f>
        <v/>
      </c>
      <c r="CE368" s="56">
        <f>($AL368-$AL369)*100</f>
        <v/>
      </c>
      <c r="CF368" s="56">
        <f>($AM368-$AM369)*100</f>
        <v/>
      </c>
      <c r="CG368" s="56">
        <f>($AN368-$AN369)*100</f>
        <v/>
      </c>
      <c r="CH368" s="56">
        <f>($AO368-$AO369)*100</f>
        <v/>
      </c>
      <c r="CI368" s="56">
        <f>($AP368-$AP369)*100</f>
        <v/>
      </c>
      <c r="CJ368" s="56">
        <f>($AQ368-$AQ369)*100</f>
        <v/>
      </c>
      <c r="CK368" s="56">
        <f>($AR368-$AR369)*100</f>
        <v/>
      </c>
      <c r="CL368" s="56">
        <f>($AS368-$AS369)*100</f>
        <v/>
      </c>
      <c r="CM368" s="56">
        <f>($AT368-$AT369)*100</f>
        <v/>
      </c>
      <c r="CN368" s="56">
        <f>($AU368-$AU369)*100</f>
        <v/>
      </c>
      <c r="CO368" s="56">
        <f>($AV368-$AV369)*100</f>
        <v/>
      </c>
      <c r="CP368" s="56">
        <f>($AW368-$AW369)*100</f>
        <v/>
      </c>
      <c r="CQ368" s="56">
        <f>($AX368-$AX369)*100</f>
        <v/>
      </c>
      <c r="CR368" s="56">
        <f>($AY368-$AY369)*100</f>
        <v/>
      </c>
      <c r="CS368" s="57">
        <f>IFERROR($L369/$L368-1,"")</f>
        <v/>
      </c>
      <c r="CT368" s="57">
        <f>IFERROR($M369/$M368-1,"")</f>
        <v/>
      </c>
      <c r="CU368" s="57">
        <f>IFERROR($N369/$N368-1,"")</f>
        <v/>
      </c>
      <c r="CV368" s="57">
        <f>IFERROR($O369/$O368-1,"")</f>
        <v/>
      </c>
      <c r="CW368" s="57">
        <f>IFERROR($P369/$P368-1,"")</f>
        <v/>
      </c>
      <c r="CX368" s="57">
        <f>IFERROR($Q369/$Q368-1,"")</f>
        <v/>
      </c>
      <c r="CY368" s="57">
        <f>IFERROR($R369/$R368-1,"")</f>
        <v/>
      </c>
      <c r="CZ368" s="57">
        <f>IFERROR($S369/$S368-1,"")</f>
        <v/>
      </c>
      <c r="DA368" s="57">
        <f>IFERROR($T369/$T368-1,"")</f>
        <v/>
      </c>
      <c r="DB368" s="57">
        <f>IFERROR($U369/$U368-1,"")</f>
        <v/>
      </c>
      <c r="DC368" s="57">
        <f>IFERROR($V369/$V368-1,"")</f>
        <v/>
      </c>
      <c r="DD368" s="57">
        <f>IFERROR($W369/$W368-1,"")</f>
        <v/>
      </c>
      <c r="DE368" s="57">
        <f>IFERROR($X369/$X368-1,"")</f>
        <v/>
      </c>
      <c r="DF368" s="57">
        <f>IFERROR($Y369/$Y368-1,"")</f>
        <v/>
      </c>
      <c r="DG368" s="57">
        <f>IFERROR($Z369/$Z368-1,"")</f>
        <v/>
      </c>
      <c r="DH368" s="57">
        <f>IFERROR($AA369/$AA368-1,"")</f>
        <v/>
      </c>
      <c r="DI368" s="57">
        <f>IFERROR($AB369/$AB368-1,"")</f>
        <v/>
      </c>
      <c r="DJ368" s="57">
        <f>IFERROR($AC369/$AC368-1,"")</f>
        <v/>
      </c>
      <c r="DK368" s="57">
        <f>IFERROR($AD369/$AD368-1,"")</f>
        <v/>
      </c>
      <c r="DL368" s="57">
        <f>IFERROR($AE369/$AE368-1,"")</f>
        <v/>
      </c>
      <c r="DM368" s="56">
        <f>$AZ368-$AZ369</f>
        <v/>
      </c>
      <c r="DN368" s="56">
        <f>$BA368-$BA369</f>
        <v/>
      </c>
      <c r="DO368" s="56">
        <f>$BB368-$BB369</f>
        <v/>
      </c>
      <c r="DP368" s="56">
        <f>$BC368-$BC369</f>
        <v/>
      </c>
      <c r="DQ368" s="56">
        <f>$BD368-$BD369</f>
        <v/>
      </c>
      <c r="DR368" s="56">
        <f>$BE368-$BE369</f>
        <v/>
      </c>
      <c r="DS368" s="56">
        <f>$BF368-$BF369</f>
        <v/>
      </c>
      <c r="DT368" s="56">
        <f>$BG368-$BG369</f>
        <v/>
      </c>
      <c r="DU368" s="56">
        <f>$BH368-$BH369</f>
        <v/>
      </c>
      <c r="DV368" s="56">
        <f>$BI368-$BI369</f>
        <v/>
      </c>
      <c r="DW368" s="56">
        <f>$BJ368-$BJ369</f>
        <v/>
      </c>
      <c r="DX368" s="56">
        <f>$BK368-$BK369</f>
        <v/>
      </c>
      <c r="DY368" s="56">
        <f>$BL368-$BL369</f>
        <v/>
      </c>
      <c r="DZ368" s="56">
        <f>$BM368-$BM369</f>
        <v/>
      </c>
      <c r="EA368" s="56">
        <f>$BN368-$BN369</f>
        <v/>
      </c>
      <c r="EB368" s="56">
        <f>$BO368-$BO369</f>
        <v/>
      </c>
      <c r="EC368" s="56">
        <f>$BP368-$BP369</f>
        <v/>
      </c>
      <c r="ED368" s="56">
        <f>$BQ368-$BQ369</f>
        <v/>
      </c>
      <c r="EE368" s="56">
        <f>$BR368-$BR369</f>
        <v/>
      </c>
      <c r="EF368" s="56">
        <f>$BS368-$BS369</f>
        <v/>
      </c>
      <c r="EG368" s="56">
        <f>$BT368-$BT369</f>
        <v/>
      </c>
      <c r="EH368" s="56">
        <f>$BU368-$BU369</f>
        <v/>
      </c>
    </row>
    <row r="369">
      <c r="BV369" s="56">
        <f>($D369-$D370)*100</f>
        <v/>
      </c>
      <c r="BW369" s="56">
        <f>($C369-$C370)*100</f>
        <v/>
      </c>
      <c r="BX369" s="57">
        <f>IFERROR($I369/$I370-1,"")</f>
        <v/>
      </c>
      <c r="BY369" s="56">
        <f>($AF369-$AF370)*100</f>
        <v/>
      </c>
      <c r="BZ369" s="56">
        <f>($AG369-$AG370)*100</f>
        <v/>
      </c>
      <c r="CA369" s="56">
        <f>($AH369-$AH370)*100</f>
        <v/>
      </c>
      <c r="CB369" s="56">
        <f>($AI369-$AI370)*100</f>
        <v/>
      </c>
      <c r="CC369" s="56">
        <f>($AJ369-$AJ370)*100</f>
        <v/>
      </c>
      <c r="CD369" s="56">
        <f>($AK369-$AK370)*100</f>
        <v/>
      </c>
      <c r="CE369" s="56">
        <f>($AL369-$AL370)*100</f>
        <v/>
      </c>
      <c r="CF369" s="56">
        <f>($AM369-$AM370)*100</f>
        <v/>
      </c>
      <c r="CG369" s="56">
        <f>($AN369-$AN370)*100</f>
        <v/>
      </c>
      <c r="CH369" s="56">
        <f>($AO369-$AO370)*100</f>
        <v/>
      </c>
      <c r="CI369" s="56">
        <f>($AP369-$AP370)*100</f>
        <v/>
      </c>
      <c r="CJ369" s="56">
        <f>($AQ369-$AQ370)*100</f>
        <v/>
      </c>
      <c r="CK369" s="56">
        <f>($AR369-$AR370)*100</f>
        <v/>
      </c>
      <c r="CL369" s="56">
        <f>($AS369-$AS370)*100</f>
        <v/>
      </c>
      <c r="CM369" s="56">
        <f>($AT369-$AT370)*100</f>
        <v/>
      </c>
      <c r="CN369" s="56">
        <f>($AU369-$AU370)*100</f>
        <v/>
      </c>
      <c r="CO369" s="56">
        <f>($AV369-$AV370)*100</f>
        <v/>
      </c>
      <c r="CP369" s="56">
        <f>($AW369-$AW370)*100</f>
        <v/>
      </c>
      <c r="CQ369" s="56">
        <f>($AX369-$AX370)*100</f>
        <v/>
      </c>
      <c r="CR369" s="56">
        <f>($AY369-$AY370)*100</f>
        <v/>
      </c>
      <c r="CS369" s="57">
        <f>IFERROR($L370/$L369-1,"")</f>
        <v/>
      </c>
      <c r="CT369" s="57">
        <f>IFERROR($M370/$M369-1,"")</f>
        <v/>
      </c>
      <c r="CU369" s="57">
        <f>IFERROR($N370/$N369-1,"")</f>
        <v/>
      </c>
      <c r="CV369" s="57">
        <f>IFERROR($O370/$O369-1,"")</f>
        <v/>
      </c>
      <c r="CW369" s="57">
        <f>IFERROR($P370/$P369-1,"")</f>
        <v/>
      </c>
      <c r="CX369" s="57">
        <f>IFERROR($Q370/$Q369-1,"")</f>
        <v/>
      </c>
      <c r="CY369" s="57">
        <f>IFERROR($R370/$R369-1,"")</f>
        <v/>
      </c>
      <c r="CZ369" s="57">
        <f>IFERROR($S370/$S369-1,"")</f>
        <v/>
      </c>
      <c r="DA369" s="57">
        <f>IFERROR($T370/$T369-1,"")</f>
        <v/>
      </c>
      <c r="DB369" s="57">
        <f>IFERROR($U370/$U369-1,"")</f>
        <v/>
      </c>
      <c r="DC369" s="57">
        <f>IFERROR($V370/$V369-1,"")</f>
        <v/>
      </c>
      <c r="DD369" s="57">
        <f>IFERROR($W370/$W369-1,"")</f>
        <v/>
      </c>
      <c r="DE369" s="57">
        <f>IFERROR($X370/$X369-1,"")</f>
        <v/>
      </c>
      <c r="DF369" s="57">
        <f>IFERROR($Y370/$Y369-1,"")</f>
        <v/>
      </c>
      <c r="DG369" s="57">
        <f>IFERROR($Z370/$Z369-1,"")</f>
        <v/>
      </c>
      <c r="DH369" s="57">
        <f>IFERROR($AA370/$AA369-1,"")</f>
        <v/>
      </c>
      <c r="DI369" s="57">
        <f>IFERROR($AB370/$AB369-1,"")</f>
        <v/>
      </c>
      <c r="DJ369" s="57">
        <f>IFERROR($AC370/$AC369-1,"")</f>
        <v/>
      </c>
      <c r="DK369" s="57">
        <f>IFERROR($AD370/$AD369-1,"")</f>
        <v/>
      </c>
      <c r="DL369" s="57">
        <f>IFERROR($AE370/$AE369-1,"")</f>
        <v/>
      </c>
      <c r="DM369" s="56">
        <f>$AZ369-$AZ370</f>
        <v/>
      </c>
      <c r="DN369" s="56">
        <f>$BA369-$BA370</f>
        <v/>
      </c>
      <c r="DO369" s="56">
        <f>$BB369-$BB370</f>
        <v/>
      </c>
      <c r="DP369" s="56">
        <f>$BC369-$BC370</f>
        <v/>
      </c>
      <c r="DQ369" s="56">
        <f>$BD369-$BD370</f>
        <v/>
      </c>
      <c r="DR369" s="56">
        <f>$BE369-$BE370</f>
        <v/>
      </c>
      <c r="DS369" s="56">
        <f>$BF369-$BF370</f>
        <v/>
      </c>
      <c r="DT369" s="56">
        <f>$BG369-$BG370</f>
        <v/>
      </c>
      <c r="DU369" s="56">
        <f>$BH369-$BH370</f>
        <v/>
      </c>
      <c r="DV369" s="56">
        <f>$BI369-$BI370</f>
        <v/>
      </c>
      <c r="DW369" s="56">
        <f>$BJ369-$BJ370</f>
        <v/>
      </c>
      <c r="DX369" s="56">
        <f>$BK369-$BK370</f>
        <v/>
      </c>
      <c r="DY369" s="56">
        <f>$BL369-$BL370</f>
        <v/>
      </c>
      <c r="DZ369" s="56">
        <f>$BM369-$BM370</f>
        <v/>
      </c>
      <c r="EA369" s="56">
        <f>$BN369-$BN370</f>
        <v/>
      </c>
      <c r="EB369" s="56">
        <f>$BO369-$BO370</f>
        <v/>
      </c>
      <c r="EC369" s="56">
        <f>$BP369-$BP370</f>
        <v/>
      </c>
      <c r="ED369" s="56">
        <f>$BQ369-$BQ370</f>
        <v/>
      </c>
      <c r="EE369" s="56">
        <f>$BR369-$BR370</f>
        <v/>
      </c>
      <c r="EF369" s="56">
        <f>$BS369-$BS370</f>
        <v/>
      </c>
      <c r="EG369" s="56">
        <f>$BT369-$BT370</f>
        <v/>
      </c>
      <c r="EH369" s="56">
        <f>$BU369-$BU370</f>
        <v/>
      </c>
    </row>
    <row r="370">
      <c r="BV370" s="56">
        <f>($D370-$D371)*100</f>
        <v/>
      </c>
      <c r="BW370" s="56">
        <f>($C370-$C371)*100</f>
        <v/>
      </c>
      <c r="BX370" s="57">
        <f>IFERROR($I370/$I371-1,"")</f>
        <v/>
      </c>
      <c r="BY370" s="56">
        <f>($AF370-$AF371)*100</f>
        <v/>
      </c>
      <c r="BZ370" s="56">
        <f>($AG370-$AG371)*100</f>
        <v/>
      </c>
      <c r="CA370" s="56">
        <f>($AH370-$AH371)*100</f>
        <v/>
      </c>
      <c r="CB370" s="56">
        <f>($AI370-$AI371)*100</f>
        <v/>
      </c>
      <c r="CC370" s="56">
        <f>($AJ370-$AJ371)*100</f>
        <v/>
      </c>
      <c r="CD370" s="56">
        <f>($AK370-$AK371)*100</f>
        <v/>
      </c>
      <c r="CE370" s="56">
        <f>($AL370-$AL371)*100</f>
        <v/>
      </c>
      <c r="CF370" s="56">
        <f>($AM370-$AM371)*100</f>
        <v/>
      </c>
      <c r="CG370" s="56">
        <f>($AN370-$AN371)*100</f>
        <v/>
      </c>
      <c r="CH370" s="56">
        <f>($AO370-$AO371)*100</f>
        <v/>
      </c>
      <c r="CI370" s="56">
        <f>($AP370-$AP371)*100</f>
        <v/>
      </c>
      <c r="CJ370" s="56">
        <f>($AQ370-$AQ371)*100</f>
        <v/>
      </c>
      <c r="CK370" s="56">
        <f>($AR370-$AR371)*100</f>
        <v/>
      </c>
      <c r="CL370" s="56">
        <f>($AS370-$AS371)*100</f>
        <v/>
      </c>
      <c r="CM370" s="56">
        <f>($AT370-$AT371)*100</f>
        <v/>
      </c>
      <c r="CN370" s="56">
        <f>($AU370-$AU371)*100</f>
        <v/>
      </c>
      <c r="CO370" s="56">
        <f>($AV370-$AV371)*100</f>
        <v/>
      </c>
      <c r="CP370" s="56">
        <f>($AW370-$AW371)*100</f>
        <v/>
      </c>
      <c r="CQ370" s="56">
        <f>($AX370-$AX371)*100</f>
        <v/>
      </c>
      <c r="CR370" s="56">
        <f>($AY370-$AY371)*100</f>
        <v/>
      </c>
      <c r="CS370" s="57">
        <f>IFERROR($L371/$L370-1,"")</f>
        <v/>
      </c>
      <c r="CT370" s="57">
        <f>IFERROR($M371/$M370-1,"")</f>
        <v/>
      </c>
      <c r="CU370" s="57">
        <f>IFERROR($N371/$N370-1,"")</f>
        <v/>
      </c>
      <c r="CV370" s="57">
        <f>IFERROR($O371/$O370-1,"")</f>
        <v/>
      </c>
      <c r="CW370" s="57">
        <f>IFERROR($P371/$P370-1,"")</f>
        <v/>
      </c>
      <c r="CX370" s="57">
        <f>IFERROR($Q371/$Q370-1,"")</f>
        <v/>
      </c>
      <c r="CY370" s="57">
        <f>IFERROR($R371/$R370-1,"")</f>
        <v/>
      </c>
      <c r="CZ370" s="57">
        <f>IFERROR($S371/$S370-1,"")</f>
        <v/>
      </c>
      <c r="DA370" s="57">
        <f>IFERROR($T371/$T370-1,"")</f>
        <v/>
      </c>
      <c r="DB370" s="57">
        <f>IFERROR($U371/$U370-1,"")</f>
        <v/>
      </c>
      <c r="DC370" s="57">
        <f>IFERROR($V371/$V370-1,"")</f>
        <v/>
      </c>
      <c r="DD370" s="57">
        <f>IFERROR($W371/$W370-1,"")</f>
        <v/>
      </c>
      <c r="DE370" s="57">
        <f>IFERROR($X371/$X370-1,"")</f>
        <v/>
      </c>
      <c r="DF370" s="57">
        <f>IFERROR($Y371/$Y370-1,"")</f>
        <v/>
      </c>
      <c r="DG370" s="57">
        <f>IFERROR($Z371/$Z370-1,"")</f>
        <v/>
      </c>
      <c r="DH370" s="57">
        <f>IFERROR($AA371/$AA370-1,"")</f>
        <v/>
      </c>
      <c r="DI370" s="57">
        <f>IFERROR($AB371/$AB370-1,"")</f>
        <v/>
      </c>
      <c r="DJ370" s="57">
        <f>IFERROR($AC371/$AC370-1,"")</f>
        <v/>
      </c>
      <c r="DK370" s="57">
        <f>IFERROR($AD371/$AD370-1,"")</f>
        <v/>
      </c>
      <c r="DL370" s="57">
        <f>IFERROR($AE371/$AE370-1,"")</f>
        <v/>
      </c>
      <c r="DM370" s="56">
        <f>$AZ370-$AZ371</f>
        <v/>
      </c>
      <c r="DN370" s="56">
        <f>$BA370-$BA371</f>
        <v/>
      </c>
      <c r="DO370" s="56">
        <f>$BB370-$BB371</f>
        <v/>
      </c>
      <c r="DP370" s="56">
        <f>$BC370-$BC371</f>
        <v/>
      </c>
      <c r="DQ370" s="56">
        <f>$BD370-$BD371</f>
        <v/>
      </c>
      <c r="DR370" s="56">
        <f>$BE370-$BE371</f>
        <v/>
      </c>
      <c r="DS370" s="56">
        <f>$BF370-$BF371</f>
        <v/>
      </c>
      <c r="DT370" s="56">
        <f>$BG370-$BG371</f>
        <v/>
      </c>
      <c r="DU370" s="56">
        <f>$BH370-$BH371</f>
        <v/>
      </c>
      <c r="DV370" s="56">
        <f>$BI370-$BI371</f>
        <v/>
      </c>
      <c r="DW370" s="56">
        <f>$BJ370-$BJ371</f>
        <v/>
      </c>
      <c r="DX370" s="56">
        <f>$BK370-$BK371</f>
        <v/>
      </c>
      <c r="DY370" s="56">
        <f>$BL370-$BL371</f>
        <v/>
      </c>
      <c r="DZ370" s="56">
        <f>$BM370-$BM371</f>
        <v/>
      </c>
      <c r="EA370" s="56">
        <f>$BN370-$BN371</f>
        <v/>
      </c>
      <c r="EB370" s="56">
        <f>$BO370-$BO371</f>
        <v/>
      </c>
      <c r="EC370" s="56">
        <f>$BP370-$BP371</f>
        <v/>
      </c>
      <c r="ED370" s="56">
        <f>$BQ370-$BQ371</f>
        <v/>
      </c>
      <c r="EE370" s="56">
        <f>$BR370-$BR371</f>
        <v/>
      </c>
      <c r="EF370" s="56">
        <f>$BS370-$BS371</f>
        <v/>
      </c>
      <c r="EG370" s="56">
        <f>$BT370-$BT371</f>
        <v/>
      </c>
      <c r="EH370" s="56">
        <f>$BU370-$BU371</f>
        <v/>
      </c>
    </row>
    <row r="371">
      <c r="BV371" s="56">
        <f>($D371-$D372)*100</f>
        <v/>
      </c>
      <c r="BW371" s="56">
        <f>($C371-$C372)*100</f>
        <v/>
      </c>
      <c r="BX371" s="57">
        <f>IFERROR($I371/$I372-1,"")</f>
        <v/>
      </c>
      <c r="BY371" s="56">
        <f>($AF371-$AF372)*100</f>
        <v/>
      </c>
      <c r="BZ371" s="56">
        <f>($AG371-$AG372)*100</f>
        <v/>
      </c>
      <c r="CA371" s="56">
        <f>($AH371-$AH372)*100</f>
        <v/>
      </c>
      <c r="CB371" s="56">
        <f>($AI371-$AI372)*100</f>
        <v/>
      </c>
      <c r="CC371" s="56">
        <f>($AJ371-$AJ372)*100</f>
        <v/>
      </c>
      <c r="CD371" s="56">
        <f>($AK371-$AK372)*100</f>
        <v/>
      </c>
      <c r="CE371" s="56">
        <f>($AL371-$AL372)*100</f>
        <v/>
      </c>
      <c r="CF371" s="56">
        <f>($AM371-$AM372)*100</f>
        <v/>
      </c>
      <c r="CG371" s="56">
        <f>($AN371-$AN372)*100</f>
        <v/>
      </c>
      <c r="CH371" s="56">
        <f>($AO371-$AO372)*100</f>
        <v/>
      </c>
      <c r="CI371" s="56">
        <f>($AP371-$AP372)*100</f>
        <v/>
      </c>
      <c r="CJ371" s="56">
        <f>($AQ371-$AQ372)*100</f>
        <v/>
      </c>
      <c r="CK371" s="56">
        <f>($AR371-$AR372)*100</f>
        <v/>
      </c>
      <c r="CL371" s="56">
        <f>($AS371-$AS372)*100</f>
        <v/>
      </c>
      <c r="CM371" s="56">
        <f>($AT371-$AT372)*100</f>
        <v/>
      </c>
      <c r="CN371" s="56">
        <f>($AU371-$AU372)*100</f>
        <v/>
      </c>
      <c r="CO371" s="56">
        <f>($AV371-$AV372)*100</f>
        <v/>
      </c>
      <c r="CP371" s="56">
        <f>($AW371-$AW372)*100</f>
        <v/>
      </c>
      <c r="CQ371" s="56">
        <f>($AX371-$AX372)*100</f>
        <v/>
      </c>
      <c r="CR371" s="56">
        <f>($AY371-$AY372)*100</f>
        <v/>
      </c>
      <c r="CS371" s="57">
        <f>IFERROR($L372/$L371-1,"")</f>
        <v/>
      </c>
      <c r="CT371" s="57">
        <f>IFERROR($M372/$M371-1,"")</f>
        <v/>
      </c>
      <c r="CU371" s="57">
        <f>IFERROR($N372/$N371-1,"")</f>
        <v/>
      </c>
      <c r="CV371" s="57">
        <f>IFERROR($O372/$O371-1,"")</f>
        <v/>
      </c>
      <c r="CW371" s="57">
        <f>IFERROR($P372/$P371-1,"")</f>
        <v/>
      </c>
      <c r="CX371" s="57">
        <f>IFERROR($Q372/$Q371-1,"")</f>
        <v/>
      </c>
      <c r="CY371" s="57">
        <f>IFERROR($R372/$R371-1,"")</f>
        <v/>
      </c>
      <c r="CZ371" s="57">
        <f>IFERROR($S372/$S371-1,"")</f>
        <v/>
      </c>
      <c r="DA371" s="57">
        <f>IFERROR($T372/$T371-1,"")</f>
        <v/>
      </c>
      <c r="DB371" s="57">
        <f>IFERROR($U372/$U371-1,"")</f>
        <v/>
      </c>
      <c r="DC371" s="57">
        <f>IFERROR($V372/$V371-1,"")</f>
        <v/>
      </c>
      <c r="DD371" s="57">
        <f>IFERROR($W372/$W371-1,"")</f>
        <v/>
      </c>
      <c r="DE371" s="57">
        <f>IFERROR($X372/$X371-1,"")</f>
        <v/>
      </c>
      <c r="DF371" s="57">
        <f>IFERROR($Y372/$Y371-1,"")</f>
        <v/>
      </c>
      <c r="DG371" s="57">
        <f>IFERROR($Z372/$Z371-1,"")</f>
        <v/>
      </c>
      <c r="DH371" s="57">
        <f>IFERROR($AA372/$AA371-1,"")</f>
        <v/>
      </c>
      <c r="DI371" s="57">
        <f>IFERROR($AB372/$AB371-1,"")</f>
        <v/>
      </c>
      <c r="DJ371" s="57">
        <f>IFERROR($AC372/$AC371-1,"")</f>
        <v/>
      </c>
      <c r="DK371" s="57">
        <f>IFERROR($AD372/$AD371-1,"")</f>
        <v/>
      </c>
      <c r="DL371" s="57">
        <f>IFERROR($AE372/$AE371-1,"")</f>
        <v/>
      </c>
      <c r="DM371" s="56">
        <f>$AZ371-$AZ372</f>
        <v/>
      </c>
      <c r="DN371" s="56">
        <f>$BA371-$BA372</f>
        <v/>
      </c>
      <c r="DO371" s="56">
        <f>$BB371-$BB372</f>
        <v/>
      </c>
      <c r="DP371" s="56">
        <f>$BC371-$BC372</f>
        <v/>
      </c>
      <c r="DQ371" s="56">
        <f>$BD371-$BD372</f>
        <v/>
      </c>
      <c r="DR371" s="56">
        <f>$BE371-$BE372</f>
        <v/>
      </c>
      <c r="DS371" s="56">
        <f>$BF371-$BF372</f>
        <v/>
      </c>
      <c r="DT371" s="56">
        <f>$BG371-$BG372</f>
        <v/>
      </c>
      <c r="DU371" s="56">
        <f>$BH371-$BH372</f>
        <v/>
      </c>
      <c r="DV371" s="56">
        <f>$BI371-$BI372</f>
        <v/>
      </c>
      <c r="DW371" s="56">
        <f>$BJ371-$BJ372</f>
        <v/>
      </c>
      <c r="DX371" s="56">
        <f>$BK371-$BK372</f>
        <v/>
      </c>
      <c r="DY371" s="56">
        <f>$BL371-$BL372</f>
        <v/>
      </c>
      <c r="DZ371" s="56">
        <f>$BM371-$BM372</f>
        <v/>
      </c>
      <c r="EA371" s="56">
        <f>$BN371-$BN372</f>
        <v/>
      </c>
      <c r="EB371" s="56">
        <f>$BO371-$BO372</f>
        <v/>
      </c>
      <c r="EC371" s="56">
        <f>$BP371-$BP372</f>
        <v/>
      </c>
      <c r="ED371" s="56">
        <f>$BQ371-$BQ372</f>
        <v/>
      </c>
      <c r="EE371" s="56">
        <f>$BR371-$BR372</f>
        <v/>
      </c>
      <c r="EF371" s="56">
        <f>$BS371-$BS372</f>
        <v/>
      </c>
      <c r="EG371" s="56">
        <f>$BT371-$BT372</f>
        <v/>
      </c>
      <c r="EH371" s="56">
        <f>$BU371-$BU372</f>
        <v/>
      </c>
    </row>
    <row r="372">
      <c r="BV372" s="56">
        <f>($D372-$D373)*100</f>
        <v/>
      </c>
      <c r="BW372" s="56">
        <f>($C372-$C373)*100</f>
        <v/>
      </c>
      <c r="BX372" s="57">
        <f>IFERROR($I372/$I373-1,"")</f>
        <v/>
      </c>
      <c r="BY372" s="56">
        <f>($AF372-$AF373)*100</f>
        <v/>
      </c>
      <c r="BZ372" s="56">
        <f>($AG372-$AG373)*100</f>
        <v/>
      </c>
      <c r="CA372" s="56">
        <f>($AH372-$AH373)*100</f>
        <v/>
      </c>
      <c r="CB372" s="56">
        <f>($AI372-$AI373)*100</f>
        <v/>
      </c>
      <c r="CC372" s="56">
        <f>($AJ372-$AJ373)*100</f>
        <v/>
      </c>
      <c r="CD372" s="56">
        <f>($AK372-$AK373)*100</f>
        <v/>
      </c>
      <c r="CE372" s="56">
        <f>($AL372-$AL373)*100</f>
        <v/>
      </c>
      <c r="CF372" s="56">
        <f>($AM372-$AM373)*100</f>
        <v/>
      </c>
      <c r="CG372" s="56">
        <f>($AN372-$AN373)*100</f>
        <v/>
      </c>
      <c r="CH372" s="56">
        <f>($AO372-$AO373)*100</f>
        <v/>
      </c>
      <c r="CI372" s="56">
        <f>($AP372-$AP373)*100</f>
        <v/>
      </c>
      <c r="CJ372" s="56">
        <f>($AQ372-$AQ373)*100</f>
        <v/>
      </c>
      <c r="CK372" s="56">
        <f>($AR372-$AR373)*100</f>
        <v/>
      </c>
      <c r="CL372" s="56">
        <f>($AS372-$AS373)*100</f>
        <v/>
      </c>
      <c r="CM372" s="56">
        <f>($AT372-$AT373)*100</f>
        <v/>
      </c>
      <c r="CN372" s="56">
        <f>($AU372-$AU373)*100</f>
        <v/>
      </c>
      <c r="CO372" s="56">
        <f>($AV372-$AV373)*100</f>
        <v/>
      </c>
      <c r="CP372" s="56">
        <f>($AW372-$AW373)*100</f>
        <v/>
      </c>
      <c r="CQ372" s="56">
        <f>($AX372-$AX373)*100</f>
        <v/>
      </c>
      <c r="CR372" s="56">
        <f>($AY372-$AY373)*100</f>
        <v/>
      </c>
      <c r="CS372" s="57">
        <f>IFERROR($L373/$L372-1,"")</f>
        <v/>
      </c>
      <c r="CT372" s="57">
        <f>IFERROR($M373/$M372-1,"")</f>
        <v/>
      </c>
      <c r="CU372" s="57">
        <f>IFERROR($N373/$N372-1,"")</f>
        <v/>
      </c>
      <c r="CV372" s="57">
        <f>IFERROR($O373/$O372-1,"")</f>
        <v/>
      </c>
      <c r="CW372" s="57">
        <f>IFERROR($P373/$P372-1,"")</f>
        <v/>
      </c>
      <c r="CX372" s="57">
        <f>IFERROR($Q373/$Q372-1,"")</f>
        <v/>
      </c>
      <c r="CY372" s="57">
        <f>IFERROR($R373/$R372-1,"")</f>
        <v/>
      </c>
      <c r="CZ372" s="57">
        <f>IFERROR($S373/$S372-1,"")</f>
        <v/>
      </c>
      <c r="DA372" s="57">
        <f>IFERROR($T373/$T372-1,"")</f>
        <v/>
      </c>
      <c r="DB372" s="57">
        <f>IFERROR($U373/$U372-1,"")</f>
        <v/>
      </c>
      <c r="DC372" s="57">
        <f>IFERROR($V373/$V372-1,"")</f>
        <v/>
      </c>
      <c r="DD372" s="57">
        <f>IFERROR($W373/$W372-1,"")</f>
        <v/>
      </c>
      <c r="DE372" s="57">
        <f>IFERROR($X373/$X372-1,"")</f>
        <v/>
      </c>
      <c r="DF372" s="57">
        <f>IFERROR($Y373/$Y372-1,"")</f>
        <v/>
      </c>
      <c r="DG372" s="57">
        <f>IFERROR($Z373/$Z372-1,"")</f>
        <v/>
      </c>
      <c r="DH372" s="57">
        <f>IFERROR($AA373/$AA372-1,"")</f>
        <v/>
      </c>
      <c r="DI372" s="57">
        <f>IFERROR($AB373/$AB372-1,"")</f>
        <v/>
      </c>
      <c r="DJ372" s="57">
        <f>IFERROR($AC373/$AC372-1,"")</f>
        <v/>
      </c>
      <c r="DK372" s="57">
        <f>IFERROR($AD373/$AD372-1,"")</f>
        <v/>
      </c>
      <c r="DL372" s="57">
        <f>IFERROR($AE373/$AE372-1,"")</f>
        <v/>
      </c>
      <c r="DM372" s="56">
        <f>$AZ372-$AZ373</f>
        <v/>
      </c>
      <c r="DN372" s="56">
        <f>$BA372-$BA373</f>
        <v/>
      </c>
      <c r="DO372" s="56">
        <f>$BB372-$BB373</f>
        <v/>
      </c>
      <c r="DP372" s="56">
        <f>$BC372-$BC373</f>
        <v/>
      </c>
      <c r="DQ372" s="56">
        <f>$BD372-$BD373</f>
        <v/>
      </c>
      <c r="DR372" s="56">
        <f>$BE372-$BE373</f>
        <v/>
      </c>
      <c r="DS372" s="56">
        <f>$BF372-$BF373</f>
        <v/>
      </c>
      <c r="DT372" s="56">
        <f>$BG372-$BG373</f>
        <v/>
      </c>
      <c r="DU372" s="56">
        <f>$BH372-$BH373</f>
        <v/>
      </c>
      <c r="DV372" s="56">
        <f>$BI372-$BI373</f>
        <v/>
      </c>
      <c r="DW372" s="56">
        <f>$BJ372-$BJ373</f>
        <v/>
      </c>
      <c r="DX372" s="56">
        <f>$BK372-$BK373</f>
        <v/>
      </c>
      <c r="DY372" s="56">
        <f>$BL372-$BL373</f>
        <v/>
      </c>
      <c r="DZ372" s="56">
        <f>$BM372-$BM373</f>
        <v/>
      </c>
      <c r="EA372" s="56">
        <f>$BN372-$BN373</f>
        <v/>
      </c>
      <c r="EB372" s="56">
        <f>$BO372-$BO373</f>
        <v/>
      </c>
      <c r="EC372" s="56">
        <f>$BP372-$BP373</f>
        <v/>
      </c>
      <c r="ED372" s="56">
        <f>$BQ372-$BQ373</f>
        <v/>
      </c>
      <c r="EE372" s="56">
        <f>$BR372-$BR373</f>
        <v/>
      </c>
      <c r="EF372" s="56">
        <f>$BS372-$BS373</f>
        <v/>
      </c>
      <c r="EG372" s="56">
        <f>$BT372-$BT373</f>
        <v/>
      </c>
      <c r="EH372" s="56">
        <f>$BU372-$BU373</f>
        <v/>
      </c>
    </row>
    <row r="373">
      <c r="BV373" s="56">
        <f>($D373-$D374)*100</f>
        <v/>
      </c>
      <c r="BW373" s="56">
        <f>($C373-$C374)*100</f>
        <v/>
      </c>
      <c r="BX373" s="57">
        <f>IFERROR($I373/$I374-1,"")</f>
        <v/>
      </c>
      <c r="BY373" s="56">
        <f>($AF373-$AF374)*100</f>
        <v/>
      </c>
      <c r="BZ373" s="56">
        <f>($AG373-$AG374)*100</f>
        <v/>
      </c>
      <c r="CA373" s="56">
        <f>($AH373-$AH374)*100</f>
        <v/>
      </c>
      <c r="CB373" s="56">
        <f>($AI373-$AI374)*100</f>
        <v/>
      </c>
      <c r="CC373" s="56">
        <f>($AJ373-$AJ374)*100</f>
        <v/>
      </c>
      <c r="CD373" s="56">
        <f>($AK373-$AK374)*100</f>
        <v/>
      </c>
      <c r="CE373" s="56">
        <f>($AL373-$AL374)*100</f>
        <v/>
      </c>
      <c r="CF373" s="56">
        <f>($AM373-$AM374)*100</f>
        <v/>
      </c>
      <c r="CG373" s="56">
        <f>($AN373-$AN374)*100</f>
        <v/>
      </c>
      <c r="CH373" s="56">
        <f>($AO373-$AO374)*100</f>
        <v/>
      </c>
      <c r="CI373" s="56">
        <f>($AP373-$AP374)*100</f>
        <v/>
      </c>
      <c r="CJ373" s="56">
        <f>($AQ373-$AQ374)*100</f>
        <v/>
      </c>
      <c r="CK373" s="56">
        <f>($AR373-$AR374)*100</f>
        <v/>
      </c>
      <c r="CL373" s="56">
        <f>($AS373-$AS374)*100</f>
        <v/>
      </c>
      <c r="CM373" s="56">
        <f>($AT373-$AT374)*100</f>
        <v/>
      </c>
      <c r="CN373" s="56">
        <f>($AU373-$AU374)*100</f>
        <v/>
      </c>
      <c r="CO373" s="56">
        <f>($AV373-$AV374)*100</f>
        <v/>
      </c>
      <c r="CP373" s="56">
        <f>($AW373-$AW374)*100</f>
        <v/>
      </c>
      <c r="CQ373" s="56">
        <f>($AX373-$AX374)*100</f>
        <v/>
      </c>
      <c r="CR373" s="56">
        <f>($AY373-$AY374)*100</f>
        <v/>
      </c>
      <c r="CS373" s="57">
        <f>IFERROR($L374/$L373-1,"")</f>
        <v/>
      </c>
      <c r="CT373" s="57">
        <f>IFERROR($M374/$M373-1,"")</f>
        <v/>
      </c>
      <c r="CU373" s="57">
        <f>IFERROR($N374/$N373-1,"")</f>
        <v/>
      </c>
      <c r="CV373" s="57">
        <f>IFERROR($O374/$O373-1,"")</f>
        <v/>
      </c>
      <c r="CW373" s="57">
        <f>IFERROR($P374/$P373-1,"")</f>
        <v/>
      </c>
      <c r="CX373" s="57">
        <f>IFERROR($Q374/$Q373-1,"")</f>
        <v/>
      </c>
      <c r="CY373" s="57">
        <f>IFERROR($R374/$R373-1,"")</f>
        <v/>
      </c>
      <c r="CZ373" s="57">
        <f>IFERROR($S374/$S373-1,"")</f>
        <v/>
      </c>
      <c r="DA373" s="57">
        <f>IFERROR($T374/$T373-1,"")</f>
        <v/>
      </c>
      <c r="DB373" s="57">
        <f>IFERROR($U374/$U373-1,"")</f>
        <v/>
      </c>
      <c r="DC373" s="57">
        <f>IFERROR($V374/$V373-1,"")</f>
        <v/>
      </c>
      <c r="DD373" s="57">
        <f>IFERROR($W374/$W373-1,"")</f>
        <v/>
      </c>
      <c r="DE373" s="57">
        <f>IFERROR($X374/$X373-1,"")</f>
        <v/>
      </c>
      <c r="DF373" s="57">
        <f>IFERROR($Y374/$Y373-1,"")</f>
        <v/>
      </c>
      <c r="DG373" s="57">
        <f>IFERROR($Z374/$Z373-1,"")</f>
        <v/>
      </c>
      <c r="DH373" s="57">
        <f>IFERROR($AA374/$AA373-1,"")</f>
        <v/>
      </c>
      <c r="DI373" s="57">
        <f>IFERROR($AB374/$AB373-1,"")</f>
        <v/>
      </c>
      <c r="DJ373" s="57">
        <f>IFERROR($AC374/$AC373-1,"")</f>
        <v/>
      </c>
      <c r="DK373" s="57">
        <f>IFERROR($AD374/$AD373-1,"")</f>
        <v/>
      </c>
      <c r="DL373" s="57">
        <f>IFERROR($AE374/$AE373-1,"")</f>
        <v/>
      </c>
      <c r="DM373" s="56">
        <f>$AZ373-$AZ374</f>
        <v/>
      </c>
      <c r="DN373" s="56">
        <f>$BA373-$BA374</f>
        <v/>
      </c>
      <c r="DO373" s="56">
        <f>$BB373-$BB374</f>
        <v/>
      </c>
      <c r="DP373" s="56">
        <f>$BC373-$BC374</f>
        <v/>
      </c>
      <c r="DQ373" s="56">
        <f>$BD373-$BD374</f>
        <v/>
      </c>
      <c r="DR373" s="56">
        <f>$BE373-$BE374</f>
        <v/>
      </c>
      <c r="DS373" s="56">
        <f>$BF373-$BF374</f>
        <v/>
      </c>
      <c r="DT373" s="56">
        <f>$BG373-$BG374</f>
        <v/>
      </c>
      <c r="DU373" s="56">
        <f>$BH373-$BH374</f>
        <v/>
      </c>
      <c r="DV373" s="56">
        <f>$BI373-$BI374</f>
        <v/>
      </c>
      <c r="DW373" s="56">
        <f>$BJ373-$BJ374</f>
        <v/>
      </c>
      <c r="DX373" s="56">
        <f>$BK373-$BK374</f>
        <v/>
      </c>
      <c r="DY373" s="56">
        <f>$BL373-$BL374</f>
        <v/>
      </c>
      <c r="DZ373" s="56">
        <f>$BM373-$BM374</f>
        <v/>
      </c>
      <c r="EA373" s="56">
        <f>$BN373-$BN374</f>
        <v/>
      </c>
      <c r="EB373" s="56">
        <f>$BO373-$BO374</f>
        <v/>
      </c>
      <c r="EC373" s="56">
        <f>$BP373-$BP374</f>
        <v/>
      </c>
      <c r="ED373" s="56">
        <f>$BQ373-$BQ374</f>
        <v/>
      </c>
      <c r="EE373" s="56">
        <f>$BR373-$BR374</f>
        <v/>
      </c>
      <c r="EF373" s="56">
        <f>$BS373-$BS374</f>
        <v/>
      </c>
      <c r="EG373" s="56">
        <f>$BT373-$BT374</f>
        <v/>
      </c>
      <c r="EH373" s="56">
        <f>$BU373-$BU374</f>
        <v/>
      </c>
    </row>
    <row r="374">
      <c r="BV374" s="56">
        <f>($D374-$D375)*100</f>
        <v/>
      </c>
      <c r="BW374" s="56">
        <f>($C374-$C375)*100</f>
        <v/>
      </c>
      <c r="BX374" s="57">
        <f>IFERROR($I374/$I375-1,"")</f>
        <v/>
      </c>
      <c r="BY374" s="56">
        <f>($AF374-$AF375)*100</f>
        <v/>
      </c>
      <c r="BZ374" s="56">
        <f>($AG374-$AG375)*100</f>
        <v/>
      </c>
      <c r="CA374" s="56">
        <f>($AH374-$AH375)*100</f>
        <v/>
      </c>
      <c r="CB374" s="56">
        <f>($AI374-$AI375)*100</f>
        <v/>
      </c>
      <c r="CC374" s="56">
        <f>($AJ374-$AJ375)*100</f>
        <v/>
      </c>
      <c r="CD374" s="56">
        <f>($AK374-$AK375)*100</f>
        <v/>
      </c>
      <c r="CE374" s="56">
        <f>($AL374-$AL375)*100</f>
        <v/>
      </c>
      <c r="CF374" s="56">
        <f>($AM374-$AM375)*100</f>
        <v/>
      </c>
      <c r="CG374" s="56">
        <f>($AN374-$AN375)*100</f>
        <v/>
      </c>
      <c r="CH374" s="56">
        <f>($AO374-$AO375)*100</f>
        <v/>
      </c>
      <c r="CI374" s="56">
        <f>($AP374-$AP375)*100</f>
        <v/>
      </c>
      <c r="CJ374" s="56">
        <f>($AQ374-$AQ375)*100</f>
        <v/>
      </c>
      <c r="CK374" s="56">
        <f>($AR374-$AR375)*100</f>
        <v/>
      </c>
      <c r="CL374" s="56">
        <f>($AS374-$AS375)*100</f>
        <v/>
      </c>
      <c r="CM374" s="56">
        <f>($AT374-$AT375)*100</f>
        <v/>
      </c>
      <c r="CN374" s="56">
        <f>($AU374-$AU375)*100</f>
        <v/>
      </c>
      <c r="CO374" s="56">
        <f>($AV374-$AV375)*100</f>
        <v/>
      </c>
      <c r="CP374" s="56">
        <f>($AW374-$AW375)*100</f>
        <v/>
      </c>
      <c r="CQ374" s="56">
        <f>($AX374-$AX375)*100</f>
        <v/>
      </c>
      <c r="CR374" s="56">
        <f>($AY374-$AY375)*100</f>
        <v/>
      </c>
      <c r="CS374" s="57">
        <f>IFERROR($L375/$L374-1,"")</f>
        <v/>
      </c>
      <c r="CT374" s="57">
        <f>IFERROR($M375/$M374-1,"")</f>
        <v/>
      </c>
      <c r="CU374" s="57">
        <f>IFERROR($N375/$N374-1,"")</f>
        <v/>
      </c>
      <c r="CV374" s="57">
        <f>IFERROR($O375/$O374-1,"")</f>
        <v/>
      </c>
      <c r="CW374" s="57">
        <f>IFERROR($P375/$P374-1,"")</f>
        <v/>
      </c>
      <c r="CX374" s="57">
        <f>IFERROR($Q375/$Q374-1,"")</f>
        <v/>
      </c>
      <c r="CY374" s="57">
        <f>IFERROR($R375/$R374-1,"")</f>
        <v/>
      </c>
      <c r="CZ374" s="57">
        <f>IFERROR($S375/$S374-1,"")</f>
        <v/>
      </c>
      <c r="DA374" s="57">
        <f>IFERROR($T375/$T374-1,"")</f>
        <v/>
      </c>
      <c r="DB374" s="57">
        <f>IFERROR($U375/$U374-1,"")</f>
        <v/>
      </c>
      <c r="DC374" s="57">
        <f>IFERROR($V375/$V374-1,"")</f>
        <v/>
      </c>
      <c r="DD374" s="57">
        <f>IFERROR($W375/$W374-1,"")</f>
        <v/>
      </c>
      <c r="DE374" s="57">
        <f>IFERROR($X375/$X374-1,"")</f>
        <v/>
      </c>
      <c r="DF374" s="57">
        <f>IFERROR($Y375/$Y374-1,"")</f>
        <v/>
      </c>
      <c r="DG374" s="57">
        <f>IFERROR($Z375/$Z374-1,"")</f>
        <v/>
      </c>
      <c r="DH374" s="57">
        <f>IFERROR($AA375/$AA374-1,"")</f>
        <v/>
      </c>
      <c r="DI374" s="57">
        <f>IFERROR($AB375/$AB374-1,"")</f>
        <v/>
      </c>
      <c r="DJ374" s="57">
        <f>IFERROR($AC375/$AC374-1,"")</f>
        <v/>
      </c>
      <c r="DK374" s="57">
        <f>IFERROR($AD375/$AD374-1,"")</f>
        <v/>
      </c>
      <c r="DL374" s="57">
        <f>IFERROR($AE375/$AE374-1,"")</f>
        <v/>
      </c>
      <c r="DM374" s="56">
        <f>$AZ374-$AZ375</f>
        <v/>
      </c>
      <c r="DN374" s="56">
        <f>$BA374-$BA375</f>
        <v/>
      </c>
      <c r="DO374" s="56">
        <f>$BB374-$BB375</f>
        <v/>
      </c>
      <c r="DP374" s="56">
        <f>$BC374-$BC375</f>
        <v/>
      </c>
      <c r="DQ374" s="56">
        <f>$BD374-$BD375</f>
        <v/>
      </c>
      <c r="DR374" s="56">
        <f>$BE374-$BE375</f>
        <v/>
      </c>
      <c r="DS374" s="56">
        <f>$BF374-$BF375</f>
        <v/>
      </c>
      <c r="DT374" s="56">
        <f>$BG374-$BG375</f>
        <v/>
      </c>
      <c r="DU374" s="56">
        <f>$BH374-$BH375</f>
        <v/>
      </c>
      <c r="DV374" s="56">
        <f>$BI374-$BI375</f>
        <v/>
      </c>
      <c r="DW374" s="56">
        <f>$BJ374-$BJ375</f>
        <v/>
      </c>
      <c r="DX374" s="56">
        <f>$BK374-$BK375</f>
        <v/>
      </c>
      <c r="DY374" s="56">
        <f>$BL374-$BL375</f>
        <v/>
      </c>
      <c r="DZ374" s="56">
        <f>$BM374-$BM375</f>
        <v/>
      </c>
      <c r="EA374" s="56">
        <f>$BN374-$BN375</f>
        <v/>
      </c>
      <c r="EB374" s="56">
        <f>$BO374-$BO375</f>
        <v/>
      </c>
      <c r="EC374" s="56">
        <f>$BP374-$BP375</f>
        <v/>
      </c>
      <c r="ED374" s="56">
        <f>$BQ374-$BQ375</f>
        <v/>
      </c>
      <c r="EE374" s="56">
        <f>$BR374-$BR375</f>
        <v/>
      </c>
      <c r="EF374" s="56">
        <f>$BS374-$BS375</f>
        <v/>
      </c>
      <c r="EG374" s="56">
        <f>$BT374-$BT375</f>
        <v/>
      </c>
      <c r="EH374" s="56">
        <f>$BU374-$BU375</f>
        <v/>
      </c>
    </row>
    <row r="375">
      <c r="BV375" s="56">
        <f>($D375-$D376)*100</f>
        <v/>
      </c>
      <c r="BW375" s="56">
        <f>($C375-$C376)*100</f>
        <v/>
      </c>
      <c r="BX375" s="57">
        <f>IFERROR($I375/$I376-1,"")</f>
        <v/>
      </c>
      <c r="BY375" s="56">
        <f>($AF375-$AF376)*100</f>
        <v/>
      </c>
      <c r="BZ375" s="56">
        <f>($AG375-$AG376)*100</f>
        <v/>
      </c>
      <c r="CA375" s="56">
        <f>($AH375-$AH376)*100</f>
        <v/>
      </c>
      <c r="CB375" s="56">
        <f>($AI375-$AI376)*100</f>
        <v/>
      </c>
      <c r="CC375" s="56">
        <f>($AJ375-$AJ376)*100</f>
        <v/>
      </c>
      <c r="CD375" s="56">
        <f>($AK375-$AK376)*100</f>
        <v/>
      </c>
      <c r="CE375" s="56">
        <f>($AL375-$AL376)*100</f>
        <v/>
      </c>
      <c r="CF375" s="56">
        <f>($AM375-$AM376)*100</f>
        <v/>
      </c>
      <c r="CG375" s="56">
        <f>($AN375-$AN376)*100</f>
        <v/>
      </c>
      <c r="CH375" s="56">
        <f>($AO375-$AO376)*100</f>
        <v/>
      </c>
      <c r="CI375" s="56">
        <f>($AP375-$AP376)*100</f>
        <v/>
      </c>
      <c r="CJ375" s="56">
        <f>($AQ375-$AQ376)*100</f>
        <v/>
      </c>
      <c r="CK375" s="56">
        <f>($AR375-$AR376)*100</f>
        <v/>
      </c>
      <c r="CL375" s="56">
        <f>($AS375-$AS376)*100</f>
        <v/>
      </c>
      <c r="CM375" s="56">
        <f>($AT375-$AT376)*100</f>
        <v/>
      </c>
      <c r="CN375" s="56">
        <f>($AU375-$AU376)*100</f>
        <v/>
      </c>
      <c r="CO375" s="56">
        <f>($AV375-$AV376)*100</f>
        <v/>
      </c>
      <c r="CP375" s="56">
        <f>($AW375-$AW376)*100</f>
        <v/>
      </c>
      <c r="CQ375" s="56">
        <f>($AX375-$AX376)*100</f>
        <v/>
      </c>
      <c r="CR375" s="56">
        <f>($AY375-$AY376)*100</f>
        <v/>
      </c>
      <c r="CS375" s="57">
        <f>IFERROR($L376/$L375-1,"")</f>
        <v/>
      </c>
      <c r="CT375" s="57">
        <f>IFERROR($M376/$M375-1,"")</f>
        <v/>
      </c>
      <c r="CU375" s="57">
        <f>IFERROR($N376/$N375-1,"")</f>
        <v/>
      </c>
      <c r="CV375" s="57">
        <f>IFERROR($O376/$O375-1,"")</f>
        <v/>
      </c>
      <c r="CW375" s="57">
        <f>IFERROR($P376/$P375-1,"")</f>
        <v/>
      </c>
      <c r="CX375" s="57">
        <f>IFERROR($Q376/$Q375-1,"")</f>
        <v/>
      </c>
      <c r="CY375" s="57">
        <f>IFERROR($R376/$R375-1,"")</f>
        <v/>
      </c>
      <c r="CZ375" s="57">
        <f>IFERROR($S376/$S375-1,"")</f>
        <v/>
      </c>
      <c r="DA375" s="57">
        <f>IFERROR($T376/$T375-1,"")</f>
        <v/>
      </c>
      <c r="DB375" s="57">
        <f>IFERROR($U376/$U375-1,"")</f>
        <v/>
      </c>
      <c r="DC375" s="57">
        <f>IFERROR($V376/$V375-1,"")</f>
        <v/>
      </c>
      <c r="DD375" s="57">
        <f>IFERROR($W376/$W375-1,"")</f>
        <v/>
      </c>
      <c r="DE375" s="57">
        <f>IFERROR($X376/$X375-1,"")</f>
        <v/>
      </c>
      <c r="DF375" s="57">
        <f>IFERROR($Y376/$Y375-1,"")</f>
        <v/>
      </c>
      <c r="DG375" s="57">
        <f>IFERROR($Z376/$Z375-1,"")</f>
        <v/>
      </c>
      <c r="DH375" s="57">
        <f>IFERROR($AA376/$AA375-1,"")</f>
        <v/>
      </c>
      <c r="DI375" s="57">
        <f>IFERROR($AB376/$AB375-1,"")</f>
        <v/>
      </c>
      <c r="DJ375" s="57">
        <f>IFERROR($AC376/$AC375-1,"")</f>
        <v/>
      </c>
      <c r="DK375" s="57">
        <f>IFERROR($AD376/$AD375-1,"")</f>
        <v/>
      </c>
      <c r="DL375" s="57">
        <f>IFERROR($AE376/$AE375-1,"")</f>
        <v/>
      </c>
      <c r="DM375" s="56">
        <f>$AZ375-$AZ376</f>
        <v/>
      </c>
      <c r="DN375" s="56">
        <f>$BA375-$BA376</f>
        <v/>
      </c>
      <c r="DO375" s="56">
        <f>$BB375-$BB376</f>
        <v/>
      </c>
      <c r="DP375" s="56">
        <f>$BC375-$BC376</f>
        <v/>
      </c>
      <c r="DQ375" s="56">
        <f>$BD375-$BD376</f>
        <v/>
      </c>
      <c r="DR375" s="56">
        <f>$BE375-$BE376</f>
        <v/>
      </c>
      <c r="DS375" s="56">
        <f>$BF375-$BF376</f>
        <v/>
      </c>
      <c r="DT375" s="56">
        <f>$BG375-$BG376</f>
        <v/>
      </c>
      <c r="DU375" s="56">
        <f>$BH375-$BH376</f>
        <v/>
      </c>
      <c r="DV375" s="56">
        <f>$BI375-$BI376</f>
        <v/>
      </c>
      <c r="DW375" s="56">
        <f>$BJ375-$BJ376</f>
        <v/>
      </c>
      <c r="DX375" s="56">
        <f>$BK375-$BK376</f>
        <v/>
      </c>
      <c r="DY375" s="56">
        <f>$BL375-$BL376</f>
        <v/>
      </c>
      <c r="DZ375" s="56">
        <f>$BM375-$BM376</f>
        <v/>
      </c>
      <c r="EA375" s="56">
        <f>$BN375-$BN376</f>
        <v/>
      </c>
      <c r="EB375" s="56">
        <f>$BO375-$BO376</f>
        <v/>
      </c>
      <c r="EC375" s="56">
        <f>$BP375-$BP376</f>
        <v/>
      </c>
      <c r="ED375" s="56">
        <f>$BQ375-$BQ376</f>
        <v/>
      </c>
      <c r="EE375" s="56">
        <f>$BR375-$BR376</f>
        <v/>
      </c>
      <c r="EF375" s="56">
        <f>$BS375-$BS376</f>
        <v/>
      </c>
      <c r="EG375" s="56">
        <f>$BT375-$BT376</f>
        <v/>
      </c>
      <c r="EH375" s="56">
        <f>$BU375-$BU376</f>
        <v/>
      </c>
    </row>
    <row r="376">
      <c r="BV376" s="56">
        <f>($D376-$D377)*100</f>
        <v/>
      </c>
      <c r="BW376" s="56">
        <f>($C376-$C377)*100</f>
        <v/>
      </c>
      <c r="BX376" s="57">
        <f>IFERROR($I376/$I377-1,"")</f>
        <v/>
      </c>
      <c r="BY376" s="56">
        <f>($AF376-$AF377)*100</f>
        <v/>
      </c>
      <c r="BZ376" s="56">
        <f>($AG376-$AG377)*100</f>
        <v/>
      </c>
      <c r="CA376" s="56">
        <f>($AH376-$AH377)*100</f>
        <v/>
      </c>
      <c r="CB376" s="56">
        <f>($AI376-$AI377)*100</f>
        <v/>
      </c>
      <c r="CC376" s="56">
        <f>($AJ376-$AJ377)*100</f>
        <v/>
      </c>
      <c r="CD376" s="56">
        <f>($AK376-$AK377)*100</f>
        <v/>
      </c>
      <c r="CE376" s="56">
        <f>($AL376-$AL377)*100</f>
        <v/>
      </c>
      <c r="CF376" s="56">
        <f>($AM376-$AM377)*100</f>
        <v/>
      </c>
      <c r="CG376" s="56">
        <f>($AN376-$AN377)*100</f>
        <v/>
      </c>
      <c r="CH376" s="56">
        <f>($AO376-$AO377)*100</f>
        <v/>
      </c>
      <c r="CI376" s="56">
        <f>($AP376-$AP377)*100</f>
        <v/>
      </c>
      <c r="CJ376" s="56">
        <f>($AQ376-$AQ377)*100</f>
        <v/>
      </c>
      <c r="CK376" s="56">
        <f>($AR376-$AR377)*100</f>
        <v/>
      </c>
      <c r="CL376" s="56">
        <f>($AS376-$AS377)*100</f>
        <v/>
      </c>
      <c r="CM376" s="56">
        <f>($AT376-$AT377)*100</f>
        <v/>
      </c>
      <c r="CN376" s="56">
        <f>($AU376-$AU377)*100</f>
        <v/>
      </c>
      <c r="CO376" s="56">
        <f>($AV376-$AV377)*100</f>
        <v/>
      </c>
      <c r="CP376" s="56">
        <f>($AW376-$AW377)*100</f>
        <v/>
      </c>
      <c r="CQ376" s="56">
        <f>($AX376-$AX377)*100</f>
        <v/>
      </c>
      <c r="CR376" s="56">
        <f>($AY376-$AY377)*100</f>
        <v/>
      </c>
      <c r="CS376" s="57">
        <f>IFERROR($L377/$L376-1,"")</f>
        <v/>
      </c>
      <c r="CT376" s="57">
        <f>IFERROR($M377/$M376-1,"")</f>
        <v/>
      </c>
      <c r="CU376" s="57">
        <f>IFERROR($N377/$N376-1,"")</f>
        <v/>
      </c>
      <c r="CV376" s="57">
        <f>IFERROR($O377/$O376-1,"")</f>
        <v/>
      </c>
      <c r="CW376" s="57">
        <f>IFERROR($P377/$P376-1,"")</f>
        <v/>
      </c>
      <c r="CX376" s="57">
        <f>IFERROR($Q377/$Q376-1,"")</f>
        <v/>
      </c>
      <c r="CY376" s="57">
        <f>IFERROR($R377/$R376-1,"")</f>
        <v/>
      </c>
      <c r="CZ376" s="57">
        <f>IFERROR($S377/$S376-1,"")</f>
        <v/>
      </c>
      <c r="DA376" s="57">
        <f>IFERROR($T377/$T376-1,"")</f>
        <v/>
      </c>
      <c r="DB376" s="57">
        <f>IFERROR($U377/$U376-1,"")</f>
        <v/>
      </c>
      <c r="DC376" s="57">
        <f>IFERROR($V377/$V376-1,"")</f>
        <v/>
      </c>
      <c r="DD376" s="57">
        <f>IFERROR($W377/$W376-1,"")</f>
        <v/>
      </c>
      <c r="DE376" s="57">
        <f>IFERROR($X377/$X376-1,"")</f>
        <v/>
      </c>
      <c r="DF376" s="57">
        <f>IFERROR($Y377/$Y376-1,"")</f>
        <v/>
      </c>
      <c r="DG376" s="57">
        <f>IFERROR($Z377/$Z376-1,"")</f>
        <v/>
      </c>
      <c r="DH376" s="57">
        <f>IFERROR($AA377/$AA376-1,"")</f>
        <v/>
      </c>
      <c r="DI376" s="57">
        <f>IFERROR($AB377/$AB376-1,"")</f>
        <v/>
      </c>
      <c r="DJ376" s="57">
        <f>IFERROR($AC377/$AC376-1,"")</f>
        <v/>
      </c>
      <c r="DK376" s="57">
        <f>IFERROR($AD377/$AD376-1,"")</f>
        <v/>
      </c>
      <c r="DL376" s="57">
        <f>IFERROR($AE377/$AE376-1,"")</f>
        <v/>
      </c>
      <c r="DM376" s="56">
        <f>$AZ376-$AZ377</f>
        <v/>
      </c>
      <c r="DN376" s="56">
        <f>$BA376-$BA377</f>
        <v/>
      </c>
      <c r="DO376" s="56">
        <f>$BB376-$BB377</f>
        <v/>
      </c>
      <c r="DP376" s="56">
        <f>$BC376-$BC377</f>
        <v/>
      </c>
      <c r="DQ376" s="56">
        <f>$BD376-$BD377</f>
        <v/>
      </c>
      <c r="DR376" s="56">
        <f>$BE376-$BE377</f>
        <v/>
      </c>
      <c r="DS376" s="56">
        <f>$BF376-$BF377</f>
        <v/>
      </c>
      <c r="DT376" s="56">
        <f>$BG376-$BG377</f>
        <v/>
      </c>
      <c r="DU376" s="56">
        <f>$BH376-$BH377</f>
        <v/>
      </c>
      <c r="DV376" s="56">
        <f>$BI376-$BI377</f>
        <v/>
      </c>
      <c r="DW376" s="56">
        <f>$BJ376-$BJ377</f>
        <v/>
      </c>
      <c r="DX376" s="56">
        <f>$BK376-$BK377</f>
        <v/>
      </c>
      <c r="DY376" s="56">
        <f>$BL376-$BL377</f>
        <v/>
      </c>
      <c r="DZ376" s="56">
        <f>$BM376-$BM377</f>
        <v/>
      </c>
      <c r="EA376" s="56">
        <f>$BN376-$BN377</f>
        <v/>
      </c>
      <c r="EB376" s="56">
        <f>$BO376-$BO377</f>
        <v/>
      </c>
      <c r="EC376" s="56">
        <f>$BP376-$BP377</f>
        <v/>
      </c>
      <c r="ED376" s="56">
        <f>$BQ376-$BQ377</f>
        <v/>
      </c>
      <c r="EE376" s="56">
        <f>$BR376-$BR377</f>
        <v/>
      </c>
      <c r="EF376" s="56">
        <f>$BS376-$BS377</f>
        <v/>
      </c>
      <c r="EG376" s="56">
        <f>$BT376-$BT377</f>
        <v/>
      </c>
      <c r="EH376" s="56">
        <f>$BU376-$BU377</f>
        <v/>
      </c>
    </row>
    <row r="377">
      <c r="BV377" s="56">
        <f>($D377-$D378)*100</f>
        <v/>
      </c>
      <c r="BW377" s="56">
        <f>($C377-$C378)*100</f>
        <v/>
      </c>
      <c r="BX377" s="57">
        <f>IFERROR($I377/$I378-1,"")</f>
        <v/>
      </c>
      <c r="BY377" s="56">
        <f>($AF377-$AF378)*100</f>
        <v/>
      </c>
      <c r="BZ377" s="56">
        <f>($AG377-$AG378)*100</f>
        <v/>
      </c>
      <c r="CA377" s="56">
        <f>($AH377-$AH378)*100</f>
        <v/>
      </c>
      <c r="CB377" s="56">
        <f>($AI377-$AI378)*100</f>
        <v/>
      </c>
      <c r="CC377" s="56">
        <f>($AJ377-$AJ378)*100</f>
        <v/>
      </c>
      <c r="CD377" s="56">
        <f>($AK377-$AK378)*100</f>
        <v/>
      </c>
      <c r="CE377" s="56">
        <f>($AL377-$AL378)*100</f>
        <v/>
      </c>
      <c r="CF377" s="56">
        <f>($AM377-$AM378)*100</f>
        <v/>
      </c>
      <c r="CG377" s="56">
        <f>($AN377-$AN378)*100</f>
        <v/>
      </c>
      <c r="CH377" s="56">
        <f>($AO377-$AO378)*100</f>
        <v/>
      </c>
      <c r="CI377" s="56">
        <f>($AP377-$AP378)*100</f>
        <v/>
      </c>
      <c r="CJ377" s="56">
        <f>($AQ377-$AQ378)*100</f>
        <v/>
      </c>
      <c r="CK377" s="56">
        <f>($AR377-$AR378)*100</f>
        <v/>
      </c>
      <c r="CL377" s="56">
        <f>($AS377-$AS378)*100</f>
        <v/>
      </c>
      <c r="CM377" s="56">
        <f>($AT377-$AT378)*100</f>
        <v/>
      </c>
      <c r="CN377" s="56">
        <f>($AU377-$AU378)*100</f>
        <v/>
      </c>
      <c r="CO377" s="56">
        <f>($AV377-$AV378)*100</f>
        <v/>
      </c>
      <c r="CP377" s="56">
        <f>($AW377-$AW378)*100</f>
        <v/>
      </c>
      <c r="CQ377" s="56">
        <f>($AX377-$AX378)*100</f>
        <v/>
      </c>
      <c r="CR377" s="56">
        <f>($AY377-$AY378)*100</f>
        <v/>
      </c>
      <c r="CS377" s="57">
        <f>IFERROR($L378/$L377-1,"")</f>
        <v/>
      </c>
      <c r="CT377" s="57">
        <f>IFERROR($M378/$M377-1,"")</f>
        <v/>
      </c>
      <c r="CU377" s="57">
        <f>IFERROR($N378/$N377-1,"")</f>
        <v/>
      </c>
      <c r="CV377" s="57">
        <f>IFERROR($O378/$O377-1,"")</f>
        <v/>
      </c>
      <c r="CW377" s="57">
        <f>IFERROR($P378/$P377-1,"")</f>
        <v/>
      </c>
      <c r="CX377" s="57">
        <f>IFERROR($Q378/$Q377-1,"")</f>
        <v/>
      </c>
      <c r="CY377" s="57">
        <f>IFERROR($R378/$R377-1,"")</f>
        <v/>
      </c>
      <c r="CZ377" s="57">
        <f>IFERROR($S378/$S377-1,"")</f>
        <v/>
      </c>
      <c r="DA377" s="57">
        <f>IFERROR($T378/$T377-1,"")</f>
        <v/>
      </c>
      <c r="DB377" s="57">
        <f>IFERROR($U378/$U377-1,"")</f>
        <v/>
      </c>
      <c r="DC377" s="57">
        <f>IFERROR($V378/$V377-1,"")</f>
        <v/>
      </c>
      <c r="DD377" s="57">
        <f>IFERROR($W378/$W377-1,"")</f>
        <v/>
      </c>
      <c r="DE377" s="57">
        <f>IFERROR($X378/$X377-1,"")</f>
        <v/>
      </c>
      <c r="DF377" s="57">
        <f>IFERROR($Y378/$Y377-1,"")</f>
        <v/>
      </c>
      <c r="DG377" s="57">
        <f>IFERROR($Z378/$Z377-1,"")</f>
        <v/>
      </c>
      <c r="DH377" s="57">
        <f>IFERROR($AA378/$AA377-1,"")</f>
        <v/>
      </c>
      <c r="DI377" s="57">
        <f>IFERROR($AB378/$AB377-1,"")</f>
        <v/>
      </c>
      <c r="DJ377" s="57">
        <f>IFERROR($AC378/$AC377-1,"")</f>
        <v/>
      </c>
      <c r="DK377" s="57">
        <f>IFERROR($AD378/$AD377-1,"")</f>
        <v/>
      </c>
      <c r="DL377" s="57">
        <f>IFERROR($AE378/$AE377-1,"")</f>
        <v/>
      </c>
      <c r="DM377" s="56">
        <f>$AZ377-$AZ378</f>
        <v/>
      </c>
      <c r="DN377" s="56">
        <f>$BA377-$BA378</f>
        <v/>
      </c>
      <c r="DO377" s="56">
        <f>$BB377-$BB378</f>
        <v/>
      </c>
      <c r="DP377" s="56">
        <f>$BC377-$BC378</f>
        <v/>
      </c>
      <c r="DQ377" s="56">
        <f>$BD377-$BD378</f>
        <v/>
      </c>
      <c r="DR377" s="56">
        <f>$BE377-$BE378</f>
        <v/>
      </c>
      <c r="DS377" s="56">
        <f>$BF377-$BF378</f>
        <v/>
      </c>
      <c r="DT377" s="56">
        <f>$BG377-$BG378</f>
        <v/>
      </c>
      <c r="DU377" s="56">
        <f>$BH377-$BH378</f>
        <v/>
      </c>
      <c r="DV377" s="56">
        <f>$BI377-$BI378</f>
        <v/>
      </c>
      <c r="DW377" s="56">
        <f>$BJ377-$BJ378</f>
        <v/>
      </c>
      <c r="DX377" s="56">
        <f>$BK377-$BK378</f>
        <v/>
      </c>
      <c r="DY377" s="56">
        <f>$BL377-$BL378</f>
        <v/>
      </c>
      <c r="DZ377" s="56">
        <f>$BM377-$BM378</f>
        <v/>
      </c>
      <c r="EA377" s="56">
        <f>$BN377-$BN378</f>
        <v/>
      </c>
      <c r="EB377" s="56">
        <f>$BO377-$BO378</f>
        <v/>
      </c>
      <c r="EC377" s="56">
        <f>$BP377-$BP378</f>
        <v/>
      </c>
      <c r="ED377" s="56">
        <f>$BQ377-$BQ378</f>
        <v/>
      </c>
      <c r="EE377" s="56">
        <f>$BR377-$BR378</f>
        <v/>
      </c>
      <c r="EF377" s="56">
        <f>$BS377-$BS378</f>
        <v/>
      </c>
      <c r="EG377" s="56">
        <f>$BT377-$BT378</f>
        <v/>
      </c>
      <c r="EH377" s="56">
        <f>$BU377-$BU378</f>
        <v/>
      </c>
    </row>
    <row r="378">
      <c r="BV378" s="56">
        <f>($D378-$D379)*100</f>
        <v/>
      </c>
      <c r="BW378" s="56">
        <f>($C378-$C379)*100</f>
        <v/>
      </c>
      <c r="BX378" s="57">
        <f>IFERROR($I378/$I379-1,"")</f>
        <v/>
      </c>
      <c r="BY378" s="56">
        <f>($AF378-$AF379)*100</f>
        <v/>
      </c>
      <c r="BZ378" s="56">
        <f>($AG378-$AG379)*100</f>
        <v/>
      </c>
      <c r="CA378" s="56">
        <f>($AH378-$AH379)*100</f>
        <v/>
      </c>
      <c r="CB378" s="56">
        <f>($AI378-$AI379)*100</f>
        <v/>
      </c>
      <c r="CC378" s="56">
        <f>($AJ378-$AJ379)*100</f>
        <v/>
      </c>
      <c r="CD378" s="56">
        <f>($AK378-$AK379)*100</f>
        <v/>
      </c>
      <c r="CE378" s="56">
        <f>($AL378-$AL379)*100</f>
        <v/>
      </c>
      <c r="CF378" s="56">
        <f>($AM378-$AM379)*100</f>
        <v/>
      </c>
      <c r="CG378" s="56">
        <f>($AN378-$AN379)*100</f>
        <v/>
      </c>
      <c r="CH378" s="56">
        <f>($AO378-$AO379)*100</f>
        <v/>
      </c>
      <c r="CI378" s="56">
        <f>($AP378-$AP379)*100</f>
        <v/>
      </c>
      <c r="CJ378" s="56">
        <f>($AQ378-$AQ379)*100</f>
        <v/>
      </c>
      <c r="CK378" s="56">
        <f>($AR378-$AR379)*100</f>
        <v/>
      </c>
      <c r="CL378" s="56">
        <f>($AS378-$AS379)*100</f>
        <v/>
      </c>
      <c r="CM378" s="56">
        <f>($AT378-$AT379)*100</f>
        <v/>
      </c>
      <c r="CN378" s="56">
        <f>($AU378-$AU379)*100</f>
        <v/>
      </c>
      <c r="CO378" s="56">
        <f>($AV378-$AV379)*100</f>
        <v/>
      </c>
      <c r="CP378" s="56">
        <f>($AW378-$AW379)*100</f>
        <v/>
      </c>
      <c r="CQ378" s="56">
        <f>($AX378-$AX379)*100</f>
        <v/>
      </c>
      <c r="CR378" s="56">
        <f>($AY378-$AY379)*100</f>
        <v/>
      </c>
      <c r="CS378" s="57">
        <f>IFERROR($L379/$L378-1,"")</f>
        <v/>
      </c>
      <c r="CT378" s="57">
        <f>IFERROR($M379/$M378-1,"")</f>
        <v/>
      </c>
      <c r="CU378" s="57">
        <f>IFERROR($N379/$N378-1,"")</f>
        <v/>
      </c>
      <c r="CV378" s="57">
        <f>IFERROR($O379/$O378-1,"")</f>
        <v/>
      </c>
      <c r="CW378" s="57">
        <f>IFERROR($P379/$P378-1,"")</f>
        <v/>
      </c>
      <c r="CX378" s="57">
        <f>IFERROR($Q379/$Q378-1,"")</f>
        <v/>
      </c>
      <c r="CY378" s="57">
        <f>IFERROR($R379/$R378-1,"")</f>
        <v/>
      </c>
      <c r="CZ378" s="57">
        <f>IFERROR($S379/$S378-1,"")</f>
        <v/>
      </c>
      <c r="DA378" s="57">
        <f>IFERROR($T379/$T378-1,"")</f>
        <v/>
      </c>
      <c r="DB378" s="57">
        <f>IFERROR($U379/$U378-1,"")</f>
        <v/>
      </c>
      <c r="DC378" s="57">
        <f>IFERROR($V379/$V378-1,"")</f>
        <v/>
      </c>
      <c r="DD378" s="57">
        <f>IFERROR($W379/$W378-1,"")</f>
        <v/>
      </c>
      <c r="DE378" s="57">
        <f>IFERROR($X379/$X378-1,"")</f>
        <v/>
      </c>
      <c r="DF378" s="57">
        <f>IFERROR($Y379/$Y378-1,"")</f>
        <v/>
      </c>
      <c r="DG378" s="57">
        <f>IFERROR($Z379/$Z378-1,"")</f>
        <v/>
      </c>
      <c r="DH378" s="57">
        <f>IFERROR($AA379/$AA378-1,"")</f>
        <v/>
      </c>
      <c r="DI378" s="57">
        <f>IFERROR($AB379/$AB378-1,"")</f>
        <v/>
      </c>
      <c r="DJ378" s="57">
        <f>IFERROR($AC379/$AC378-1,"")</f>
        <v/>
      </c>
      <c r="DK378" s="57">
        <f>IFERROR($AD379/$AD378-1,"")</f>
        <v/>
      </c>
      <c r="DL378" s="57">
        <f>IFERROR($AE379/$AE378-1,"")</f>
        <v/>
      </c>
      <c r="DM378" s="56">
        <f>$AZ378-$AZ379</f>
        <v/>
      </c>
      <c r="DN378" s="56">
        <f>$BA378-$BA379</f>
        <v/>
      </c>
      <c r="DO378" s="56">
        <f>$BB378-$BB379</f>
        <v/>
      </c>
      <c r="DP378" s="56">
        <f>$BC378-$BC379</f>
        <v/>
      </c>
      <c r="DQ378" s="56">
        <f>$BD378-$BD379</f>
        <v/>
      </c>
      <c r="DR378" s="56">
        <f>$BE378-$BE379</f>
        <v/>
      </c>
      <c r="DS378" s="56">
        <f>$BF378-$BF379</f>
        <v/>
      </c>
      <c r="DT378" s="56">
        <f>$BG378-$BG379</f>
        <v/>
      </c>
      <c r="DU378" s="56">
        <f>$BH378-$BH379</f>
        <v/>
      </c>
      <c r="DV378" s="56">
        <f>$BI378-$BI379</f>
        <v/>
      </c>
      <c r="DW378" s="56">
        <f>$BJ378-$BJ379</f>
        <v/>
      </c>
      <c r="DX378" s="56">
        <f>$BK378-$BK379</f>
        <v/>
      </c>
      <c r="DY378" s="56">
        <f>$BL378-$BL379</f>
        <v/>
      </c>
      <c r="DZ378" s="56">
        <f>$BM378-$BM379</f>
        <v/>
      </c>
      <c r="EA378" s="56">
        <f>$BN378-$BN379</f>
        <v/>
      </c>
      <c r="EB378" s="56">
        <f>$BO378-$BO379</f>
        <v/>
      </c>
      <c r="EC378" s="56">
        <f>$BP378-$BP379</f>
        <v/>
      </c>
      <c r="ED378" s="56">
        <f>$BQ378-$BQ379</f>
        <v/>
      </c>
      <c r="EE378" s="56">
        <f>$BR378-$BR379</f>
        <v/>
      </c>
      <c r="EF378" s="56">
        <f>$BS378-$BS379</f>
        <v/>
      </c>
      <c r="EG378" s="56">
        <f>$BT378-$BT379</f>
        <v/>
      </c>
      <c r="EH378" s="56">
        <f>$BU378-$BU379</f>
        <v/>
      </c>
    </row>
    <row r="379">
      <c r="BV379" s="56">
        <f>($D379-$D380)*100</f>
        <v/>
      </c>
      <c r="BW379" s="56">
        <f>($C379-$C380)*100</f>
        <v/>
      </c>
      <c r="BX379" s="57">
        <f>IFERROR($I379/$I380-1,"")</f>
        <v/>
      </c>
      <c r="BY379" s="56">
        <f>($AF379-$AF380)*100</f>
        <v/>
      </c>
      <c r="BZ379" s="56">
        <f>($AG379-$AG380)*100</f>
        <v/>
      </c>
      <c r="CA379" s="56">
        <f>($AH379-$AH380)*100</f>
        <v/>
      </c>
      <c r="CB379" s="56">
        <f>($AI379-$AI380)*100</f>
        <v/>
      </c>
      <c r="CC379" s="56">
        <f>($AJ379-$AJ380)*100</f>
        <v/>
      </c>
      <c r="CD379" s="56">
        <f>($AK379-$AK380)*100</f>
        <v/>
      </c>
      <c r="CE379" s="56">
        <f>($AL379-$AL380)*100</f>
        <v/>
      </c>
      <c r="CF379" s="56">
        <f>($AM379-$AM380)*100</f>
        <v/>
      </c>
      <c r="CG379" s="56">
        <f>($AN379-$AN380)*100</f>
        <v/>
      </c>
      <c r="CH379" s="56">
        <f>($AO379-$AO380)*100</f>
        <v/>
      </c>
      <c r="CI379" s="56">
        <f>($AP379-$AP380)*100</f>
        <v/>
      </c>
      <c r="CJ379" s="56">
        <f>($AQ379-$AQ380)*100</f>
        <v/>
      </c>
      <c r="CK379" s="56">
        <f>($AR379-$AR380)*100</f>
        <v/>
      </c>
      <c r="CL379" s="56">
        <f>($AS379-$AS380)*100</f>
        <v/>
      </c>
      <c r="CM379" s="56">
        <f>($AT379-$AT380)*100</f>
        <v/>
      </c>
      <c r="CN379" s="56">
        <f>($AU379-$AU380)*100</f>
        <v/>
      </c>
      <c r="CO379" s="56">
        <f>($AV379-$AV380)*100</f>
        <v/>
      </c>
      <c r="CP379" s="56">
        <f>($AW379-$AW380)*100</f>
        <v/>
      </c>
      <c r="CQ379" s="56">
        <f>($AX379-$AX380)*100</f>
        <v/>
      </c>
      <c r="CR379" s="56">
        <f>($AY379-$AY380)*100</f>
        <v/>
      </c>
      <c r="CS379" s="57">
        <f>IFERROR($L380/$L379-1,"")</f>
        <v/>
      </c>
      <c r="CT379" s="57">
        <f>IFERROR($M380/$M379-1,"")</f>
        <v/>
      </c>
      <c r="CU379" s="57">
        <f>IFERROR($N380/$N379-1,"")</f>
        <v/>
      </c>
      <c r="CV379" s="57">
        <f>IFERROR($O380/$O379-1,"")</f>
        <v/>
      </c>
      <c r="CW379" s="57">
        <f>IFERROR($P380/$P379-1,"")</f>
        <v/>
      </c>
      <c r="CX379" s="57">
        <f>IFERROR($Q380/$Q379-1,"")</f>
        <v/>
      </c>
      <c r="CY379" s="57">
        <f>IFERROR($R380/$R379-1,"")</f>
        <v/>
      </c>
      <c r="CZ379" s="57">
        <f>IFERROR($S380/$S379-1,"")</f>
        <v/>
      </c>
      <c r="DA379" s="57">
        <f>IFERROR($T380/$T379-1,"")</f>
        <v/>
      </c>
      <c r="DB379" s="57">
        <f>IFERROR($U380/$U379-1,"")</f>
        <v/>
      </c>
      <c r="DC379" s="57">
        <f>IFERROR($V380/$V379-1,"")</f>
        <v/>
      </c>
      <c r="DD379" s="57">
        <f>IFERROR($W380/$W379-1,"")</f>
        <v/>
      </c>
      <c r="DE379" s="57">
        <f>IFERROR($X380/$X379-1,"")</f>
        <v/>
      </c>
      <c r="DF379" s="57">
        <f>IFERROR($Y380/$Y379-1,"")</f>
        <v/>
      </c>
      <c r="DG379" s="57">
        <f>IFERROR($Z380/$Z379-1,"")</f>
        <v/>
      </c>
      <c r="DH379" s="57">
        <f>IFERROR($AA380/$AA379-1,"")</f>
        <v/>
      </c>
      <c r="DI379" s="57">
        <f>IFERROR($AB380/$AB379-1,"")</f>
        <v/>
      </c>
      <c r="DJ379" s="57">
        <f>IFERROR($AC380/$AC379-1,"")</f>
        <v/>
      </c>
      <c r="DK379" s="57">
        <f>IFERROR($AD380/$AD379-1,"")</f>
        <v/>
      </c>
      <c r="DL379" s="57">
        <f>IFERROR($AE380/$AE379-1,"")</f>
        <v/>
      </c>
      <c r="DM379" s="56">
        <f>$AZ379-$AZ380</f>
        <v/>
      </c>
      <c r="DN379" s="56">
        <f>$BA379-$BA380</f>
        <v/>
      </c>
      <c r="DO379" s="56">
        <f>$BB379-$BB380</f>
        <v/>
      </c>
      <c r="DP379" s="56">
        <f>$BC379-$BC380</f>
        <v/>
      </c>
      <c r="DQ379" s="56">
        <f>$BD379-$BD380</f>
        <v/>
      </c>
      <c r="DR379" s="56">
        <f>$BE379-$BE380</f>
        <v/>
      </c>
      <c r="DS379" s="56">
        <f>$BF379-$BF380</f>
        <v/>
      </c>
      <c r="DT379" s="56">
        <f>$BG379-$BG380</f>
        <v/>
      </c>
      <c r="DU379" s="56">
        <f>$BH379-$BH380</f>
        <v/>
      </c>
      <c r="DV379" s="56">
        <f>$BI379-$BI380</f>
        <v/>
      </c>
      <c r="DW379" s="56">
        <f>$BJ379-$BJ380</f>
        <v/>
      </c>
      <c r="DX379" s="56">
        <f>$BK379-$BK380</f>
        <v/>
      </c>
      <c r="DY379" s="56">
        <f>$BL379-$BL380</f>
        <v/>
      </c>
      <c r="DZ379" s="56">
        <f>$BM379-$BM380</f>
        <v/>
      </c>
      <c r="EA379" s="56">
        <f>$BN379-$BN380</f>
        <v/>
      </c>
      <c r="EB379" s="56">
        <f>$BO379-$BO380</f>
        <v/>
      </c>
      <c r="EC379" s="56">
        <f>$BP379-$BP380</f>
        <v/>
      </c>
      <c r="ED379" s="56">
        <f>$BQ379-$BQ380</f>
        <v/>
      </c>
      <c r="EE379" s="56">
        <f>$BR379-$BR380</f>
        <v/>
      </c>
      <c r="EF379" s="56">
        <f>$BS379-$BS380</f>
        <v/>
      </c>
      <c r="EG379" s="56">
        <f>$BT379-$BT380</f>
        <v/>
      </c>
      <c r="EH379" s="56">
        <f>$BU379-$BU380</f>
        <v/>
      </c>
    </row>
    <row r="380">
      <c r="BV380" s="56">
        <f>($D380-$D381)*100</f>
        <v/>
      </c>
      <c r="BW380" s="56">
        <f>($C380-$C381)*100</f>
        <v/>
      </c>
      <c r="BX380" s="57">
        <f>IFERROR($I380/$I381-1,"")</f>
        <v/>
      </c>
      <c r="BY380" s="56">
        <f>($AF380-$AF381)*100</f>
        <v/>
      </c>
      <c r="BZ380" s="56">
        <f>($AG380-$AG381)*100</f>
        <v/>
      </c>
      <c r="CA380" s="56">
        <f>($AH380-$AH381)*100</f>
        <v/>
      </c>
      <c r="CB380" s="56">
        <f>($AI380-$AI381)*100</f>
        <v/>
      </c>
      <c r="CC380" s="56">
        <f>($AJ380-$AJ381)*100</f>
        <v/>
      </c>
      <c r="CD380" s="56">
        <f>($AK380-$AK381)*100</f>
        <v/>
      </c>
      <c r="CE380" s="56">
        <f>($AL380-$AL381)*100</f>
        <v/>
      </c>
      <c r="CF380" s="56">
        <f>($AM380-$AM381)*100</f>
        <v/>
      </c>
      <c r="CG380" s="56">
        <f>($AN380-$AN381)*100</f>
        <v/>
      </c>
      <c r="CH380" s="56">
        <f>($AO380-$AO381)*100</f>
        <v/>
      </c>
      <c r="CI380" s="56">
        <f>($AP380-$AP381)*100</f>
        <v/>
      </c>
      <c r="CJ380" s="56">
        <f>($AQ380-$AQ381)*100</f>
        <v/>
      </c>
      <c r="CK380" s="56">
        <f>($AR380-$AR381)*100</f>
        <v/>
      </c>
      <c r="CL380" s="56">
        <f>($AS380-$AS381)*100</f>
        <v/>
      </c>
      <c r="CM380" s="56">
        <f>($AT380-$AT381)*100</f>
        <v/>
      </c>
      <c r="CN380" s="56">
        <f>($AU380-$AU381)*100</f>
        <v/>
      </c>
      <c r="CO380" s="56">
        <f>($AV380-$AV381)*100</f>
        <v/>
      </c>
      <c r="CP380" s="56">
        <f>($AW380-$AW381)*100</f>
        <v/>
      </c>
      <c r="CQ380" s="56">
        <f>($AX380-$AX381)*100</f>
        <v/>
      </c>
      <c r="CR380" s="56">
        <f>($AY380-$AY381)*100</f>
        <v/>
      </c>
      <c r="CS380" s="57">
        <f>IFERROR($L381/$L380-1,"")</f>
        <v/>
      </c>
      <c r="CT380" s="57">
        <f>IFERROR($M381/$M380-1,"")</f>
        <v/>
      </c>
      <c r="CU380" s="57">
        <f>IFERROR($N381/$N380-1,"")</f>
        <v/>
      </c>
      <c r="CV380" s="57">
        <f>IFERROR($O381/$O380-1,"")</f>
        <v/>
      </c>
      <c r="CW380" s="57">
        <f>IFERROR($P381/$P380-1,"")</f>
        <v/>
      </c>
      <c r="CX380" s="57">
        <f>IFERROR($Q381/$Q380-1,"")</f>
        <v/>
      </c>
      <c r="CY380" s="57">
        <f>IFERROR($R381/$R380-1,"")</f>
        <v/>
      </c>
      <c r="CZ380" s="57">
        <f>IFERROR($S381/$S380-1,"")</f>
        <v/>
      </c>
      <c r="DA380" s="57">
        <f>IFERROR($T381/$T380-1,"")</f>
        <v/>
      </c>
      <c r="DB380" s="57">
        <f>IFERROR($U381/$U380-1,"")</f>
        <v/>
      </c>
      <c r="DC380" s="57">
        <f>IFERROR($V381/$V380-1,"")</f>
        <v/>
      </c>
      <c r="DD380" s="57">
        <f>IFERROR($W381/$W380-1,"")</f>
        <v/>
      </c>
      <c r="DE380" s="57">
        <f>IFERROR($X381/$X380-1,"")</f>
        <v/>
      </c>
      <c r="DF380" s="57">
        <f>IFERROR($Y381/$Y380-1,"")</f>
        <v/>
      </c>
      <c r="DG380" s="57">
        <f>IFERROR($Z381/$Z380-1,"")</f>
        <v/>
      </c>
      <c r="DH380" s="57">
        <f>IFERROR($AA381/$AA380-1,"")</f>
        <v/>
      </c>
      <c r="DI380" s="57">
        <f>IFERROR($AB381/$AB380-1,"")</f>
        <v/>
      </c>
      <c r="DJ380" s="57">
        <f>IFERROR($AC381/$AC380-1,"")</f>
        <v/>
      </c>
      <c r="DK380" s="57">
        <f>IFERROR($AD381/$AD380-1,"")</f>
        <v/>
      </c>
      <c r="DL380" s="57">
        <f>IFERROR($AE381/$AE380-1,"")</f>
        <v/>
      </c>
      <c r="DM380" s="56">
        <f>$AZ380-$AZ381</f>
        <v/>
      </c>
      <c r="DN380" s="56">
        <f>$BA380-$BA381</f>
        <v/>
      </c>
      <c r="DO380" s="56">
        <f>$BB380-$BB381</f>
        <v/>
      </c>
      <c r="DP380" s="56">
        <f>$BC380-$BC381</f>
        <v/>
      </c>
      <c r="DQ380" s="56">
        <f>$BD380-$BD381</f>
        <v/>
      </c>
      <c r="DR380" s="56">
        <f>$BE380-$BE381</f>
        <v/>
      </c>
      <c r="DS380" s="56">
        <f>$BF380-$BF381</f>
        <v/>
      </c>
      <c r="DT380" s="56">
        <f>$BG380-$BG381</f>
        <v/>
      </c>
      <c r="DU380" s="56">
        <f>$BH380-$BH381</f>
        <v/>
      </c>
      <c r="DV380" s="56">
        <f>$BI380-$BI381</f>
        <v/>
      </c>
      <c r="DW380" s="56">
        <f>$BJ380-$BJ381</f>
        <v/>
      </c>
      <c r="DX380" s="56">
        <f>$BK380-$BK381</f>
        <v/>
      </c>
      <c r="DY380" s="56">
        <f>$BL380-$BL381</f>
        <v/>
      </c>
      <c r="DZ380" s="56">
        <f>$BM380-$BM381</f>
        <v/>
      </c>
      <c r="EA380" s="56">
        <f>$BN380-$BN381</f>
        <v/>
      </c>
      <c r="EB380" s="56">
        <f>$BO380-$BO381</f>
        <v/>
      </c>
      <c r="EC380" s="56">
        <f>$BP380-$BP381</f>
        <v/>
      </c>
      <c r="ED380" s="56">
        <f>$BQ380-$BQ381</f>
        <v/>
      </c>
      <c r="EE380" s="56">
        <f>$BR380-$BR381</f>
        <v/>
      </c>
      <c r="EF380" s="56">
        <f>$BS380-$BS381</f>
        <v/>
      </c>
      <c r="EG380" s="56">
        <f>$BT380-$BT381</f>
        <v/>
      </c>
      <c r="EH380" s="56">
        <f>$BU380-$BU381</f>
        <v/>
      </c>
    </row>
    <row r="381">
      <c r="BV381" s="56">
        <f>($D381-$D382)*100</f>
        <v/>
      </c>
      <c r="BW381" s="56">
        <f>($C381-$C382)*100</f>
        <v/>
      </c>
      <c r="BX381" s="57">
        <f>IFERROR($I381/$I382-1,"")</f>
        <v/>
      </c>
      <c r="BY381" s="56">
        <f>($AF381-$AF382)*100</f>
        <v/>
      </c>
      <c r="BZ381" s="56">
        <f>($AG381-$AG382)*100</f>
        <v/>
      </c>
      <c r="CA381" s="56">
        <f>($AH381-$AH382)*100</f>
        <v/>
      </c>
      <c r="CB381" s="56">
        <f>($AI381-$AI382)*100</f>
        <v/>
      </c>
      <c r="CC381" s="56">
        <f>($AJ381-$AJ382)*100</f>
        <v/>
      </c>
      <c r="CD381" s="56">
        <f>($AK381-$AK382)*100</f>
        <v/>
      </c>
      <c r="CE381" s="56">
        <f>($AL381-$AL382)*100</f>
        <v/>
      </c>
      <c r="CF381" s="56">
        <f>($AM381-$AM382)*100</f>
        <v/>
      </c>
      <c r="CG381" s="56">
        <f>($AN381-$AN382)*100</f>
        <v/>
      </c>
      <c r="CH381" s="56">
        <f>($AO381-$AO382)*100</f>
        <v/>
      </c>
      <c r="CI381" s="56">
        <f>($AP381-$AP382)*100</f>
        <v/>
      </c>
      <c r="CJ381" s="56">
        <f>($AQ381-$AQ382)*100</f>
        <v/>
      </c>
      <c r="CK381" s="56">
        <f>($AR381-$AR382)*100</f>
        <v/>
      </c>
      <c r="CL381" s="56">
        <f>($AS381-$AS382)*100</f>
        <v/>
      </c>
      <c r="CM381" s="56">
        <f>($AT381-$AT382)*100</f>
        <v/>
      </c>
      <c r="CN381" s="56">
        <f>($AU381-$AU382)*100</f>
        <v/>
      </c>
      <c r="CO381" s="56">
        <f>($AV381-$AV382)*100</f>
        <v/>
      </c>
      <c r="CP381" s="56">
        <f>($AW381-$AW382)*100</f>
        <v/>
      </c>
      <c r="CQ381" s="56">
        <f>($AX381-$AX382)*100</f>
        <v/>
      </c>
      <c r="CR381" s="56">
        <f>($AY381-$AY382)*100</f>
        <v/>
      </c>
      <c r="CS381" s="57">
        <f>IFERROR($L382/$L381-1,"")</f>
        <v/>
      </c>
      <c r="CT381" s="57">
        <f>IFERROR($M382/$M381-1,"")</f>
        <v/>
      </c>
      <c r="CU381" s="57">
        <f>IFERROR($N382/$N381-1,"")</f>
        <v/>
      </c>
      <c r="CV381" s="57">
        <f>IFERROR($O382/$O381-1,"")</f>
        <v/>
      </c>
      <c r="CW381" s="57">
        <f>IFERROR($P382/$P381-1,"")</f>
        <v/>
      </c>
      <c r="CX381" s="57">
        <f>IFERROR($Q382/$Q381-1,"")</f>
        <v/>
      </c>
      <c r="CY381" s="57">
        <f>IFERROR($R382/$R381-1,"")</f>
        <v/>
      </c>
      <c r="CZ381" s="57">
        <f>IFERROR($S382/$S381-1,"")</f>
        <v/>
      </c>
      <c r="DA381" s="57">
        <f>IFERROR($T382/$T381-1,"")</f>
        <v/>
      </c>
      <c r="DB381" s="57">
        <f>IFERROR($U382/$U381-1,"")</f>
        <v/>
      </c>
      <c r="DC381" s="57">
        <f>IFERROR($V382/$V381-1,"")</f>
        <v/>
      </c>
      <c r="DD381" s="57">
        <f>IFERROR($W382/$W381-1,"")</f>
        <v/>
      </c>
      <c r="DE381" s="57">
        <f>IFERROR($X382/$X381-1,"")</f>
        <v/>
      </c>
      <c r="DF381" s="57">
        <f>IFERROR($Y382/$Y381-1,"")</f>
        <v/>
      </c>
      <c r="DG381" s="57">
        <f>IFERROR($Z382/$Z381-1,"")</f>
        <v/>
      </c>
      <c r="DH381" s="57">
        <f>IFERROR($AA382/$AA381-1,"")</f>
        <v/>
      </c>
      <c r="DI381" s="57">
        <f>IFERROR($AB382/$AB381-1,"")</f>
        <v/>
      </c>
      <c r="DJ381" s="57">
        <f>IFERROR($AC382/$AC381-1,"")</f>
        <v/>
      </c>
      <c r="DK381" s="57">
        <f>IFERROR($AD382/$AD381-1,"")</f>
        <v/>
      </c>
      <c r="DL381" s="57">
        <f>IFERROR($AE382/$AE381-1,"")</f>
        <v/>
      </c>
      <c r="DM381" s="56">
        <f>$AZ381-$AZ382</f>
        <v/>
      </c>
      <c r="DN381" s="56">
        <f>$BA381-$BA382</f>
        <v/>
      </c>
      <c r="DO381" s="56">
        <f>$BB381-$BB382</f>
        <v/>
      </c>
      <c r="DP381" s="56">
        <f>$BC381-$BC382</f>
        <v/>
      </c>
      <c r="DQ381" s="56">
        <f>$BD381-$BD382</f>
        <v/>
      </c>
      <c r="DR381" s="56">
        <f>$BE381-$BE382</f>
        <v/>
      </c>
      <c r="DS381" s="56">
        <f>$BF381-$BF382</f>
        <v/>
      </c>
      <c r="DT381" s="56">
        <f>$BG381-$BG382</f>
        <v/>
      </c>
      <c r="DU381" s="56">
        <f>$BH381-$BH382</f>
        <v/>
      </c>
      <c r="DV381" s="56">
        <f>$BI381-$BI382</f>
        <v/>
      </c>
      <c r="DW381" s="56">
        <f>$BJ381-$BJ382</f>
        <v/>
      </c>
      <c r="DX381" s="56">
        <f>$BK381-$BK382</f>
        <v/>
      </c>
      <c r="DY381" s="56">
        <f>$BL381-$BL382</f>
        <v/>
      </c>
      <c r="DZ381" s="56">
        <f>$BM381-$BM382</f>
        <v/>
      </c>
      <c r="EA381" s="56">
        <f>$BN381-$BN382</f>
        <v/>
      </c>
      <c r="EB381" s="56">
        <f>$BO381-$BO382</f>
        <v/>
      </c>
      <c r="EC381" s="56">
        <f>$BP381-$BP382</f>
        <v/>
      </c>
      <c r="ED381" s="56">
        <f>$BQ381-$BQ382</f>
        <v/>
      </c>
      <c r="EE381" s="56">
        <f>$BR381-$BR382</f>
        <v/>
      </c>
      <c r="EF381" s="56">
        <f>$BS381-$BS382</f>
        <v/>
      </c>
      <c r="EG381" s="56">
        <f>$BT381-$BT382</f>
        <v/>
      </c>
      <c r="EH381" s="56">
        <f>$BU381-$BU382</f>
        <v/>
      </c>
    </row>
    <row r="382">
      <c r="BV382" s="56">
        <f>($D382-$D383)*100</f>
        <v/>
      </c>
      <c r="BW382" s="56">
        <f>($C382-$C383)*100</f>
        <v/>
      </c>
      <c r="BX382" s="57">
        <f>IFERROR($I382/$I383-1,"")</f>
        <v/>
      </c>
      <c r="BY382" s="56">
        <f>($AF382-$AF383)*100</f>
        <v/>
      </c>
      <c r="BZ382" s="56">
        <f>($AG382-$AG383)*100</f>
        <v/>
      </c>
      <c r="CA382" s="56">
        <f>($AH382-$AH383)*100</f>
        <v/>
      </c>
      <c r="CB382" s="56">
        <f>($AI382-$AI383)*100</f>
        <v/>
      </c>
      <c r="CC382" s="56">
        <f>($AJ382-$AJ383)*100</f>
        <v/>
      </c>
      <c r="CD382" s="56">
        <f>($AK382-$AK383)*100</f>
        <v/>
      </c>
      <c r="CE382" s="56">
        <f>($AL382-$AL383)*100</f>
        <v/>
      </c>
      <c r="CF382" s="56">
        <f>($AM382-$AM383)*100</f>
        <v/>
      </c>
      <c r="CG382" s="56">
        <f>($AN382-$AN383)*100</f>
        <v/>
      </c>
      <c r="CH382" s="56">
        <f>($AO382-$AO383)*100</f>
        <v/>
      </c>
      <c r="CI382" s="56">
        <f>($AP382-$AP383)*100</f>
        <v/>
      </c>
      <c r="CJ382" s="56">
        <f>($AQ382-$AQ383)*100</f>
        <v/>
      </c>
      <c r="CK382" s="56">
        <f>($AR382-$AR383)*100</f>
        <v/>
      </c>
      <c r="CL382" s="56">
        <f>($AS382-$AS383)*100</f>
        <v/>
      </c>
      <c r="CM382" s="56">
        <f>($AT382-$AT383)*100</f>
        <v/>
      </c>
      <c r="CN382" s="56">
        <f>($AU382-$AU383)*100</f>
        <v/>
      </c>
      <c r="CO382" s="56">
        <f>($AV382-$AV383)*100</f>
        <v/>
      </c>
      <c r="CP382" s="56">
        <f>($AW382-$AW383)*100</f>
        <v/>
      </c>
      <c r="CQ382" s="56">
        <f>($AX382-$AX383)*100</f>
        <v/>
      </c>
      <c r="CR382" s="56">
        <f>($AY382-$AY383)*100</f>
        <v/>
      </c>
      <c r="CS382" s="57">
        <f>IFERROR($L383/$L382-1,"")</f>
        <v/>
      </c>
      <c r="CT382" s="57">
        <f>IFERROR($M383/$M382-1,"")</f>
        <v/>
      </c>
      <c r="CU382" s="57">
        <f>IFERROR($N383/$N382-1,"")</f>
        <v/>
      </c>
      <c r="CV382" s="57">
        <f>IFERROR($O383/$O382-1,"")</f>
        <v/>
      </c>
      <c r="CW382" s="57">
        <f>IFERROR($P383/$P382-1,"")</f>
        <v/>
      </c>
      <c r="CX382" s="57">
        <f>IFERROR($Q383/$Q382-1,"")</f>
        <v/>
      </c>
      <c r="CY382" s="57">
        <f>IFERROR($R383/$R382-1,"")</f>
        <v/>
      </c>
      <c r="CZ382" s="57">
        <f>IFERROR($S383/$S382-1,"")</f>
        <v/>
      </c>
      <c r="DA382" s="57">
        <f>IFERROR($T383/$T382-1,"")</f>
        <v/>
      </c>
      <c r="DB382" s="57">
        <f>IFERROR($U383/$U382-1,"")</f>
        <v/>
      </c>
      <c r="DC382" s="57">
        <f>IFERROR($V383/$V382-1,"")</f>
        <v/>
      </c>
      <c r="DD382" s="57">
        <f>IFERROR($W383/$W382-1,"")</f>
        <v/>
      </c>
      <c r="DE382" s="57">
        <f>IFERROR($X383/$X382-1,"")</f>
        <v/>
      </c>
      <c r="DF382" s="57">
        <f>IFERROR($Y383/$Y382-1,"")</f>
        <v/>
      </c>
      <c r="DG382" s="57">
        <f>IFERROR($Z383/$Z382-1,"")</f>
        <v/>
      </c>
      <c r="DH382" s="57">
        <f>IFERROR($AA383/$AA382-1,"")</f>
        <v/>
      </c>
      <c r="DI382" s="57">
        <f>IFERROR($AB383/$AB382-1,"")</f>
        <v/>
      </c>
      <c r="DJ382" s="57">
        <f>IFERROR($AC383/$AC382-1,"")</f>
        <v/>
      </c>
      <c r="DK382" s="57">
        <f>IFERROR($AD383/$AD382-1,"")</f>
        <v/>
      </c>
      <c r="DL382" s="57">
        <f>IFERROR($AE383/$AE382-1,"")</f>
        <v/>
      </c>
      <c r="DM382" s="56">
        <f>$AZ382-$AZ383</f>
        <v/>
      </c>
      <c r="DN382" s="56">
        <f>$BA382-$BA383</f>
        <v/>
      </c>
      <c r="DO382" s="56">
        <f>$BB382-$BB383</f>
        <v/>
      </c>
      <c r="DP382" s="56">
        <f>$BC382-$BC383</f>
        <v/>
      </c>
      <c r="DQ382" s="56">
        <f>$BD382-$BD383</f>
        <v/>
      </c>
      <c r="DR382" s="56">
        <f>$BE382-$BE383</f>
        <v/>
      </c>
      <c r="DS382" s="56">
        <f>$BF382-$BF383</f>
        <v/>
      </c>
      <c r="DT382" s="56">
        <f>$BG382-$BG383</f>
        <v/>
      </c>
      <c r="DU382" s="56">
        <f>$BH382-$BH383</f>
        <v/>
      </c>
      <c r="DV382" s="56">
        <f>$BI382-$BI383</f>
        <v/>
      </c>
      <c r="DW382" s="56">
        <f>$BJ382-$BJ383</f>
        <v/>
      </c>
      <c r="DX382" s="56">
        <f>$BK382-$BK383</f>
        <v/>
      </c>
      <c r="DY382" s="56">
        <f>$BL382-$BL383</f>
        <v/>
      </c>
      <c r="DZ382" s="56">
        <f>$BM382-$BM383</f>
        <v/>
      </c>
      <c r="EA382" s="56">
        <f>$BN382-$BN383</f>
        <v/>
      </c>
      <c r="EB382" s="56">
        <f>$BO382-$BO383</f>
        <v/>
      </c>
      <c r="EC382" s="56">
        <f>$BP382-$BP383</f>
        <v/>
      </c>
      <c r="ED382" s="56">
        <f>$BQ382-$BQ383</f>
        <v/>
      </c>
      <c r="EE382" s="56">
        <f>$BR382-$BR383</f>
        <v/>
      </c>
      <c r="EF382" s="56">
        <f>$BS382-$BS383</f>
        <v/>
      </c>
      <c r="EG382" s="56">
        <f>$BT382-$BT383</f>
        <v/>
      </c>
      <c r="EH382" s="56">
        <f>$BU382-$BU383</f>
        <v/>
      </c>
    </row>
    <row r="383">
      <c r="BV383" s="56">
        <f>($D383-$D384)*100</f>
        <v/>
      </c>
      <c r="BW383" s="56">
        <f>($C383-$C384)*100</f>
        <v/>
      </c>
      <c r="BX383" s="57">
        <f>IFERROR($I383/$I384-1,"")</f>
        <v/>
      </c>
      <c r="BY383" s="56">
        <f>($AF383-$AF384)*100</f>
        <v/>
      </c>
      <c r="BZ383" s="56">
        <f>($AG383-$AG384)*100</f>
        <v/>
      </c>
      <c r="CA383" s="56">
        <f>($AH383-$AH384)*100</f>
        <v/>
      </c>
      <c r="CB383" s="56">
        <f>($AI383-$AI384)*100</f>
        <v/>
      </c>
      <c r="CC383" s="56">
        <f>($AJ383-$AJ384)*100</f>
        <v/>
      </c>
      <c r="CD383" s="56">
        <f>($AK383-$AK384)*100</f>
        <v/>
      </c>
      <c r="CE383" s="56">
        <f>($AL383-$AL384)*100</f>
        <v/>
      </c>
      <c r="CF383" s="56">
        <f>($AM383-$AM384)*100</f>
        <v/>
      </c>
      <c r="CG383" s="56">
        <f>($AN383-$AN384)*100</f>
        <v/>
      </c>
      <c r="CH383" s="56">
        <f>($AO383-$AO384)*100</f>
        <v/>
      </c>
      <c r="CI383" s="56">
        <f>($AP383-$AP384)*100</f>
        <v/>
      </c>
      <c r="CJ383" s="56">
        <f>($AQ383-$AQ384)*100</f>
        <v/>
      </c>
      <c r="CK383" s="56">
        <f>($AR383-$AR384)*100</f>
        <v/>
      </c>
      <c r="CL383" s="56">
        <f>($AS383-$AS384)*100</f>
        <v/>
      </c>
      <c r="CM383" s="56">
        <f>($AT383-$AT384)*100</f>
        <v/>
      </c>
      <c r="CN383" s="56">
        <f>($AU383-$AU384)*100</f>
        <v/>
      </c>
      <c r="CO383" s="56">
        <f>($AV383-$AV384)*100</f>
        <v/>
      </c>
      <c r="CP383" s="56">
        <f>($AW383-$AW384)*100</f>
        <v/>
      </c>
      <c r="CQ383" s="56">
        <f>($AX383-$AX384)*100</f>
        <v/>
      </c>
      <c r="CR383" s="56">
        <f>($AY383-$AY384)*100</f>
        <v/>
      </c>
      <c r="CS383" s="57">
        <f>IFERROR($L384/$L383-1,"")</f>
        <v/>
      </c>
      <c r="CT383" s="57">
        <f>IFERROR($M384/$M383-1,"")</f>
        <v/>
      </c>
      <c r="CU383" s="57">
        <f>IFERROR($N384/$N383-1,"")</f>
        <v/>
      </c>
      <c r="CV383" s="57">
        <f>IFERROR($O384/$O383-1,"")</f>
        <v/>
      </c>
      <c r="CW383" s="57">
        <f>IFERROR($P384/$P383-1,"")</f>
        <v/>
      </c>
      <c r="CX383" s="57">
        <f>IFERROR($Q384/$Q383-1,"")</f>
        <v/>
      </c>
      <c r="CY383" s="57">
        <f>IFERROR($R384/$R383-1,"")</f>
        <v/>
      </c>
      <c r="CZ383" s="57">
        <f>IFERROR($S384/$S383-1,"")</f>
        <v/>
      </c>
      <c r="DA383" s="57">
        <f>IFERROR($T384/$T383-1,"")</f>
        <v/>
      </c>
      <c r="DB383" s="57">
        <f>IFERROR($U384/$U383-1,"")</f>
        <v/>
      </c>
      <c r="DC383" s="57">
        <f>IFERROR($V384/$V383-1,"")</f>
        <v/>
      </c>
      <c r="DD383" s="57">
        <f>IFERROR($W384/$W383-1,"")</f>
        <v/>
      </c>
      <c r="DE383" s="57">
        <f>IFERROR($X384/$X383-1,"")</f>
        <v/>
      </c>
      <c r="DF383" s="57">
        <f>IFERROR($Y384/$Y383-1,"")</f>
        <v/>
      </c>
      <c r="DG383" s="57">
        <f>IFERROR($Z384/$Z383-1,"")</f>
        <v/>
      </c>
      <c r="DH383" s="57">
        <f>IFERROR($AA384/$AA383-1,"")</f>
        <v/>
      </c>
      <c r="DI383" s="57">
        <f>IFERROR($AB384/$AB383-1,"")</f>
        <v/>
      </c>
      <c r="DJ383" s="57">
        <f>IFERROR($AC384/$AC383-1,"")</f>
        <v/>
      </c>
      <c r="DK383" s="57">
        <f>IFERROR($AD384/$AD383-1,"")</f>
        <v/>
      </c>
      <c r="DL383" s="57">
        <f>IFERROR($AE384/$AE383-1,"")</f>
        <v/>
      </c>
      <c r="DM383" s="56">
        <f>$AZ383-$AZ384</f>
        <v/>
      </c>
      <c r="DN383" s="56">
        <f>$BA383-$BA384</f>
        <v/>
      </c>
      <c r="DO383" s="56">
        <f>$BB383-$BB384</f>
        <v/>
      </c>
      <c r="DP383" s="56">
        <f>$BC383-$BC384</f>
        <v/>
      </c>
      <c r="DQ383" s="56">
        <f>$BD383-$BD384</f>
        <v/>
      </c>
      <c r="DR383" s="56">
        <f>$BE383-$BE384</f>
        <v/>
      </c>
      <c r="DS383" s="56">
        <f>$BF383-$BF384</f>
        <v/>
      </c>
      <c r="DT383" s="56">
        <f>$BG383-$BG384</f>
        <v/>
      </c>
      <c r="DU383" s="56">
        <f>$BH383-$BH384</f>
        <v/>
      </c>
      <c r="DV383" s="56">
        <f>$BI383-$BI384</f>
        <v/>
      </c>
      <c r="DW383" s="56">
        <f>$BJ383-$BJ384</f>
        <v/>
      </c>
      <c r="DX383" s="56">
        <f>$BK383-$BK384</f>
        <v/>
      </c>
      <c r="DY383" s="56">
        <f>$BL383-$BL384</f>
        <v/>
      </c>
      <c r="DZ383" s="56">
        <f>$BM383-$BM384</f>
        <v/>
      </c>
      <c r="EA383" s="56">
        <f>$BN383-$BN384</f>
        <v/>
      </c>
      <c r="EB383" s="56">
        <f>$BO383-$BO384</f>
        <v/>
      </c>
      <c r="EC383" s="56">
        <f>$BP383-$BP384</f>
        <v/>
      </c>
      <c r="ED383" s="56">
        <f>$BQ383-$BQ384</f>
        <v/>
      </c>
      <c r="EE383" s="56">
        <f>$BR383-$BR384</f>
        <v/>
      </c>
      <c r="EF383" s="56">
        <f>$BS383-$BS384</f>
        <v/>
      </c>
      <c r="EG383" s="56">
        <f>$BT383-$BT384</f>
        <v/>
      </c>
      <c r="EH383" s="56">
        <f>$BU383-$BU384</f>
        <v/>
      </c>
    </row>
    <row r="384">
      <c r="BV384" s="56">
        <f>($D384-$D385)*100</f>
        <v/>
      </c>
      <c r="BW384" s="56">
        <f>($C384-$C385)*100</f>
        <v/>
      </c>
      <c r="BX384" s="57">
        <f>IFERROR($I384/$I385-1,"")</f>
        <v/>
      </c>
      <c r="BY384" s="56">
        <f>($AF384-$AF385)*100</f>
        <v/>
      </c>
      <c r="BZ384" s="56">
        <f>($AG384-$AG385)*100</f>
        <v/>
      </c>
      <c r="CA384" s="56">
        <f>($AH384-$AH385)*100</f>
        <v/>
      </c>
      <c r="CB384" s="56">
        <f>($AI384-$AI385)*100</f>
        <v/>
      </c>
      <c r="CC384" s="56">
        <f>($AJ384-$AJ385)*100</f>
        <v/>
      </c>
      <c r="CD384" s="56">
        <f>($AK384-$AK385)*100</f>
        <v/>
      </c>
      <c r="CE384" s="56">
        <f>($AL384-$AL385)*100</f>
        <v/>
      </c>
      <c r="CF384" s="56">
        <f>($AM384-$AM385)*100</f>
        <v/>
      </c>
      <c r="CG384" s="56">
        <f>($AN384-$AN385)*100</f>
        <v/>
      </c>
      <c r="CH384" s="56">
        <f>($AO384-$AO385)*100</f>
        <v/>
      </c>
      <c r="CI384" s="56">
        <f>($AP384-$AP385)*100</f>
        <v/>
      </c>
      <c r="CJ384" s="56">
        <f>($AQ384-$AQ385)*100</f>
        <v/>
      </c>
      <c r="CK384" s="56">
        <f>($AR384-$AR385)*100</f>
        <v/>
      </c>
      <c r="CL384" s="56">
        <f>($AS384-$AS385)*100</f>
        <v/>
      </c>
      <c r="CM384" s="56">
        <f>($AT384-$AT385)*100</f>
        <v/>
      </c>
      <c r="CN384" s="56">
        <f>($AU384-$AU385)*100</f>
        <v/>
      </c>
      <c r="CO384" s="56">
        <f>($AV384-$AV385)*100</f>
        <v/>
      </c>
      <c r="CP384" s="56">
        <f>($AW384-$AW385)*100</f>
        <v/>
      </c>
      <c r="CQ384" s="56">
        <f>($AX384-$AX385)*100</f>
        <v/>
      </c>
      <c r="CR384" s="56">
        <f>($AY384-$AY385)*100</f>
        <v/>
      </c>
      <c r="CS384" s="57">
        <f>IFERROR($L385/$L384-1,"")</f>
        <v/>
      </c>
      <c r="CT384" s="57">
        <f>IFERROR($M385/$M384-1,"")</f>
        <v/>
      </c>
      <c r="CU384" s="57">
        <f>IFERROR($N385/$N384-1,"")</f>
        <v/>
      </c>
      <c r="CV384" s="57">
        <f>IFERROR($O385/$O384-1,"")</f>
        <v/>
      </c>
      <c r="CW384" s="57">
        <f>IFERROR($P385/$P384-1,"")</f>
        <v/>
      </c>
      <c r="CX384" s="57">
        <f>IFERROR($Q385/$Q384-1,"")</f>
        <v/>
      </c>
      <c r="CY384" s="57">
        <f>IFERROR($R385/$R384-1,"")</f>
        <v/>
      </c>
      <c r="CZ384" s="57">
        <f>IFERROR($S385/$S384-1,"")</f>
        <v/>
      </c>
      <c r="DA384" s="57">
        <f>IFERROR($T385/$T384-1,"")</f>
        <v/>
      </c>
      <c r="DB384" s="57">
        <f>IFERROR($U385/$U384-1,"")</f>
        <v/>
      </c>
      <c r="DC384" s="57">
        <f>IFERROR($V385/$V384-1,"")</f>
        <v/>
      </c>
      <c r="DD384" s="57">
        <f>IFERROR($W385/$W384-1,"")</f>
        <v/>
      </c>
      <c r="DE384" s="57">
        <f>IFERROR($X385/$X384-1,"")</f>
        <v/>
      </c>
      <c r="DF384" s="57">
        <f>IFERROR($Y385/$Y384-1,"")</f>
        <v/>
      </c>
      <c r="DG384" s="57">
        <f>IFERROR($Z385/$Z384-1,"")</f>
        <v/>
      </c>
      <c r="DH384" s="57">
        <f>IFERROR($AA385/$AA384-1,"")</f>
        <v/>
      </c>
      <c r="DI384" s="57">
        <f>IFERROR($AB385/$AB384-1,"")</f>
        <v/>
      </c>
      <c r="DJ384" s="57">
        <f>IFERROR($AC385/$AC384-1,"")</f>
        <v/>
      </c>
      <c r="DK384" s="57">
        <f>IFERROR($AD385/$AD384-1,"")</f>
        <v/>
      </c>
      <c r="DL384" s="57">
        <f>IFERROR($AE385/$AE384-1,"")</f>
        <v/>
      </c>
      <c r="DM384" s="56">
        <f>$AZ384-$AZ385</f>
        <v/>
      </c>
      <c r="DN384" s="56">
        <f>$BA384-$BA385</f>
        <v/>
      </c>
      <c r="DO384" s="56">
        <f>$BB384-$BB385</f>
        <v/>
      </c>
      <c r="DP384" s="56">
        <f>$BC384-$BC385</f>
        <v/>
      </c>
      <c r="DQ384" s="56">
        <f>$BD384-$BD385</f>
        <v/>
      </c>
      <c r="DR384" s="56">
        <f>$BE384-$BE385</f>
        <v/>
      </c>
      <c r="DS384" s="56">
        <f>$BF384-$BF385</f>
        <v/>
      </c>
      <c r="DT384" s="56">
        <f>$BG384-$BG385</f>
        <v/>
      </c>
      <c r="DU384" s="56">
        <f>$BH384-$BH385</f>
        <v/>
      </c>
      <c r="DV384" s="56">
        <f>$BI384-$BI385</f>
        <v/>
      </c>
      <c r="DW384" s="56">
        <f>$BJ384-$BJ385</f>
        <v/>
      </c>
      <c r="DX384" s="56">
        <f>$BK384-$BK385</f>
        <v/>
      </c>
      <c r="DY384" s="56">
        <f>$BL384-$BL385</f>
        <v/>
      </c>
      <c r="DZ384" s="56">
        <f>$BM384-$BM385</f>
        <v/>
      </c>
      <c r="EA384" s="56">
        <f>$BN384-$BN385</f>
        <v/>
      </c>
      <c r="EB384" s="56">
        <f>$BO384-$BO385</f>
        <v/>
      </c>
      <c r="EC384" s="56">
        <f>$BP384-$BP385</f>
        <v/>
      </c>
      <c r="ED384" s="56">
        <f>$BQ384-$BQ385</f>
        <v/>
      </c>
      <c r="EE384" s="56">
        <f>$BR384-$BR385</f>
        <v/>
      </c>
      <c r="EF384" s="56">
        <f>$BS384-$BS385</f>
        <v/>
      </c>
      <c r="EG384" s="56">
        <f>$BT384-$BT385</f>
        <v/>
      </c>
      <c r="EH384" s="56">
        <f>$BU384-$BU385</f>
        <v/>
      </c>
    </row>
    <row r="385">
      <c r="BV385" s="56">
        <f>($D385-$D386)*100</f>
        <v/>
      </c>
      <c r="BW385" s="56">
        <f>($C385-$C386)*100</f>
        <v/>
      </c>
      <c r="BX385" s="57">
        <f>IFERROR($I385/$I386-1,"")</f>
        <v/>
      </c>
      <c r="BY385" s="56">
        <f>($AF385-$AF386)*100</f>
        <v/>
      </c>
      <c r="BZ385" s="56">
        <f>($AG385-$AG386)*100</f>
        <v/>
      </c>
      <c r="CA385" s="56">
        <f>($AH385-$AH386)*100</f>
        <v/>
      </c>
      <c r="CB385" s="56">
        <f>($AI385-$AI386)*100</f>
        <v/>
      </c>
      <c r="CC385" s="56">
        <f>($AJ385-$AJ386)*100</f>
        <v/>
      </c>
      <c r="CD385" s="56">
        <f>($AK385-$AK386)*100</f>
        <v/>
      </c>
      <c r="CE385" s="56">
        <f>($AL385-$AL386)*100</f>
        <v/>
      </c>
      <c r="CF385" s="56">
        <f>($AM385-$AM386)*100</f>
        <v/>
      </c>
      <c r="CG385" s="56">
        <f>($AN385-$AN386)*100</f>
        <v/>
      </c>
      <c r="CH385" s="56">
        <f>($AO385-$AO386)*100</f>
        <v/>
      </c>
      <c r="CI385" s="56">
        <f>($AP385-$AP386)*100</f>
        <v/>
      </c>
      <c r="CJ385" s="56">
        <f>($AQ385-$AQ386)*100</f>
        <v/>
      </c>
      <c r="CK385" s="56">
        <f>($AR385-$AR386)*100</f>
        <v/>
      </c>
      <c r="CL385" s="56">
        <f>($AS385-$AS386)*100</f>
        <v/>
      </c>
      <c r="CM385" s="56">
        <f>($AT385-$AT386)*100</f>
        <v/>
      </c>
      <c r="CN385" s="56">
        <f>($AU385-$AU386)*100</f>
        <v/>
      </c>
      <c r="CO385" s="56">
        <f>($AV385-$AV386)*100</f>
        <v/>
      </c>
      <c r="CP385" s="56">
        <f>($AW385-$AW386)*100</f>
        <v/>
      </c>
      <c r="CQ385" s="56">
        <f>($AX385-$AX386)*100</f>
        <v/>
      </c>
      <c r="CR385" s="56">
        <f>($AY385-$AY386)*100</f>
        <v/>
      </c>
      <c r="CS385" s="57">
        <f>IFERROR($L386/$L385-1,"")</f>
        <v/>
      </c>
      <c r="CT385" s="57">
        <f>IFERROR($M386/$M385-1,"")</f>
        <v/>
      </c>
      <c r="CU385" s="57">
        <f>IFERROR($N386/$N385-1,"")</f>
        <v/>
      </c>
      <c r="CV385" s="57">
        <f>IFERROR($O386/$O385-1,"")</f>
        <v/>
      </c>
      <c r="CW385" s="57">
        <f>IFERROR($P386/$P385-1,"")</f>
        <v/>
      </c>
      <c r="CX385" s="57">
        <f>IFERROR($Q386/$Q385-1,"")</f>
        <v/>
      </c>
      <c r="CY385" s="57">
        <f>IFERROR($R386/$R385-1,"")</f>
        <v/>
      </c>
      <c r="CZ385" s="57">
        <f>IFERROR($S386/$S385-1,"")</f>
        <v/>
      </c>
      <c r="DA385" s="57">
        <f>IFERROR($T386/$T385-1,"")</f>
        <v/>
      </c>
      <c r="DB385" s="57">
        <f>IFERROR($U386/$U385-1,"")</f>
        <v/>
      </c>
      <c r="DC385" s="57">
        <f>IFERROR($V386/$V385-1,"")</f>
        <v/>
      </c>
      <c r="DD385" s="57">
        <f>IFERROR($W386/$W385-1,"")</f>
        <v/>
      </c>
      <c r="DE385" s="57">
        <f>IFERROR($X386/$X385-1,"")</f>
        <v/>
      </c>
      <c r="DF385" s="57">
        <f>IFERROR($Y386/$Y385-1,"")</f>
        <v/>
      </c>
      <c r="DG385" s="57">
        <f>IFERROR($Z386/$Z385-1,"")</f>
        <v/>
      </c>
      <c r="DH385" s="57">
        <f>IFERROR($AA386/$AA385-1,"")</f>
        <v/>
      </c>
      <c r="DI385" s="57">
        <f>IFERROR($AB386/$AB385-1,"")</f>
        <v/>
      </c>
      <c r="DJ385" s="57">
        <f>IFERROR($AC386/$AC385-1,"")</f>
        <v/>
      </c>
      <c r="DK385" s="57">
        <f>IFERROR($AD386/$AD385-1,"")</f>
        <v/>
      </c>
      <c r="DL385" s="57">
        <f>IFERROR($AE386/$AE385-1,"")</f>
        <v/>
      </c>
      <c r="DM385" s="56">
        <f>$AZ385-$AZ386</f>
        <v/>
      </c>
      <c r="DN385" s="56">
        <f>$BA385-$BA386</f>
        <v/>
      </c>
      <c r="DO385" s="56">
        <f>$BB385-$BB386</f>
        <v/>
      </c>
      <c r="DP385" s="56">
        <f>$BC385-$BC386</f>
        <v/>
      </c>
      <c r="DQ385" s="56">
        <f>$BD385-$BD386</f>
        <v/>
      </c>
      <c r="DR385" s="56">
        <f>$BE385-$BE386</f>
        <v/>
      </c>
      <c r="DS385" s="56">
        <f>$BF385-$BF386</f>
        <v/>
      </c>
      <c r="DT385" s="56">
        <f>$BG385-$BG386</f>
        <v/>
      </c>
      <c r="DU385" s="56">
        <f>$BH385-$BH386</f>
        <v/>
      </c>
      <c r="DV385" s="56">
        <f>$BI385-$BI386</f>
        <v/>
      </c>
      <c r="DW385" s="56">
        <f>$BJ385-$BJ386</f>
        <v/>
      </c>
      <c r="DX385" s="56">
        <f>$BK385-$BK386</f>
        <v/>
      </c>
      <c r="DY385" s="56">
        <f>$BL385-$BL386</f>
        <v/>
      </c>
      <c r="DZ385" s="56">
        <f>$BM385-$BM386</f>
        <v/>
      </c>
      <c r="EA385" s="56">
        <f>$BN385-$BN386</f>
        <v/>
      </c>
      <c r="EB385" s="56">
        <f>$BO385-$BO386</f>
        <v/>
      </c>
      <c r="EC385" s="56">
        <f>$BP385-$BP386</f>
        <v/>
      </c>
      <c r="ED385" s="56">
        <f>$BQ385-$BQ386</f>
        <v/>
      </c>
      <c r="EE385" s="56">
        <f>$BR385-$BR386</f>
        <v/>
      </c>
      <c r="EF385" s="56">
        <f>$BS385-$BS386</f>
        <v/>
      </c>
      <c r="EG385" s="56">
        <f>$BT385-$BT386</f>
        <v/>
      </c>
      <c r="EH385" s="56">
        <f>$BU385-$BU386</f>
        <v/>
      </c>
    </row>
    <row r="386">
      <c r="BV386" s="56">
        <f>($D386-$D387)*100</f>
        <v/>
      </c>
      <c r="BW386" s="56">
        <f>($C386-$C387)*100</f>
        <v/>
      </c>
      <c r="BX386" s="57">
        <f>IFERROR($I386/$I387-1,"")</f>
        <v/>
      </c>
      <c r="BY386" s="56">
        <f>($AF386-$AF387)*100</f>
        <v/>
      </c>
      <c r="BZ386" s="56">
        <f>($AG386-$AG387)*100</f>
        <v/>
      </c>
      <c r="CA386" s="56">
        <f>($AH386-$AH387)*100</f>
        <v/>
      </c>
      <c r="CB386" s="56">
        <f>($AI386-$AI387)*100</f>
        <v/>
      </c>
      <c r="CC386" s="56">
        <f>($AJ386-$AJ387)*100</f>
        <v/>
      </c>
      <c r="CD386" s="56">
        <f>($AK386-$AK387)*100</f>
        <v/>
      </c>
      <c r="CE386" s="56">
        <f>($AL386-$AL387)*100</f>
        <v/>
      </c>
      <c r="CF386" s="56">
        <f>($AM386-$AM387)*100</f>
        <v/>
      </c>
      <c r="CG386" s="56">
        <f>($AN386-$AN387)*100</f>
        <v/>
      </c>
      <c r="CH386" s="56">
        <f>($AO386-$AO387)*100</f>
        <v/>
      </c>
      <c r="CI386" s="56">
        <f>($AP386-$AP387)*100</f>
        <v/>
      </c>
      <c r="CJ386" s="56">
        <f>($AQ386-$AQ387)*100</f>
        <v/>
      </c>
      <c r="CK386" s="56">
        <f>($AR386-$AR387)*100</f>
        <v/>
      </c>
      <c r="CL386" s="56">
        <f>($AS386-$AS387)*100</f>
        <v/>
      </c>
      <c r="CM386" s="56">
        <f>($AT386-$AT387)*100</f>
        <v/>
      </c>
      <c r="CN386" s="56">
        <f>($AU386-$AU387)*100</f>
        <v/>
      </c>
      <c r="CO386" s="56">
        <f>($AV386-$AV387)*100</f>
        <v/>
      </c>
      <c r="CP386" s="56">
        <f>($AW386-$AW387)*100</f>
        <v/>
      </c>
      <c r="CQ386" s="56">
        <f>($AX386-$AX387)*100</f>
        <v/>
      </c>
      <c r="CR386" s="56">
        <f>($AY386-$AY387)*100</f>
        <v/>
      </c>
      <c r="CS386" s="57">
        <f>IFERROR($L387/$L386-1,"")</f>
        <v/>
      </c>
      <c r="CT386" s="57">
        <f>IFERROR($M387/$M386-1,"")</f>
        <v/>
      </c>
      <c r="CU386" s="57">
        <f>IFERROR($N387/$N386-1,"")</f>
        <v/>
      </c>
      <c r="CV386" s="57">
        <f>IFERROR($O387/$O386-1,"")</f>
        <v/>
      </c>
      <c r="CW386" s="57">
        <f>IFERROR($P387/$P386-1,"")</f>
        <v/>
      </c>
      <c r="CX386" s="57">
        <f>IFERROR($Q387/$Q386-1,"")</f>
        <v/>
      </c>
      <c r="CY386" s="57">
        <f>IFERROR($R387/$R386-1,"")</f>
        <v/>
      </c>
      <c r="CZ386" s="57">
        <f>IFERROR($S387/$S386-1,"")</f>
        <v/>
      </c>
      <c r="DA386" s="57">
        <f>IFERROR($T387/$T386-1,"")</f>
        <v/>
      </c>
      <c r="DB386" s="57">
        <f>IFERROR($U387/$U386-1,"")</f>
        <v/>
      </c>
      <c r="DC386" s="57">
        <f>IFERROR($V387/$V386-1,"")</f>
        <v/>
      </c>
      <c r="DD386" s="57">
        <f>IFERROR($W387/$W386-1,"")</f>
        <v/>
      </c>
      <c r="DE386" s="57">
        <f>IFERROR($X387/$X386-1,"")</f>
        <v/>
      </c>
      <c r="DF386" s="57">
        <f>IFERROR($Y387/$Y386-1,"")</f>
        <v/>
      </c>
      <c r="DG386" s="57">
        <f>IFERROR($Z387/$Z386-1,"")</f>
        <v/>
      </c>
      <c r="DH386" s="57">
        <f>IFERROR($AA387/$AA386-1,"")</f>
        <v/>
      </c>
      <c r="DI386" s="57">
        <f>IFERROR($AB387/$AB386-1,"")</f>
        <v/>
      </c>
      <c r="DJ386" s="57">
        <f>IFERROR($AC387/$AC386-1,"")</f>
        <v/>
      </c>
      <c r="DK386" s="57">
        <f>IFERROR($AD387/$AD386-1,"")</f>
        <v/>
      </c>
      <c r="DL386" s="57">
        <f>IFERROR($AE387/$AE386-1,"")</f>
        <v/>
      </c>
      <c r="DM386" s="56">
        <f>$AZ386-$AZ387</f>
        <v/>
      </c>
      <c r="DN386" s="56">
        <f>$BA386-$BA387</f>
        <v/>
      </c>
      <c r="DO386" s="56">
        <f>$BB386-$BB387</f>
        <v/>
      </c>
      <c r="DP386" s="56">
        <f>$BC386-$BC387</f>
        <v/>
      </c>
      <c r="DQ386" s="56">
        <f>$BD386-$BD387</f>
        <v/>
      </c>
      <c r="DR386" s="56">
        <f>$BE386-$BE387</f>
        <v/>
      </c>
      <c r="DS386" s="56">
        <f>$BF386-$BF387</f>
        <v/>
      </c>
      <c r="DT386" s="56">
        <f>$BG386-$BG387</f>
        <v/>
      </c>
      <c r="DU386" s="56">
        <f>$BH386-$BH387</f>
        <v/>
      </c>
      <c r="DV386" s="56">
        <f>$BI386-$BI387</f>
        <v/>
      </c>
      <c r="DW386" s="56">
        <f>$BJ386-$BJ387</f>
        <v/>
      </c>
      <c r="DX386" s="56">
        <f>$BK386-$BK387</f>
        <v/>
      </c>
      <c r="DY386" s="56">
        <f>$BL386-$BL387</f>
        <v/>
      </c>
      <c r="DZ386" s="56">
        <f>$BM386-$BM387</f>
        <v/>
      </c>
      <c r="EA386" s="56">
        <f>$BN386-$BN387</f>
        <v/>
      </c>
      <c r="EB386" s="56">
        <f>$BO386-$BO387</f>
        <v/>
      </c>
      <c r="EC386" s="56">
        <f>$BP386-$BP387</f>
        <v/>
      </c>
      <c r="ED386" s="56">
        <f>$BQ386-$BQ387</f>
        <v/>
      </c>
      <c r="EE386" s="56">
        <f>$BR386-$BR387</f>
        <v/>
      </c>
      <c r="EF386" s="56">
        <f>$BS386-$BS387</f>
        <v/>
      </c>
      <c r="EG386" s="56">
        <f>$BT386-$BT387</f>
        <v/>
      </c>
      <c r="EH386" s="56">
        <f>$BU386-$BU387</f>
        <v/>
      </c>
    </row>
    <row r="387">
      <c r="BV387" s="56">
        <f>($D387-$D388)*100</f>
        <v/>
      </c>
      <c r="BW387" s="56">
        <f>($C387-$C388)*100</f>
        <v/>
      </c>
      <c r="BX387" s="57">
        <f>IFERROR($I387/$I388-1,"")</f>
        <v/>
      </c>
      <c r="BY387" s="56">
        <f>($AF387-$AF388)*100</f>
        <v/>
      </c>
      <c r="BZ387" s="56">
        <f>($AG387-$AG388)*100</f>
        <v/>
      </c>
      <c r="CA387" s="56">
        <f>($AH387-$AH388)*100</f>
        <v/>
      </c>
      <c r="CB387" s="56">
        <f>($AI387-$AI388)*100</f>
        <v/>
      </c>
      <c r="CC387" s="56">
        <f>($AJ387-$AJ388)*100</f>
        <v/>
      </c>
      <c r="CD387" s="56">
        <f>($AK387-$AK388)*100</f>
        <v/>
      </c>
      <c r="CE387" s="56">
        <f>($AL387-$AL388)*100</f>
        <v/>
      </c>
      <c r="CF387" s="56">
        <f>($AM387-$AM388)*100</f>
        <v/>
      </c>
      <c r="CG387" s="56">
        <f>($AN387-$AN388)*100</f>
        <v/>
      </c>
      <c r="CH387" s="56">
        <f>($AO387-$AO388)*100</f>
        <v/>
      </c>
      <c r="CI387" s="56">
        <f>($AP387-$AP388)*100</f>
        <v/>
      </c>
      <c r="CJ387" s="56">
        <f>($AQ387-$AQ388)*100</f>
        <v/>
      </c>
      <c r="CK387" s="56">
        <f>($AR387-$AR388)*100</f>
        <v/>
      </c>
      <c r="CL387" s="56">
        <f>($AS387-$AS388)*100</f>
        <v/>
      </c>
      <c r="CM387" s="56">
        <f>($AT387-$AT388)*100</f>
        <v/>
      </c>
      <c r="CN387" s="56">
        <f>($AU387-$AU388)*100</f>
        <v/>
      </c>
      <c r="CO387" s="56">
        <f>($AV387-$AV388)*100</f>
        <v/>
      </c>
      <c r="CP387" s="56">
        <f>($AW387-$AW388)*100</f>
        <v/>
      </c>
      <c r="CQ387" s="56">
        <f>($AX387-$AX388)*100</f>
        <v/>
      </c>
      <c r="CR387" s="56">
        <f>($AY387-$AY388)*100</f>
        <v/>
      </c>
      <c r="CS387" s="57">
        <f>IFERROR($L388/$L387-1,"")</f>
        <v/>
      </c>
      <c r="CT387" s="57">
        <f>IFERROR($M388/$M387-1,"")</f>
        <v/>
      </c>
      <c r="CU387" s="57">
        <f>IFERROR($N388/$N387-1,"")</f>
        <v/>
      </c>
      <c r="CV387" s="57">
        <f>IFERROR($O388/$O387-1,"")</f>
        <v/>
      </c>
      <c r="CW387" s="57">
        <f>IFERROR($P388/$P387-1,"")</f>
        <v/>
      </c>
      <c r="CX387" s="57">
        <f>IFERROR($Q388/$Q387-1,"")</f>
        <v/>
      </c>
      <c r="CY387" s="57">
        <f>IFERROR($R388/$R387-1,"")</f>
        <v/>
      </c>
      <c r="CZ387" s="57">
        <f>IFERROR($S388/$S387-1,"")</f>
        <v/>
      </c>
      <c r="DA387" s="57">
        <f>IFERROR($T388/$T387-1,"")</f>
        <v/>
      </c>
      <c r="DB387" s="57">
        <f>IFERROR($U388/$U387-1,"")</f>
        <v/>
      </c>
      <c r="DC387" s="57">
        <f>IFERROR($V388/$V387-1,"")</f>
        <v/>
      </c>
      <c r="DD387" s="57">
        <f>IFERROR($W388/$W387-1,"")</f>
        <v/>
      </c>
      <c r="DE387" s="57">
        <f>IFERROR($X388/$X387-1,"")</f>
        <v/>
      </c>
      <c r="DF387" s="57">
        <f>IFERROR($Y388/$Y387-1,"")</f>
        <v/>
      </c>
      <c r="DG387" s="57">
        <f>IFERROR($Z388/$Z387-1,"")</f>
        <v/>
      </c>
      <c r="DH387" s="57">
        <f>IFERROR($AA388/$AA387-1,"")</f>
        <v/>
      </c>
      <c r="DI387" s="57">
        <f>IFERROR($AB388/$AB387-1,"")</f>
        <v/>
      </c>
      <c r="DJ387" s="57">
        <f>IFERROR($AC388/$AC387-1,"")</f>
        <v/>
      </c>
      <c r="DK387" s="57">
        <f>IFERROR($AD388/$AD387-1,"")</f>
        <v/>
      </c>
      <c r="DL387" s="57">
        <f>IFERROR($AE388/$AE387-1,"")</f>
        <v/>
      </c>
      <c r="DM387" s="56">
        <f>$AZ387-$AZ388</f>
        <v/>
      </c>
      <c r="DN387" s="56">
        <f>$BA387-$BA388</f>
        <v/>
      </c>
      <c r="DO387" s="56">
        <f>$BB387-$BB388</f>
        <v/>
      </c>
      <c r="DP387" s="56">
        <f>$BC387-$BC388</f>
        <v/>
      </c>
      <c r="DQ387" s="56">
        <f>$BD387-$BD388</f>
        <v/>
      </c>
      <c r="DR387" s="56">
        <f>$BE387-$BE388</f>
        <v/>
      </c>
      <c r="DS387" s="56">
        <f>$BF387-$BF388</f>
        <v/>
      </c>
      <c r="DT387" s="56">
        <f>$BG387-$BG388</f>
        <v/>
      </c>
      <c r="DU387" s="56">
        <f>$BH387-$BH388</f>
        <v/>
      </c>
      <c r="DV387" s="56">
        <f>$BI387-$BI388</f>
        <v/>
      </c>
      <c r="DW387" s="56">
        <f>$BJ387-$BJ388</f>
        <v/>
      </c>
      <c r="DX387" s="56">
        <f>$BK387-$BK388</f>
        <v/>
      </c>
      <c r="DY387" s="56">
        <f>$BL387-$BL388</f>
        <v/>
      </c>
      <c r="DZ387" s="56">
        <f>$BM387-$BM388</f>
        <v/>
      </c>
      <c r="EA387" s="56">
        <f>$BN387-$BN388</f>
        <v/>
      </c>
      <c r="EB387" s="56">
        <f>$BO387-$BO388</f>
        <v/>
      </c>
      <c r="EC387" s="56">
        <f>$BP387-$BP388</f>
        <v/>
      </c>
      <c r="ED387" s="56">
        <f>$BQ387-$BQ388</f>
        <v/>
      </c>
      <c r="EE387" s="56">
        <f>$BR387-$BR388</f>
        <v/>
      </c>
      <c r="EF387" s="56">
        <f>$BS387-$BS388</f>
        <v/>
      </c>
      <c r="EG387" s="56">
        <f>$BT387-$BT388</f>
        <v/>
      </c>
      <c r="EH387" s="56">
        <f>$BU387-$BU388</f>
        <v/>
      </c>
    </row>
    <row r="388">
      <c r="BV388" s="56">
        <f>($D388-$D389)*100</f>
        <v/>
      </c>
      <c r="BW388" s="56">
        <f>($C388-$C389)*100</f>
        <v/>
      </c>
      <c r="BX388" s="57">
        <f>IFERROR($I388/$I389-1,"")</f>
        <v/>
      </c>
      <c r="BY388" s="56">
        <f>($AF388-$AF389)*100</f>
        <v/>
      </c>
      <c r="BZ388" s="56">
        <f>($AG388-$AG389)*100</f>
        <v/>
      </c>
      <c r="CA388" s="56">
        <f>($AH388-$AH389)*100</f>
        <v/>
      </c>
      <c r="CB388" s="56">
        <f>($AI388-$AI389)*100</f>
        <v/>
      </c>
      <c r="CC388" s="56">
        <f>($AJ388-$AJ389)*100</f>
        <v/>
      </c>
      <c r="CD388" s="56">
        <f>($AK388-$AK389)*100</f>
        <v/>
      </c>
      <c r="CE388" s="56">
        <f>($AL388-$AL389)*100</f>
        <v/>
      </c>
      <c r="CF388" s="56">
        <f>($AM388-$AM389)*100</f>
        <v/>
      </c>
      <c r="CG388" s="56">
        <f>($AN388-$AN389)*100</f>
        <v/>
      </c>
      <c r="CH388" s="56">
        <f>($AO388-$AO389)*100</f>
        <v/>
      </c>
      <c r="CI388" s="56">
        <f>($AP388-$AP389)*100</f>
        <v/>
      </c>
      <c r="CJ388" s="56">
        <f>($AQ388-$AQ389)*100</f>
        <v/>
      </c>
      <c r="CK388" s="56">
        <f>($AR388-$AR389)*100</f>
        <v/>
      </c>
      <c r="CL388" s="56">
        <f>($AS388-$AS389)*100</f>
        <v/>
      </c>
      <c r="CM388" s="56">
        <f>($AT388-$AT389)*100</f>
        <v/>
      </c>
      <c r="CN388" s="56">
        <f>($AU388-$AU389)*100</f>
        <v/>
      </c>
      <c r="CO388" s="56">
        <f>($AV388-$AV389)*100</f>
        <v/>
      </c>
      <c r="CP388" s="56">
        <f>($AW388-$AW389)*100</f>
        <v/>
      </c>
      <c r="CQ388" s="56">
        <f>($AX388-$AX389)*100</f>
        <v/>
      </c>
      <c r="CR388" s="56">
        <f>($AY388-$AY389)*100</f>
        <v/>
      </c>
      <c r="CS388" s="57">
        <f>IFERROR($L389/$L388-1,"")</f>
        <v/>
      </c>
      <c r="CT388" s="57">
        <f>IFERROR($M389/$M388-1,"")</f>
        <v/>
      </c>
      <c r="CU388" s="57">
        <f>IFERROR($N389/$N388-1,"")</f>
        <v/>
      </c>
      <c r="CV388" s="57">
        <f>IFERROR($O389/$O388-1,"")</f>
        <v/>
      </c>
      <c r="CW388" s="57">
        <f>IFERROR($P389/$P388-1,"")</f>
        <v/>
      </c>
      <c r="CX388" s="57">
        <f>IFERROR($Q389/$Q388-1,"")</f>
        <v/>
      </c>
      <c r="CY388" s="57">
        <f>IFERROR($R389/$R388-1,"")</f>
        <v/>
      </c>
      <c r="CZ388" s="57">
        <f>IFERROR($S389/$S388-1,"")</f>
        <v/>
      </c>
      <c r="DA388" s="57">
        <f>IFERROR($T389/$T388-1,"")</f>
        <v/>
      </c>
      <c r="DB388" s="57">
        <f>IFERROR($U389/$U388-1,"")</f>
        <v/>
      </c>
      <c r="DC388" s="57">
        <f>IFERROR($V389/$V388-1,"")</f>
        <v/>
      </c>
      <c r="DD388" s="57">
        <f>IFERROR($W389/$W388-1,"")</f>
        <v/>
      </c>
      <c r="DE388" s="57">
        <f>IFERROR($X389/$X388-1,"")</f>
        <v/>
      </c>
      <c r="DF388" s="57">
        <f>IFERROR($Y389/$Y388-1,"")</f>
        <v/>
      </c>
      <c r="DG388" s="57">
        <f>IFERROR($Z389/$Z388-1,"")</f>
        <v/>
      </c>
      <c r="DH388" s="57">
        <f>IFERROR($AA389/$AA388-1,"")</f>
        <v/>
      </c>
      <c r="DI388" s="57">
        <f>IFERROR($AB389/$AB388-1,"")</f>
        <v/>
      </c>
      <c r="DJ388" s="57">
        <f>IFERROR($AC389/$AC388-1,"")</f>
        <v/>
      </c>
      <c r="DK388" s="57">
        <f>IFERROR($AD389/$AD388-1,"")</f>
        <v/>
      </c>
      <c r="DL388" s="57">
        <f>IFERROR($AE389/$AE388-1,"")</f>
        <v/>
      </c>
      <c r="DM388" s="56">
        <f>$AZ388-$AZ389</f>
        <v/>
      </c>
      <c r="DN388" s="56">
        <f>$BA388-$BA389</f>
        <v/>
      </c>
      <c r="DO388" s="56">
        <f>$BB388-$BB389</f>
        <v/>
      </c>
      <c r="DP388" s="56">
        <f>$BC388-$BC389</f>
        <v/>
      </c>
      <c r="DQ388" s="56">
        <f>$BD388-$BD389</f>
        <v/>
      </c>
      <c r="DR388" s="56">
        <f>$BE388-$BE389</f>
        <v/>
      </c>
      <c r="DS388" s="56">
        <f>$BF388-$BF389</f>
        <v/>
      </c>
      <c r="DT388" s="56">
        <f>$BG388-$BG389</f>
        <v/>
      </c>
      <c r="DU388" s="56">
        <f>$BH388-$BH389</f>
        <v/>
      </c>
      <c r="DV388" s="56">
        <f>$BI388-$BI389</f>
        <v/>
      </c>
      <c r="DW388" s="56">
        <f>$BJ388-$BJ389</f>
        <v/>
      </c>
      <c r="DX388" s="56">
        <f>$BK388-$BK389</f>
        <v/>
      </c>
      <c r="DY388" s="56">
        <f>$BL388-$BL389</f>
        <v/>
      </c>
      <c r="DZ388" s="56">
        <f>$BM388-$BM389</f>
        <v/>
      </c>
      <c r="EA388" s="56">
        <f>$BN388-$BN389</f>
        <v/>
      </c>
      <c r="EB388" s="56">
        <f>$BO388-$BO389</f>
        <v/>
      </c>
      <c r="EC388" s="56">
        <f>$BP388-$BP389</f>
        <v/>
      </c>
      <c r="ED388" s="56">
        <f>$BQ388-$BQ389</f>
        <v/>
      </c>
      <c r="EE388" s="56">
        <f>$BR388-$BR389</f>
        <v/>
      </c>
      <c r="EF388" s="56">
        <f>$BS388-$BS389</f>
        <v/>
      </c>
      <c r="EG388" s="56">
        <f>$BT388-$BT389</f>
        <v/>
      </c>
      <c r="EH388" s="56">
        <f>$BU388-$BU389</f>
        <v/>
      </c>
    </row>
    <row r="389">
      <c r="BV389" s="56">
        <f>($D389-$D390)*100</f>
        <v/>
      </c>
      <c r="BW389" s="56">
        <f>($C389-$C390)*100</f>
        <v/>
      </c>
      <c r="BX389" s="57">
        <f>IFERROR($I389/$I390-1,"")</f>
        <v/>
      </c>
      <c r="BY389" s="56">
        <f>($AF389-$AF390)*100</f>
        <v/>
      </c>
      <c r="BZ389" s="56">
        <f>($AG389-$AG390)*100</f>
        <v/>
      </c>
      <c r="CA389" s="56">
        <f>($AH389-$AH390)*100</f>
        <v/>
      </c>
      <c r="CB389" s="56">
        <f>($AI389-$AI390)*100</f>
        <v/>
      </c>
      <c r="CC389" s="56">
        <f>($AJ389-$AJ390)*100</f>
        <v/>
      </c>
      <c r="CD389" s="56">
        <f>($AK389-$AK390)*100</f>
        <v/>
      </c>
      <c r="CE389" s="56">
        <f>($AL389-$AL390)*100</f>
        <v/>
      </c>
      <c r="CF389" s="56">
        <f>($AM389-$AM390)*100</f>
        <v/>
      </c>
      <c r="CG389" s="56">
        <f>($AN389-$AN390)*100</f>
        <v/>
      </c>
      <c r="CH389" s="56">
        <f>($AO389-$AO390)*100</f>
        <v/>
      </c>
      <c r="CI389" s="56">
        <f>($AP389-$AP390)*100</f>
        <v/>
      </c>
      <c r="CJ389" s="56">
        <f>($AQ389-$AQ390)*100</f>
        <v/>
      </c>
      <c r="CK389" s="56">
        <f>($AR389-$AR390)*100</f>
        <v/>
      </c>
      <c r="CL389" s="56">
        <f>($AS389-$AS390)*100</f>
        <v/>
      </c>
      <c r="CM389" s="56">
        <f>($AT389-$AT390)*100</f>
        <v/>
      </c>
      <c r="CN389" s="56">
        <f>($AU389-$AU390)*100</f>
        <v/>
      </c>
      <c r="CO389" s="56">
        <f>($AV389-$AV390)*100</f>
        <v/>
      </c>
      <c r="CP389" s="56">
        <f>($AW389-$AW390)*100</f>
        <v/>
      </c>
      <c r="CQ389" s="56">
        <f>($AX389-$AX390)*100</f>
        <v/>
      </c>
      <c r="CR389" s="56">
        <f>($AY389-$AY390)*100</f>
        <v/>
      </c>
      <c r="CS389" s="57">
        <f>IFERROR($L390/$L389-1,"")</f>
        <v/>
      </c>
      <c r="CT389" s="57">
        <f>IFERROR($M390/$M389-1,"")</f>
        <v/>
      </c>
      <c r="CU389" s="57">
        <f>IFERROR($N390/$N389-1,"")</f>
        <v/>
      </c>
      <c r="CV389" s="57">
        <f>IFERROR($O390/$O389-1,"")</f>
        <v/>
      </c>
      <c r="CW389" s="57">
        <f>IFERROR($P390/$P389-1,"")</f>
        <v/>
      </c>
      <c r="CX389" s="57">
        <f>IFERROR($Q390/$Q389-1,"")</f>
        <v/>
      </c>
      <c r="CY389" s="57">
        <f>IFERROR($R390/$R389-1,"")</f>
        <v/>
      </c>
      <c r="CZ389" s="57">
        <f>IFERROR($S390/$S389-1,"")</f>
        <v/>
      </c>
      <c r="DA389" s="57">
        <f>IFERROR($T390/$T389-1,"")</f>
        <v/>
      </c>
      <c r="DB389" s="57">
        <f>IFERROR($U390/$U389-1,"")</f>
        <v/>
      </c>
      <c r="DC389" s="57">
        <f>IFERROR($V390/$V389-1,"")</f>
        <v/>
      </c>
      <c r="DD389" s="57">
        <f>IFERROR($W390/$W389-1,"")</f>
        <v/>
      </c>
      <c r="DE389" s="57">
        <f>IFERROR($X390/$X389-1,"")</f>
        <v/>
      </c>
      <c r="DF389" s="57">
        <f>IFERROR($Y390/$Y389-1,"")</f>
        <v/>
      </c>
      <c r="DG389" s="57">
        <f>IFERROR($Z390/$Z389-1,"")</f>
        <v/>
      </c>
      <c r="DH389" s="57">
        <f>IFERROR($AA390/$AA389-1,"")</f>
        <v/>
      </c>
      <c r="DI389" s="57">
        <f>IFERROR($AB390/$AB389-1,"")</f>
        <v/>
      </c>
      <c r="DJ389" s="57">
        <f>IFERROR($AC390/$AC389-1,"")</f>
        <v/>
      </c>
      <c r="DK389" s="57">
        <f>IFERROR($AD390/$AD389-1,"")</f>
        <v/>
      </c>
      <c r="DL389" s="57">
        <f>IFERROR($AE390/$AE389-1,"")</f>
        <v/>
      </c>
      <c r="DM389" s="56">
        <f>$AZ389-$AZ390</f>
        <v/>
      </c>
      <c r="DN389" s="56">
        <f>$BA389-$BA390</f>
        <v/>
      </c>
      <c r="DO389" s="56">
        <f>$BB389-$BB390</f>
        <v/>
      </c>
      <c r="DP389" s="56">
        <f>$BC389-$BC390</f>
        <v/>
      </c>
      <c r="DQ389" s="56">
        <f>$BD389-$BD390</f>
        <v/>
      </c>
      <c r="DR389" s="56">
        <f>$BE389-$BE390</f>
        <v/>
      </c>
      <c r="DS389" s="56">
        <f>$BF389-$BF390</f>
        <v/>
      </c>
      <c r="DT389" s="56">
        <f>$BG389-$BG390</f>
        <v/>
      </c>
      <c r="DU389" s="56">
        <f>$BH389-$BH390</f>
        <v/>
      </c>
      <c r="DV389" s="56">
        <f>$BI389-$BI390</f>
        <v/>
      </c>
      <c r="DW389" s="56">
        <f>$BJ389-$BJ390</f>
        <v/>
      </c>
      <c r="DX389" s="56">
        <f>$BK389-$BK390</f>
        <v/>
      </c>
      <c r="DY389" s="56">
        <f>$BL389-$BL390</f>
        <v/>
      </c>
      <c r="DZ389" s="56">
        <f>$BM389-$BM390</f>
        <v/>
      </c>
      <c r="EA389" s="56">
        <f>$BN389-$BN390</f>
        <v/>
      </c>
      <c r="EB389" s="56">
        <f>$BO389-$BO390</f>
        <v/>
      </c>
      <c r="EC389" s="56">
        <f>$BP389-$BP390</f>
        <v/>
      </c>
      <c r="ED389" s="56">
        <f>$BQ389-$BQ390</f>
        <v/>
      </c>
      <c r="EE389" s="56">
        <f>$BR389-$BR390</f>
        <v/>
      </c>
      <c r="EF389" s="56">
        <f>$BS389-$BS390</f>
        <v/>
      </c>
      <c r="EG389" s="56">
        <f>$BT389-$BT390</f>
        <v/>
      </c>
      <c r="EH389" s="56">
        <f>$BU389-$BU390</f>
        <v/>
      </c>
    </row>
    <row r="390">
      <c r="BV390" s="56">
        <f>($D390-$D391)*100</f>
        <v/>
      </c>
      <c r="BW390" s="56">
        <f>($C390-$C391)*100</f>
        <v/>
      </c>
      <c r="BX390" s="57">
        <f>IFERROR($I390/$I391-1,"")</f>
        <v/>
      </c>
      <c r="BY390" s="56">
        <f>($AF390-$AF391)*100</f>
        <v/>
      </c>
      <c r="BZ390" s="56">
        <f>($AG390-$AG391)*100</f>
        <v/>
      </c>
      <c r="CA390" s="56">
        <f>($AH390-$AH391)*100</f>
        <v/>
      </c>
      <c r="CB390" s="56">
        <f>($AI390-$AI391)*100</f>
        <v/>
      </c>
      <c r="CC390" s="56">
        <f>($AJ390-$AJ391)*100</f>
        <v/>
      </c>
      <c r="CD390" s="56">
        <f>($AK390-$AK391)*100</f>
        <v/>
      </c>
      <c r="CE390" s="56">
        <f>($AL390-$AL391)*100</f>
        <v/>
      </c>
      <c r="CF390" s="56">
        <f>($AM390-$AM391)*100</f>
        <v/>
      </c>
      <c r="CG390" s="56">
        <f>($AN390-$AN391)*100</f>
        <v/>
      </c>
      <c r="CH390" s="56">
        <f>($AO390-$AO391)*100</f>
        <v/>
      </c>
      <c r="CI390" s="56">
        <f>($AP390-$AP391)*100</f>
        <v/>
      </c>
      <c r="CJ390" s="56">
        <f>($AQ390-$AQ391)*100</f>
        <v/>
      </c>
      <c r="CK390" s="56">
        <f>($AR390-$AR391)*100</f>
        <v/>
      </c>
      <c r="CL390" s="56">
        <f>($AS390-$AS391)*100</f>
        <v/>
      </c>
      <c r="CM390" s="56">
        <f>($AT390-$AT391)*100</f>
        <v/>
      </c>
      <c r="CN390" s="56">
        <f>($AU390-$AU391)*100</f>
        <v/>
      </c>
      <c r="CO390" s="56">
        <f>($AV390-$AV391)*100</f>
        <v/>
      </c>
      <c r="CP390" s="56">
        <f>($AW390-$AW391)*100</f>
        <v/>
      </c>
      <c r="CQ390" s="56">
        <f>($AX390-$AX391)*100</f>
        <v/>
      </c>
      <c r="CR390" s="56">
        <f>($AY390-$AY391)*100</f>
        <v/>
      </c>
      <c r="CS390" s="57">
        <f>IFERROR($L391/$L390-1,"")</f>
        <v/>
      </c>
      <c r="CT390" s="57">
        <f>IFERROR($M391/$M390-1,"")</f>
        <v/>
      </c>
      <c r="CU390" s="57">
        <f>IFERROR($N391/$N390-1,"")</f>
        <v/>
      </c>
      <c r="CV390" s="57">
        <f>IFERROR($O391/$O390-1,"")</f>
        <v/>
      </c>
      <c r="CW390" s="57">
        <f>IFERROR($P391/$P390-1,"")</f>
        <v/>
      </c>
      <c r="CX390" s="57">
        <f>IFERROR($Q391/$Q390-1,"")</f>
        <v/>
      </c>
      <c r="CY390" s="57">
        <f>IFERROR($R391/$R390-1,"")</f>
        <v/>
      </c>
      <c r="CZ390" s="57">
        <f>IFERROR($S391/$S390-1,"")</f>
        <v/>
      </c>
      <c r="DA390" s="57">
        <f>IFERROR($T391/$T390-1,"")</f>
        <v/>
      </c>
      <c r="DB390" s="57">
        <f>IFERROR($U391/$U390-1,"")</f>
        <v/>
      </c>
      <c r="DC390" s="57">
        <f>IFERROR($V391/$V390-1,"")</f>
        <v/>
      </c>
      <c r="DD390" s="57">
        <f>IFERROR($W391/$W390-1,"")</f>
        <v/>
      </c>
      <c r="DE390" s="57">
        <f>IFERROR($X391/$X390-1,"")</f>
        <v/>
      </c>
      <c r="DF390" s="57">
        <f>IFERROR($Y391/$Y390-1,"")</f>
        <v/>
      </c>
      <c r="DG390" s="57">
        <f>IFERROR($Z391/$Z390-1,"")</f>
        <v/>
      </c>
      <c r="DH390" s="57">
        <f>IFERROR($AA391/$AA390-1,"")</f>
        <v/>
      </c>
      <c r="DI390" s="57">
        <f>IFERROR($AB391/$AB390-1,"")</f>
        <v/>
      </c>
      <c r="DJ390" s="57">
        <f>IFERROR($AC391/$AC390-1,"")</f>
        <v/>
      </c>
      <c r="DK390" s="57">
        <f>IFERROR($AD391/$AD390-1,"")</f>
        <v/>
      </c>
      <c r="DL390" s="57">
        <f>IFERROR($AE391/$AE390-1,"")</f>
        <v/>
      </c>
      <c r="DM390" s="56">
        <f>$AZ390-$AZ391</f>
        <v/>
      </c>
      <c r="DN390" s="56">
        <f>$BA390-$BA391</f>
        <v/>
      </c>
      <c r="DO390" s="56">
        <f>$BB390-$BB391</f>
        <v/>
      </c>
      <c r="DP390" s="56">
        <f>$BC390-$BC391</f>
        <v/>
      </c>
      <c r="DQ390" s="56">
        <f>$BD390-$BD391</f>
        <v/>
      </c>
      <c r="DR390" s="56">
        <f>$BE390-$BE391</f>
        <v/>
      </c>
      <c r="DS390" s="56">
        <f>$BF390-$BF391</f>
        <v/>
      </c>
      <c r="DT390" s="56">
        <f>$BG390-$BG391</f>
        <v/>
      </c>
      <c r="DU390" s="56">
        <f>$BH390-$BH391</f>
        <v/>
      </c>
      <c r="DV390" s="56">
        <f>$BI390-$BI391</f>
        <v/>
      </c>
      <c r="DW390" s="56">
        <f>$BJ390-$BJ391</f>
        <v/>
      </c>
      <c r="DX390" s="56">
        <f>$BK390-$BK391</f>
        <v/>
      </c>
      <c r="DY390" s="56">
        <f>$BL390-$BL391</f>
        <v/>
      </c>
      <c r="DZ390" s="56">
        <f>$BM390-$BM391</f>
        <v/>
      </c>
      <c r="EA390" s="56">
        <f>$BN390-$BN391</f>
        <v/>
      </c>
      <c r="EB390" s="56">
        <f>$BO390-$BO391</f>
        <v/>
      </c>
      <c r="EC390" s="56">
        <f>$BP390-$BP391</f>
        <v/>
      </c>
      <c r="ED390" s="56">
        <f>$BQ390-$BQ391</f>
        <v/>
      </c>
      <c r="EE390" s="56">
        <f>$BR390-$BR391</f>
        <v/>
      </c>
      <c r="EF390" s="56">
        <f>$BS390-$BS391</f>
        <v/>
      </c>
      <c r="EG390" s="56">
        <f>$BT390-$BT391</f>
        <v/>
      </c>
      <c r="EH390" s="56">
        <f>$BU390-$BU391</f>
        <v/>
      </c>
    </row>
    <row r="391">
      <c r="BV391" s="56">
        <f>($D391-$D392)*100</f>
        <v/>
      </c>
      <c r="BW391" s="56">
        <f>($C391-$C392)*100</f>
        <v/>
      </c>
      <c r="BX391" s="57">
        <f>IFERROR($I391/$I392-1,"")</f>
        <v/>
      </c>
      <c r="BY391" s="56">
        <f>($AF391-$AF392)*100</f>
        <v/>
      </c>
      <c r="BZ391" s="56">
        <f>($AG391-$AG392)*100</f>
        <v/>
      </c>
      <c r="CA391" s="56">
        <f>($AH391-$AH392)*100</f>
        <v/>
      </c>
      <c r="CB391" s="56">
        <f>($AI391-$AI392)*100</f>
        <v/>
      </c>
      <c r="CC391" s="56">
        <f>($AJ391-$AJ392)*100</f>
        <v/>
      </c>
      <c r="CD391" s="56">
        <f>($AK391-$AK392)*100</f>
        <v/>
      </c>
      <c r="CE391" s="56">
        <f>($AL391-$AL392)*100</f>
        <v/>
      </c>
      <c r="CF391" s="56">
        <f>($AM391-$AM392)*100</f>
        <v/>
      </c>
      <c r="CG391" s="56">
        <f>($AN391-$AN392)*100</f>
        <v/>
      </c>
      <c r="CH391" s="56">
        <f>($AO391-$AO392)*100</f>
        <v/>
      </c>
      <c r="CI391" s="56">
        <f>($AP391-$AP392)*100</f>
        <v/>
      </c>
      <c r="CJ391" s="56">
        <f>($AQ391-$AQ392)*100</f>
        <v/>
      </c>
      <c r="CK391" s="56">
        <f>($AR391-$AR392)*100</f>
        <v/>
      </c>
      <c r="CL391" s="56">
        <f>($AS391-$AS392)*100</f>
        <v/>
      </c>
      <c r="CM391" s="56">
        <f>($AT391-$AT392)*100</f>
        <v/>
      </c>
      <c r="CN391" s="56">
        <f>($AU391-$AU392)*100</f>
        <v/>
      </c>
      <c r="CO391" s="56">
        <f>($AV391-$AV392)*100</f>
        <v/>
      </c>
      <c r="CP391" s="56">
        <f>($AW391-$AW392)*100</f>
        <v/>
      </c>
      <c r="CQ391" s="56">
        <f>($AX391-$AX392)*100</f>
        <v/>
      </c>
      <c r="CR391" s="56">
        <f>($AY391-$AY392)*100</f>
        <v/>
      </c>
      <c r="CS391" s="57">
        <f>IFERROR($L392/$L391-1,"")</f>
        <v/>
      </c>
      <c r="CT391" s="57">
        <f>IFERROR($M392/$M391-1,"")</f>
        <v/>
      </c>
      <c r="CU391" s="57">
        <f>IFERROR($N392/$N391-1,"")</f>
        <v/>
      </c>
      <c r="CV391" s="57">
        <f>IFERROR($O392/$O391-1,"")</f>
        <v/>
      </c>
      <c r="CW391" s="57">
        <f>IFERROR($P392/$P391-1,"")</f>
        <v/>
      </c>
      <c r="CX391" s="57">
        <f>IFERROR($Q392/$Q391-1,"")</f>
        <v/>
      </c>
      <c r="CY391" s="57">
        <f>IFERROR($R392/$R391-1,"")</f>
        <v/>
      </c>
      <c r="CZ391" s="57">
        <f>IFERROR($S392/$S391-1,"")</f>
        <v/>
      </c>
      <c r="DA391" s="57">
        <f>IFERROR($T392/$T391-1,"")</f>
        <v/>
      </c>
      <c r="DB391" s="57">
        <f>IFERROR($U392/$U391-1,"")</f>
        <v/>
      </c>
      <c r="DC391" s="57">
        <f>IFERROR($V392/$V391-1,"")</f>
        <v/>
      </c>
      <c r="DD391" s="57">
        <f>IFERROR($W392/$W391-1,"")</f>
        <v/>
      </c>
      <c r="DE391" s="57">
        <f>IFERROR($X392/$X391-1,"")</f>
        <v/>
      </c>
      <c r="DF391" s="57">
        <f>IFERROR($Y392/$Y391-1,"")</f>
        <v/>
      </c>
      <c r="DG391" s="57">
        <f>IFERROR($Z392/$Z391-1,"")</f>
        <v/>
      </c>
      <c r="DH391" s="57">
        <f>IFERROR($AA392/$AA391-1,"")</f>
        <v/>
      </c>
      <c r="DI391" s="57">
        <f>IFERROR($AB392/$AB391-1,"")</f>
        <v/>
      </c>
      <c r="DJ391" s="57">
        <f>IFERROR($AC392/$AC391-1,"")</f>
        <v/>
      </c>
      <c r="DK391" s="57">
        <f>IFERROR($AD392/$AD391-1,"")</f>
        <v/>
      </c>
      <c r="DL391" s="57">
        <f>IFERROR($AE392/$AE391-1,"")</f>
        <v/>
      </c>
      <c r="DM391" s="56">
        <f>$AZ391-$AZ392</f>
        <v/>
      </c>
      <c r="DN391" s="56">
        <f>$BA391-$BA392</f>
        <v/>
      </c>
      <c r="DO391" s="56">
        <f>$BB391-$BB392</f>
        <v/>
      </c>
      <c r="DP391" s="56">
        <f>$BC391-$BC392</f>
        <v/>
      </c>
      <c r="DQ391" s="56">
        <f>$BD391-$BD392</f>
        <v/>
      </c>
      <c r="DR391" s="56">
        <f>$BE391-$BE392</f>
        <v/>
      </c>
      <c r="DS391" s="56">
        <f>$BF391-$BF392</f>
        <v/>
      </c>
      <c r="DT391" s="56">
        <f>$BG391-$BG392</f>
        <v/>
      </c>
      <c r="DU391" s="56">
        <f>$BH391-$BH392</f>
        <v/>
      </c>
      <c r="DV391" s="56">
        <f>$BI391-$BI392</f>
        <v/>
      </c>
      <c r="DW391" s="56">
        <f>$BJ391-$BJ392</f>
        <v/>
      </c>
      <c r="DX391" s="56">
        <f>$BK391-$BK392</f>
        <v/>
      </c>
      <c r="DY391" s="56">
        <f>$BL391-$BL392</f>
        <v/>
      </c>
      <c r="DZ391" s="56">
        <f>$BM391-$BM392</f>
        <v/>
      </c>
      <c r="EA391" s="56">
        <f>$BN391-$BN392</f>
        <v/>
      </c>
      <c r="EB391" s="56">
        <f>$BO391-$BO392</f>
        <v/>
      </c>
      <c r="EC391" s="56">
        <f>$BP391-$BP392</f>
        <v/>
      </c>
      <c r="ED391" s="56">
        <f>$BQ391-$BQ392</f>
        <v/>
      </c>
      <c r="EE391" s="56">
        <f>$BR391-$BR392</f>
        <v/>
      </c>
      <c r="EF391" s="56">
        <f>$BS391-$BS392</f>
        <v/>
      </c>
      <c r="EG391" s="56">
        <f>$BT391-$BT392</f>
        <v/>
      </c>
      <c r="EH391" s="56">
        <f>$BU391-$BU392</f>
        <v/>
      </c>
    </row>
    <row r="392">
      <c r="BV392" s="56">
        <f>($D392-$D393)*100</f>
        <v/>
      </c>
      <c r="BW392" s="56">
        <f>($C392-$C393)*100</f>
        <v/>
      </c>
      <c r="BX392" s="57">
        <f>IFERROR($I392/$I393-1,"")</f>
        <v/>
      </c>
      <c r="BY392" s="56">
        <f>($AF392-$AF393)*100</f>
        <v/>
      </c>
      <c r="BZ392" s="56">
        <f>($AG392-$AG393)*100</f>
        <v/>
      </c>
      <c r="CA392" s="56">
        <f>($AH392-$AH393)*100</f>
        <v/>
      </c>
      <c r="CB392" s="56">
        <f>($AI392-$AI393)*100</f>
        <v/>
      </c>
      <c r="CC392" s="56">
        <f>($AJ392-$AJ393)*100</f>
        <v/>
      </c>
      <c r="CD392" s="56">
        <f>($AK392-$AK393)*100</f>
        <v/>
      </c>
      <c r="CE392" s="56">
        <f>($AL392-$AL393)*100</f>
        <v/>
      </c>
      <c r="CF392" s="56">
        <f>($AM392-$AM393)*100</f>
        <v/>
      </c>
      <c r="CG392" s="56">
        <f>($AN392-$AN393)*100</f>
        <v/>
      </c>
      <c r="CH392" s="56">
        <f>($AO392-$AO393)*100</f>
        <v/>
      </c>
      <c r="CI392" s="56">
        <f>($AP392-$AP393)*100</f>
        <v/>
      </c>
      <c r="CJ392" s="56">
        <f>($AQ392-$AQ393)*100</f>
        <v/>
      </c>
      <c r="CK392" s="56">
        <f>($AR392-$AR393)*100</f>
        <v/>
      </c>
      <c r="CL392" s="56">
        <f>($AS392-$AS393)*100</f>
        <v/>
      </c>
      <c r="CM392" s="56">
        <f>($AT392-$AT393)*100</f>
        <v/>
      </c>
      <c r="CN392" s="56">
        <f>($AU392-$AU393)*100</f>
        <v/>
      </c>
      <c r="CO392" s="56">
        <f>($AV392-$AV393)*100</f>
        <v/>
      </c>
      <c r="CP392" s="56">
        <f>($AW392-$AW393)*100</f>
        <v/>
      </c>
      <c r="CQ392" s="56">
        <f>($AX392-$AX393)*100</f>
        <v/>
      </c>
      <c r="CR392" s="56">
        <f>($AY392-$AY393)*100</f>
        <v/>
      </c>
      <c r="CS392" s="57">
        <f>IFERROR($L393/$L392-1,"")</f>
        <v/>
      </c>
      <c r="CT392" s="57">
        <f>IFERROR($M393/$M392-1,"")</f>
        <v/>
      </c>
      <c r="CU392" s="57">
        <f>IFERROR($N393/$N392-1,"")</f>
        <v/>
      </c>
      <c r="CV392" s="57">
        <f>IFERROR($O393/$O392-1,"")</f>
        <v/>
      </c>
      <c r="CW392" s="57">
        <f>IFERROR($P393/$P392-1,"")</f>
        <v/>
      </c>
      <c r="CX392" s="57">
        <f>IFERROR($Q393/$Q392-1,"")</f>
        <v/>
      </c>
      <c r="CY392" s="57">
        <f>IFERROR($R393/$R392-1,"")</f>
        <v/>
      </c>
      <c r="CZ392" s="57">
        <f>IFERROR($S393/$S392-1,"")</f>
        <v/>
      </c>
      <c r="DA392" s="57">
        <f>IFERROR($T393/$T392-1,"")</f>
        <v/>
      </c>
      <c r="DB392" s="57">
        <f>IFERROR($U393/$U392-1,"")</f>
        <v/>
      </c>
      <c r="DC392" s="57">
        <f>IFERROR($V393/$V392-1,"")</f>
        <v/>
      </c>
      <c r="DD392" s="57">
        <f>IFERROR($W393/$W392-1,"")</f>
        <v/>
      </c>
      <c r="DE392" s="57">
        <f>IFERROR($X393/$X392-1,"")</f>
        <v/>
      </c>
      <c r="DF392" s="57">
        <f>IFERROR($Y393/$Y392-1,"")</f>
        <v/>
      </c>
      <c r="DG392" s="57">
        <f>IFERROR($Z393/$Z392-1,"")</f>
        <v/>
      </c>
      <c r="DH392" s="57">
        <f>IFERROR($AA393/$AA392-1,"")</f>
        <v/>
      </c>
      <c r="DI392" s="57">
        <f>IFERROR($AB393/$AB392-1,"")</f>
        <v/>
      </c>
      <c r="DJ392" s="57">
        <f>IFERROR($AC393/$AC392-1,"")</f>
        <v/>
      </c>
      <c r="DK392" s="57">
        <f>IFERROR($AD393/$AD392-1,"")</f>
        <v/>
      </c>
      <c r="DL392" s="57">
        <f>IFERROR($AE393/$AE392-1,"")</f>
        <v/>
      </c>
      <c r="DM392" s="56">
        <f>$AZ392-$AZ393</f>
        <v/>
      </c>
      <c r="DN392" s="56">
        <f>$BA392-$BA393</f>
        <v/>
      </c>
      <c r="DO392" s="56">
        <f>$BB392-$BB393</f>
        <v/>
      </c>
      <c r="DP392" s="56">
        <f>$BC392-$BC393</f>
        <v/>
      </c>
      <c r="DQ392" s="56">
        <f>$BD392-$BD393</f>
        <v/>
      </c>
      <c r="DR392" s="56">
        <f>$BE392-$BE393</f>
        <v/>
      </c>
      <c r="DS392" s="56">
        <f>$BF392-$BF393</f>
        <v/>
      </c>
      <c r="DT392" s="56">
        <f>$BG392-$BG393</f>
        <v/>
      </c>
      <c r="DU392" s="56">
        <f>$BH392-$BH393</f>
        <v/>
      </c>
      <c r="DV392" s="56">
        <f>$BI392-$BI393</f>
        <v/>
      </c>
      <c r="DW392" s="56">
        <f>$BJ392-$BJ393</f>
        <v/>
      </c>
      <c r="DX392" s="56">
        <f>$BK392-$BK393</f>
        <v/>
      </c>
      <c r="DY392" s="56">
        <f>$BL392-$BL393</f>
        <v/>
      </c>
      <c r="DZ392" s="56">
        <f>$BM392-$BM393</f>
        <v/>
      </c>
      <c r="EA392" s="56">
        <f>$BN392-$BN393</f>
        <v/>
      </c>
      <c r="EB392" s="56">
        <f>$BO392-$BO393</f>
        <v/>
      </c>
      <c r="EC392" s="56">
        <f>$BP392-$BP393</f>
        <v/>
      </c>
      <c r="ED392" s="56">
        <f>$BQ392-$BQ393</f>
        <v/>
      </c>
      <c r="EE392" s="56">
        <f>$BR392-$BR393</f>
        <v/>
      </c>
      <c r="EF392" s="56">
        <f>$BS392-$BS393</f>
        <v/>
      </c>
      <c r="EG392" s="56">
        <f>$BT392-$BT393</f>
        <v/>
      </c>
      <c r="EH392" s="56">
        <f>$BU392-$BU393</f>
        <v/>
      </c>
    </row>
    <row r="393">
      <c r="BV393" s="56">
        <f>($D393-$D394)*100</f>
        <v/>
      </c>
      <c r="BW393" s="56">
        <f>($C393-$C394)*100</f>
        <v/>
      </c>
      <c r="BX393" s="57">
        <f>IFERROR($I393/$I394-1,"")</f>
        <v/>
      </c>
      <c r="BY393" s="56">
        <f>($AF393-$AF394)*100</f>
        <v/>
      </c>
      <c r="BZ393" s="56">
        <f>($AG393-$AG394)*100</f>
        <v/>
      </c>
      <c r="CA393" s="56">
        <f>($AH393-$AH394)*100</f>
        <v/>
      </c>
      <c r="CB393" s="56">
        <f>($AI393-$AI394)*100</f>
        <v/>
      </c>
      <c r="CC393" s="56">
        <f>($AJ393-$AJ394)*100</f>
        <v/>
      </c>
      <c r="CD393" s="56">
        <f>($AK393-$AK394)*100</f>
        <v/>
      </c>
      <c r="CE393" s="56">
        <f>($AL393-$AL394)*100</f>
        <v/>
      </c>
      <c r="CF393" s="56">
        <f>($AM393-$AM394)*100</f>
        <v/>
      </c>
      <c r="CG393" s="56">
        <f>($AN393-$AN394)*100</f>
        <v/>
      </c>
      <c r="CH393" s="56">
        <f>($AO393-$AO394)*100</f>
        <v/>
      </c>
      <c r="CI393" s="56">
        <f>($AP393-$AP394)*100</f>
        <v/>
      </c>
      <c r="CJ393" s="56">
        <f>($AQ393-$AQ394)*100</f>
        <v/>
      </c>
      <c r="CK393" s="56">
        <f>($AR393-$AR394)*100</f>
        <v/>
      </c>
      <c r="CL393" s="56">
        <f>($AS393-$AS394)*100</f>
        <v/>
      </c>
      <c r="CM393" s="56">
        <f>($AT393-$AT394)*100</f>
        <v/>
      </c>
      <c r="CN393" s="56">
        <f>($AU393-$AU394)*100</f>
        <v/>
      </c>
      <c r="CO393" s="56">
        <f>($AV393-$AV394)*100</f>
        <v/>
      </c>
      <c r="CP393" s="56">
        <f>($AW393-$AW394)*100</f>
        <v/>
      </c>
      <c r="CQ393" s="56">
        <f>($AX393-$AX394)*100</f>
        <v/>
      </c>
      <c r="CR393" s="56">
        <f>($AY393-$AY394)*100</f>
        <v/>
      </c>
      <c r="CS393" s="57">
        <f>IFERROR($L394/$L393-1,"")</f>
        <v/>
      </c>
      <c r="CT393" s="57">
        <f>IFERROR($M394/$M393-1,"")</f>
        <v/>
      </c>
      <c r="CU393" s="57">
        <f>IFERROR($N394/$N393-1,"")</f>
        <v/>
      </c>
      <c r="CV393" s="57">
        <f>IFERROR($O394/$O393-1,"")</f>
        <v/>
      </c>
      <c r="CW393" s="57">
        <f>IFERROR($P394/$P393-1,"")</f>
        <v/>
      </c>
      <c r="CX393" s="57">
        <f>IFERROR($Q394/$Q393-1,"")</f>
        <v/>
      </c>
      <c r="CY393" s="57">
        <f>IFERROR($R394/$R393-1,"")</f>
        <v/>
      </c>
      <c r="CZ393" s="57">
        <f>IFERROR($S394/$S393-1,"")</f>
        <v/>
      </c>
      <c r="DA393" s="57">
        <f>IFERROR($T394/$T393-1,"")</f>
        <v/>
      </c>
      <c r="DB393" s="57">
        <f>IFERROR($U394/$U393-1,"")</f>
        <v/>
      </c>
      <c r="DC393" s="57">
        <f>IFERROR($V394/$V393-1,"")</f>
        <v/>
      </c>
      <c r="DD393" s="57">
        <f>IFERROR($W394/$W393-1,"")</f>
        <v/>
      </c>
      <c r="DE393" s="57">
        <f>IFERROR($X394/$X393-1,"")</f>
        <v/>
      </c>
      <c r="DF393" s="57">
        <f>IFERROR($Y394/$Y393-1,"")</f>
        <v/>
      </c>
      <c r="DG393" s="57">
        <f>IFERROR($Z394/$Z393-1,"")</f>
        <v/>
      </c>
      <c r="DH393" s="57">
        <f>IFERROR($AA394/$AA393-1,"")</f>
        <v/>
      </c>
      <c r="DI393" s="57">
        <f>IFERROR($AB394/$AB393-1,"")</f>
        <v/>
      </c>
      <c r="DJ393" s="57">
        <f>IFERROR($AC394/$AC393-1,"")</f>
        <v/>
      </c>
      <c r="DK393" s="57">
        <f>IFERROR($AD394/$AD393-1,"")</f>
        <v/>
      </c>
      <c r="DL393" s="57">
        <f>IFERROR($AE394/$AE393-1,"")</f>
        <v/>
      </c>
      <c r="DM393" s="56">
        <f>$AZ393-$AZ394</f>
        <v/>
      </c>
      <c r="DN393" s="56">
        <f>$BA393-$BA394</f>
        <v/>
      </c>
      <c r="DO393" s="56">
        <f>$BB393-$BB394</f>
        <v/>
      </c>
      <c r="DP393" s="56">
        <f>$BC393-$BC394</f>
        <v/>
      </c>
      <c r="DQ393" s="56">
        <f>$BD393-$BD394</f>
        <v/>
      </c>
      <c r="DR393" s="56">
        <f>$BE393-$BE394</f>
        <v/>
      </c>
      <c r="DS393" s="56">
        <f>$BF393-$BF394</f>
        <v/>
      </c>
      <c r="DT393" s="56">
        <f>$BG393-$BG394</f>
        <v/>
      </c>
      <c r="DU393" s="56">
        <f>$BH393-$BH394</f>
        <v/>
      </c>
      <c r="DV393" s="56">
        <f>$BI393-$BI394</f>
        <v/>
      </c>
      <c r="DW393" s="56">
        <f>$BJ393-$BJ394</f>
        <v/>
      </c>
      <c r="DX393" s="56">
        <f>$BK393-$BK394</f>
        <v/>
      </c>
      <c r="DY393" s="56">
        <f>$BL393-$BL394</f>
        <v/>
      </c>
      <c r="DZ393" s="56">
        <f>$BM393-$BM394</f>
        <v/>
      </c>
      <c r="EA393" s="56">
        <f>$BN393-$BN394</f>
        <v/>
      </c>
      <c r="EB393" s="56">
        <f>$BO393-$BO394</f>
        <v/>
      </c>
      <c r="EC393" s="56">
        <f>$BP393-$BP394</f>
        <v/>
      </c>
      <c r="ED393" s="56">
        <f>$BQ393-$BQ394</f>
        <v/>
      </c>
      <c r="EE393" s="56">
        <f>$BR393-$BR394</f>
        <v/>
      </c>
      <c r="EF393" s="56">
        <f>$BS393-$BS394</f>
        <v/>
      </c>
      <c r="EG393" s="56">
        <f>$BT393-$BT394</f>
        <v/>
      </c>
      <c r="EH393" s="56">
        <f>$BU393-$BU394</f>
        <v/>
      </c>
    </row>
    <row r="394">
      <c r="BV394" s="56">
        <f>($D394-$D395)*100</f>
        <v/>
      </c>
      <c r="BW394" s="56">
        <f>($C394-$C395)*100</f>
        <v/>
      </c>
      <c r="BX394" s="57">
        <f>IFERROR($I394/$I395-1,"")</f>
        <v/>
      </c>
      <c r="BY394" s="56">
        <f>($AF394-$AF395)*100</f>
        <v/>
      </c>
      <c r="BZ394" s="56">
        <f>($AG394-$AG395)*100</f>
        <v/>
      </c>
      <c r="CA394" s="56">
        <f>($AH394-$AH395)*100</f>
        <v/>
      </c>
      <c r="CB394" s="56">
        <f>($AI394-$AI395)*100</f>
        <v/>
      </c>
      <c r="CC394" s="56">
        <f>($AJ394-$AJ395)*100</f>
        <v/>
      </c>
      <c r="CD394" s="56">
        <f>($AK394-$AK395)*100</f>
        <v/>
      </c>
      <c r="CE394" s="56">
        <f>($AL394-$AL395)*100</f>
        <v/>
      </c>
      <c r="CF394" s="56">
        <f>($AM394-$AM395)*100</f>
        <v/>
      </c>
      <c r="CG394" s="56">
        <f>($AN394-$AN395)*100</f>
        <v/>
      </c>
      <c r="CH394" s="56">
        <f>($AO394-$AO395)*100</f>
        <v/>
      </c>
      <c r="CI394" s="56">
        <f>($AP394-$AP395)*100</f>
        <v/>
      </c>
      <c r="CJ394" s="56">
        <f>($AQ394-$AQ395)*100</f>
        <v/>
      </c>
      <c r="CK394" s="56">
        <f>($AR394-$AR395)*100</f>
        <v/>
      </c>
      <c r="CL394" s="56">
        <f>($AS394-$AS395)*100</f>
        <v/>
      </c>
      <c r="CM394" s="56">
        <f>($AT394-$AT395)*100</f>
        <v/>
      </c>
      <c r="CN394" s="56">
        <f>($AU394-$AU395)*100</f>
        <v/>
      </c>
      <c r="CO394" s="56">
        <f>($AV394-$AV395)*100</f>
        <v/>
      </c>
      <c r="CP394" s="56">
        <f>($AW394-$AW395)*100</f>
        <v/>
      </c>
      <c r="CQ394" s="56">
        <f>($AX394-$AX395)*100</f>
        <v/>
      </c>
      <c r="CR394" s="56">
        <f>($AY394-$AY395)*100</f>
        <v/>
      </c>
      <c r="CS394" s="57">
        <f>IFERROR($L395/$L394-1,"")</f>
        <v/>
      </c>
      <c r="CT394" s="57">
        <f>IFERROR($M395/$M394-1,"")</f>
        <v/>
      </c>
      <c r="CU394" s="57">
        <f>IFERROR($N395/$N394-1,"")</f>
        <v/>
      </c>
      <c r="CV394" s="57">
        <f>IFERROR($O395/$O394-1,"")</f>
        <v/>
      </c>
      <c r="CW394" s="57">
        <f>IFERROR($P395/$P394-1,"")</f>
        <v/>
      </c>
      <c r="CX394" s="57">
        <f>IFERROR($Q395/$Q394-1,"")</f>
        <v/>
      </c>
      <c r="CY394" s="57">
        <f>IFERROR($R395/$R394-1,"")</f>
        <v/>
      </c>
      <c r="CZ394" s="57">
        <f>IFERROR($S395/$S394-1,"")</f>
        <v/>
      </c>
      <c r="DA394" s="57">
        <f>IFERROR($T395/$T394-1,"")</f>
        <v/>
      </c>
      <c r="DB394" s="57">
        <f>IFERROR($U395/$U394-1,"")</f>
        <v/>
      </c>
      <c r="DC394" s="57">
        <f>IFERROR($V395/$V394-1,"")</f>
        <v/>
      </c>
      <c r="DD394" s="57">
        <f>IFERROR($W395/$W394-1,"")</f>
        <v/>
      </c>
      <c r="DE394" s="57">
        <f>IFERROR($X395/$X394-1,"")</f>
        <v/>
      </c>
      <c r="DF394" s="57">
        <f>IFERROR($Y395/$Y394-1,"")</f>
        <v/>
      </c>
      <c r="DG394" s="57">
        <f>IFERROR($Z395/$Z394-1,"")</f>
        <v/>
      </c>
      <c r="DH394" s="57">
        <f>IFERROR($AA395/$AA394-1,"")</f>
        <v/>
      </c>
      <c r="DI394" s="57">
        <f>IFERROR($AB395/$AB394-1,"")</f>
        <v/>
      </c>
      <c r="DJ394" s="57">
        <f>IFERROR($AC395/$AC394-1,"")</f>
        <v/>
      </c>
      <c r="DK394" s="57">
        <f>IFERROR($AD395/$AD394-1,"")</f>
        <v/>
      </c>
      <c r="DL394" s="57">
        <f>IFERROR($AE395/$AE394-1,"")</f>
        <v/>
      </c>
      <c r="DM394" s="56">
        <f>$AZ394-$AZ395</f>
        <v/>
      </c>
      <c r="DN394" s="56">
        <f>$BA394-$BA395</f>
        <v/>
      </c>
      <c r="DO394" s="56">
        <f>$BB394-$BB395</f>
        <v/>
      </c>
      <c r="DP394" s="56">
        <f>$BC394-$BC395</f>
        <v/>
      </c>
      <c r="DQ394" s="56">
        <f>$BD394-$BD395</f>
        <v/>
      </c>
      <c r="DR394" s="56">
        <f>$BE394-$BE395</f>
        <v/>
      </c>
      <c r="DS394" s="56">
        <f>$BF394-$BF395</f>
        <v/>
      </c>
      <c r="DT394" s="56">
        <f>$BG394-$BG395</f>
        <v/>
      </c>
      <c r="DU394" s="56">
        <f>$BH394-$BH395</f>
        <v/>
      </c>
      <c r="DV394" s="56">
        <f>$BI394-$BI395</f>
        <v/>
      </c>
      <c r="DW394" s="56">
        <f>$BJ394-$BJ395</f>
        <v/>
      </c>
      <c r="DX394" s="56">
        <f>$BK394-$BK395</f>
        <v/>
      </c>
      <c r="DY394" s="56">
        <f>$BL394-$BL395</f>
        <v/>
      </c>
      <c r="DZ394" s="56">
        <f>$BM394-$BM395</f>
        <v/>
      </c>
      <c r="EA394" s="56">
        <f>$BN394-$BN395</f>
        <v/>
      </c>
      <c r="EB394" s="56">
        <f>$BO394-$BO395</f>
        <v/>
      </c>
      <c r="EC394" s="56">
        <f>$BP394-$BP395</f>
        <v/>
      </c>
      <c r="ED394" s="56">
        <f>$BQ394-$BQ395</f>
        <v/>
      </c>
      <c r="EE394" s="56">
        <f>$BR394-$BR395</f>
        <v/>
      </c>
      <c r="EF394" s="56">
        <f>$BS394-$BS395</f>
        <v/>
      </c>
      <c r="EG394" s="56">
        <f>$BT394-$BT395</f>
        <v/>
      </c>
      <c r="EH394" s="56">
        <f>$BU394-$BU395</f>
        <v/>
      </c>
    </row>
    <row r="395">
      <c r="BV395" s="56">
        <f>($D395-$D396)*100</f>
        <v/>
      </c>
      <c r="BW395" s="56">
        <f>($C395-$C396)*100</f>
        <v/>
      </c>
      <c r="BX395" s="57">
        <f>IFERROR($I395/$I396-1,"")</f>
        <v/>
      </c>
      <c r="BY395" s="56">
        <f>($AF395-$AF396)*100</f>
        <v/>
      </c>
      <c r="BZ395" s="56">
        <f>($AG395-$AG396)*100</f>
        <v/>
      </c>
      <c r="CA395" s="56">
        <f>($AH395-$AH396)*100</f>
        <v/>
      </c>
      <c r="CB395" s="56">
        <f>($AI395-$AI396)*100</f>
        <v/>
      </c>
      <c r="CC395" s="56">
        <f>($AJ395-$AJ396)*100</f>
        <v/>
      </c>
      <c r="CD395" s="56">
        <f>($AK395-$AK396)*100</f>
        <v/>
      </c>
      <c r="CE395" s="56">
        <f>($AL395-$AL396)*100</f>
        <v/>
      </c>
      <c r="CF395" s="56">
        <f>($AM395-$AM396)*100</f>
        <v/>
      </c>
      <c r="CG395" s="56">
        <f>($AN395-$AN396)*100</f>
        <v/>
      </c>
      <c r="CH395" s="56">
        <f>($AO395-$AO396)*100</f>
        <v/>
      </c>
      <c r="CI395" s="56">
        <f>($AP395-$AP396)*100</f>
        <v/>
      </c>
      <c r="CJ395" s="56">
        <f>($AQ395-$AQ396)*100</f>
        <v/>
      </c>
      <c r="CK395" s="56">
        <f>($AR395-$AR396)*100</f>
        <v/>
      </c>
      <c r="CL395" s="56">
        <f>($AS395-$AS396)*100</f>
        <v/>
      </c>
      <c r="CM395" s="56">
        <f>($AT395-$AT396)*100</f>
        <v/>
      </c>
      <c r="CN395" s="56">
        <f>($AU395-$AU396)*100</f>
        <v/>
      </c>
      <c r="CO395" s="56">
        <f>($AV395-$AV396)*100</f>
        <v/>
      </c>
      <c r="CP395" s="56">
        <f>($AW395-$AW396)*100</f>
        <v/>
      </c>
      <c r="CQ395" s="56">
        <f>($AX395-$AX396)*100</f>
        <v/>
      </c>
      <c r="CR395" s="56">
        <f>($AY395-$AY396)*100</f>
        <v/>
      </c>
      <c r="CS395" s="57">
        <f>IFERROR($L396/$L395-1,"")</f>
        <v/>
      </c>
      <c r="CT395" s="57">
        <f>IFERROR($M396/$M395-1,"")</f>
        <v/>
      </c>
      <c r="CU395" s="57">
        <f>IFERROR($N396/$N395-1,"")</f>
        <v/>
      </c>
      <c r="CV395" s="57">
        <f>IFERROR($O396/$O395-1,"")</f>
        <v/>
      </c>
      <c r="CW395" s="57">
        <f>IFERROR($P396/$P395-1,"")</f>
        <v/>
      </c>
      <c r="CX395" s="57">
        <f>IFERROR($Q396/$Q395-1,"")</f>
        <v/>
      </c>
      <c r="CY395" s="57">
        <f>IFERROR($R396/$R395-1,"")</f>
        <v/>
      </c>
      <c r="CZ395" s="57">
        <f>IFERROR($S396/$S395-1,"")</f>
        <v/>
      </c>
      <c r="DA395" s="57">
        <f>IFERROR($T396/$T395-1,"")</f>
        <v/>
      </c>
      <c r="DB395" s="57">
        <f>IFERROR($U396/$U395-1,"")</f>
        <v/>
      </c>
      <c r="DC395" s="57">
        <f>IFERROR($V396/$V395-1,"")</f>
        <v/>
      </c>
      <c r="DD395" s="57">
        <f>IFERROR($W396/$W395-1,"")</f>
        <v/>
      </c>
      <c r="DE395" s="57">
        <f>IFERROR($X396/$X395-1,"")</f>
        <v/>
      </c>
      <c r="DF395" s="57">
        <f>IFERROR($Y396/$Y395-1,"")</f>
        <v/>
      </c>
      <c r="DG395" s="57">
        <f>IFERROR($Z396/$Z395-1,"")</f>
        <v/>
      </c>
      <c r="DH395" s="57">
        <f>IFERROR($AA396/$AA395-1,"")</f>
        <v/>
      </c>
      <c r="DI395" s="57">
        <f>IFERROR($AB396/$AB395-1,"")</f>
        <v/>
      </c>
      <c r="DJ395" s="57">
        <f>IFERROR($AC396/$AC395-1,"")</f>
        <v/>
      </c>
      <c r="DK395" s="57">
        <f>IFERROR($AD396/$AD395-1,"")</f>
        <v/>
      </c>
      <c r="DL395" s="57">
        <f>IFERROR($AE396/$AE395-1,"")</f>
        <v/>
      </c>
      <c r="DM395" s="56">
        <f>$AZ395-$AZ396</f>
        <v/>
      </c>
      <c r="DN395" s="56">
        <f>$BA395-$BA396</f>
        <v/>
      </c>
      <c r="DO395" s="56">
        <f>$BB395-$BB396</f>
        <v/>
      </c>
      <c r="DP395" s="56">
        <f>$BC395-$BC396</f>
        <v/>
      </c>
      <c r="DQ395" s="56">
        <f>$BD395-$BD396</f>
        <v/>
      </c>
      <c r="DR395" s="56">
        <f>$BE395-$BE396</f>
        <v/>
      </c>
      <c r="DS395" s="56">
        <f>$BF395-$BF396</f>
        <v/>
      </c>
      <c r="DT395" s="56">
        <f>$BG395-$BG396</f>
        <v/>
      </c>
      <c r="DU395" s="56">
        <f>$BH395-$BH396</f>
        <v/>
      </c>
      <c r="DV395" s="56">
        <f>$BI395-$BI396</f>
        <v/>
      </c>
      <c r="DW395" s="56">
        <f>$BJ395-$BJ396</f>
        <v/>
      </c>
      <c r="DX395" s="56">
        <f>$BK395-$BK396</f>
        <v/>
      </c>
      <c r="DY395" s="56">
        <f>$BL395-$BL396</f>
        <v/>
      </c>
      <c r="DZ395" s="56">
        <f>$BM395-$BM396</f>
        <v/>
      </c>
      <c r="EA395" s="56">
        <f>$BN395-$BN396</f>
        <v/>
      </c>
      <c r="EB395" s="56">
        <f>$BO395-$BO396</f>
        <v/>
      </c>
      <c r="EC395" s="56">
        <f>$BP395-$BP396</f>
        <v/>
      </c>
      <c r="ED395" s="56">
        <f>$BQ395-$BQ396</f>
        <v/>
      </c>
      <c r="EE395" s="56">
        <f>$BR395-$BR396</f>
        <v/>
      </c>
      <c r="EF395" s="56">
        <f>$BS395-$BS396</f>
        <v/>
      </c>
      <c r="EG395" s="56">
        <f>$BT395-$BT396</f>
        <v/>
      </c>
      <c r="EH395" s="56">
        <f>$BU395-$BU396</f>
        <v/>
      </c>
    </row>
    <row r="396">
      <c r="BV396" s="56">
        <f>($D396-$D397)*100</f>
        <v/>
      </c>
      <c r="BW396" s="56">
        <f>($C396-$C397)*100</f>
        <v/>
      </c>
      <c r="BX396" s="57">
        <f>IFERROR($I396/$I397-1,"")</f>
        <v/>
      </c>
      <c r="BY396" s="56">
        <f>($AF396-$AF397)*100</f>
        <v/>
      </c>
      <c r="BZ396" s="56">
        <f>($AG396-$AG397)*100</f>
        <v/>
      </c>
      <c r="CA396" s="56">
        <f>($AH396-$AH397)*100</f>
        <v/>
      </c>
      <c r="CB396" s="56">
        <f>($AI396-$AI397)*100</f>
        <v/>
      </c>
      <c r="CC396" s="56">
        <f>($AJ396-$AJ397)*100</f>
        <v/>
      </c>
      <c r="CD396" s="56">
        <f>($AK396-$AK397)*100</f>
        <v/>
      </c>
      <c r="CE396" s="56">
        <f>($AL396-$AL397)*100</f>
        <v/>
      </c>
      <c r="CF396" s="56">
        <f>($AM396-$AM397)*100</f>
        <v/>
      </c>
      <c r="CG396" s="56">
        <f>($AN396-$AN397)*100</f>
        <v/>
      </c>
      <c r="CH396" s="56">
        <f>($AO396-$AO397)*100</f>
        <v/>
      </c>
      <c r="CI396" s="56">
        <f>($AP396-$AP397)*100</f>
        <v/>
      </c>
      <c r="CJ396" s="56">
        <f>($AQ396-$AQ397)*100</f>
        <v/>
      </c>
      <c r="CK396" s="56">
        <f>($AR396-$AR397)*100</f>
        <v/>
      </c>
      <c r="CL396" s="56">
        <f>($AS396-$AS397)*100</f>
        <v/>
      </c>
      <c r="CM396" s="56">
        <f>($AT396-$AT397)*100</f>
        <v/>
      </c>
      <c r="CN396" s="56">
        <f>($AU396-$AU397)*100</f>
        <v/>
      </c>
      <c r="CO396" s="56">
        <f>($AV396-$AV397)*100</f>
        <v/>
      </c>
      <c r="CP396" s="56">
        <f>($AW396-$AW397)*100</f>
        <v/>
      </c>
      <c r="CQ396" s="56">
        <f>($AX396-$AX397)*100</f>
        <v/>
      </c>
      <c r="CR396" s="56">
        <f>($AY396-$AY397)*100</f>
        <v/>
      </c>
      <c r="CS396" s="57">
        <f>IFERROR($L397/$L396-1,"")</f>
        <v/>
      </c>
      <c r="CT396" s="57">
        <f>IFERROR($M397/$M396-1,"")</f>
        <v/>
      </c>
      <c r="CU396" s="57">
        <f>IFERROR($N397/$N396-1,"")</f>
        <v/>
      </c>
      <c r="CV396" s="57">
        <f>IFERROR($O397/$O396-1,"")</f>
        <v/>
      </c>
      <c r="CW396" s="57">
        <f>IFERROR($P397/$P396-1,"")</f>
        <v/>
      </c>
      <c r="CX396" s="57">
        <f>IFERROR($Q397/$Q396-1,"")</f>
        <v/>
      </c>
      <c r="CY396" s="57">
        <f>IFERROR($R397/$R396-1,"")</f>
        <v/>
      </c>
      <c r="CZ396" s="57">
        <f>IFERROR($S397/$S396-1,"")</f>
        <v/>
      </c>
      <c r="DA396" s="57">
        <f>IFERROR($T397/$T396-1,"")</f>
        <v/>
      </c>
      <c r="DB396" s="57">
        <f>IFERROR($U397/$U396-1,"")</f>
        <v/>
      </c>
      <c r="DC396" s="57">
        <f>IFERROR($V397/$V396-1,"")</f>
        <v/>
      </c>
      <c r="DD396" s="57">
        <f>IFERROR($W397/$W396-1,"")</f>
        <v/>
      </c>
      <c r="DE396" s="57">
        <f>IFERROR($X397/$X396-1,"")</f>
        <v/>
      </c>
      <c r="DF396" s="57">
        <f>IFERROR($Y397/$Y396-1,"")</f>
        <v/>
      </c>
      <c r="DG396" s="57">
        <f>IFERROR($Z397/$Z396-1,"")</f>
        <v/>
      </c>
      <c r="DH396" s="57">
        <f>IFERROR($AA397/$AA396-1,"")</f>
        <v/>
      </c>
      <c r="DI396" s="57">
        <f>IFERROR($AB397/$AB396-1,"")</f>
        <v/>
      </c>
      <c r="DJ396" s="57">
        <f>IFERROR($AC397/$AC396-1,"")</f>
        <v/>
      </c>
      <c r="DK396" s="57">
        <f>IFERROR($AD397/$AD396-1,"")</f>
        <v/>
      </c>
      <c r="DL396" s="57">
        <f>IFERROR($AE397/$AE396-1,"")</f>
        <v/>
      </c>
      <c r="DM396" s="56">
        <f>$AZ396-$AZ397</f>
        <v/>
      </c>
      <c r="DN396" s="56">
        <f>$BA396-$BA397</f>
        <v/>
      </c>
      <c r="DO396" s="56">
        <f>$BB396-$BB397</f>
        <v/>
      </c>
      <c r="DP396" s="56">
        <f>$BC396-$BC397</f>
        <v/>
      </c>
      <c r="DQ396" s="56">
        <f>$BD396-$BD397</f>
        <v/>
      </c>
      <c r="DR396" s="56">
        <f>$BE396-$BE397</f>
        <v/>
      </c>
      <c r="DS396" s="56">
        <f>$BF396-$BF397</f>
        <v/>
      </c>
      <c r="DT396" s="56">
        <f>$BG396-$BG397</f>
        <v/>
      </c>
      <c r="DU396" s="56">
        <f>$BH396-$BH397</f>
        <v/>
      </c>
      <c r="DV396" s="56">
        <f>$BI396-$BI397</f>
        <v/>
      </c>
      <c r="DW396" s="56">
        <f>$BJ396-$BJ397</f>
        <v/>
      </c>
      <c r="DX396" s="56">
        <f>$BK396-$BK397</f>
        <v/>
      </c>
      <c r="DY396" s="56">
        <f>$BL396-$BL397</f>
        <v/>
      </c>
      <c r="DZ396" s="56">
        <f>$BM396-$BM397</f>
        <v/>
      </c>
      <c r="EA396" s="56">
        <f>$BN396-$BN397</f>
        <v/>
      </c>
      <c r="EB396" s="56">
        <f>$BO396-$BO397</f>
        <v/>
      </c>
      <c r="EC396" s="56">
        <f>$BP396-$BP397</f>
        <v/>
      </c>
      <c r="ED396" s="56">
        <f>$BQ396-$BQ397</f>
        <v/>
      </c>
      <c r="EE396" s="56">
        <f>$BR396-$BR397</f>
        <v/>
      </c>
      <c r="EF396" s="56">
        <f>$BS396-$BS397</f>
        <v/>
      </c>
      <c r="EG396" s="56">
        <f>$BT396-$BT397</f>
        <v/>
      </c>
      <c r="EH396" s="56">
        <f>$BU396-$BU397</f>
        <v/>
      </c>
    </row>
    <row r="397">
      <c r="BV397" s="56">
        <f>($D397-$D398)*100</f>
        <v/>
      </c>
      <c r="BW397" s="56">
        <f>($C397-$C398)*100</f>
        <v/>
      </c>
      <c r="BX397" s="57">
        <f>IFERROR($I397/$I398-1,"")</f>
        <v/>
      </c>
      <c r="BY397" s="56">
        <f>($AF397-$AF398)*100</f>
        <v/>
      </c>
      <c r="BZ397" s="56">
        <f>($AG397-$AG398)*100</f>
        <v/>
      </c>
      <c r="CA397" s="56">
        <f>($AH397-$AH398)*100</f>
        <v/>
      </c>
      <c r="CB397" s="56">
        <f>($AI397-$AI398)*100</f>
        <v/>
      </c>
      <c r="CC397" s="56">
        <f>($AJ397-$AJ398)*100</f>
        <v/>
      </c>
      <c r="CD397" s="56">
        <f>($AK397-$AK398)*100</f>
        <v/>
      </c>
      <c r="CE397" s="56">
        <f>($AL397-$AL398)*100</f>
        <v/>
      </c>
      <c r="CF397" s="56">
        <f>($AM397-$AM398)*100</f>
        <v/>
      </c>
      <c r="CG397" s="56">
        <f>($AN397-$AN398)*100</f>
        <v/>
      </c>
      <c r="CH397" s="56">
        <f>($AO397-$AO398)*100</f>
        <v/>
      </c>
      <c r="CI397" s="56">
        <f>($AP397-$AP398)*100</f>
        <v/>
      </c>
      <c r="CJ397" s="56">
        <f>($AQ397-$AQ398)*100</f>
        <v/>
      </c>
      <c r="CK397" s="56">
        <f>($AR397-$AR398)*100</f>
        <v/>
      </c>
      <c r="CL397" s="56">
        <f>($AS397-$AS398)*100</f>
        <v/>
      </c>
      <c r="CM397" s="56">
        <f>($AT397-$AT398)*100</f>
        <v/>
      </c>
      <c r="CN397" s="56">
        <f>($AU397-$AU398)*100</f>
        <v/>
      </c>
      <c r="CO397" s="56">
        <f>($AV397-$AV398)*100</f>
        <v/>
      </c>
      <c r="CP397" s="56">
        <f>($AW397-$AW398)*100</f>
        <v/>
      </c>
      <c r="CQ397" s="56">
        <f>($AX397-$AX398)*100</f>
        <v/>
      </c>
      <c r="CR397" s="56">
        <f>($AY397-$AY398)*100</f>
        <v/>
      </c>
      <c r="CS397" s="57">
        <f>IFERROR($L398/$L397-1,"")</f>
        <v/>
      </c>
      <c r="CT397" s="57">
        <f>IFERROR($M398/$M397-1,"")</f>
        <v/>
      </c>
      <c r="CU397" s="57">
        <f>IFERROR($N398/$N397-1,"")</f>
        <v/>
      </c>
      <c r="CV397" s="57">
        <f>IFERROR($O398/$O397-1,"")</f>
        <v/>
      </c>
      <c r="CW397" s="57">
        <f>IFERROR($P398/$P397-1,"")</f>
        <v/>
      </c>
      <c r="CX397" s="57">
        <f>IFERROR($Q398/$Q397-1,"")</f>
        <v/>
      </c>
      <c r="CY397" s="57">
        <f>IFERROR($R398/$R397-1,"")</f>
        <v/>
      </c>
      <c r="CZ397" s="57">
        <f>IFERROR($S398/$S397-1,"")</f>
        <v/>
      </c>
      <c r="DA397" s="57">
        <f>IFERROR($T398/$T397-1,"")</f>
        <v/>
      </c>
      <c r="DB397" s="57">
        <f>IFERROR($U398/$U397-1,"")</f>
        <v/>
      </c>
      <c r="DC397" s="57">
        <f>IFERROR($V398/$V397-1,"")</f>
        <v/>
      </c>
      <c r="DD397" s="57">
        <f>IFERROR($W398/$W397-1,"")</f>
        <v/>
      </c>
      <c r="DE397" s="57">
        <f>IFERROR($X398/$X397-1,"")</f>
        <v/>
      </c>
      <c r="DF397" s="57">
        <f>IFERROR($Y398/$Y397-1,"")</f>
        <v/>
      </c>
      <c r="DG397" s="57">
        <f>IFERROR($Z398/$Z397-1,"")</f>
        <v/>
      </c>
      <c r="DH397" s="57">
        <f>IFERROR($AA398/$AA397-1,"")</f>
        <v/>
      </c>
      <c r="DI397" s="57">
        <f>IFERROR($AB398/$AB397-1,"")</f>
        <v/>
      </c>
      <c r="DJ397" s="57">
        <f>IFERROR($AC398/$AC397-1,"")</f>
        <v/>
      </c>
      <c r="DK397" s="57">
        <f>IFERROR($AD398/$AD397-1,"")</f>
        <v/>
      </c>
      <c r="DL397" s="57">
        <f>IFERROR($AE398/$AE397-1,"")</f>
        <v/>
      </c>
      <c r="DM397" s="56">
        <f>$AZ397-$AZ398</f>
        <v/>
      </c>
      <c r="DN397" s="56">
        <f>$BA397-$BA398</f>
        <v/>
      </c>
      <c r="DO397" s="56">
        <f>$BB397-$BB398</f>
        <v/>
      </c>
      <c r="DP397" s="56">
        <f>$BC397-$BC398</f>
        <v/>
      </c>
      <c r="DQ397" s="56">
        <f>$BD397-$BD398</f>
        <v/>
      </c>
      <c r="DR397" s="56">
        <f>$BE397-$BE398</f>
        <v/>
      </c>
      <c r="DS397" s="56">
        <f>$BF397-$BF398</f>
        <v/>
      </c>
      <c r="DT397" s="56">
        <f>$BG397-$BG398</f>
        <v/>
      </c>
      <c r="DU397" s="56">
        <f>$BH397-$BH398</f>
        <v/>
      </c>
      <c r="DV397" s="56">
        <f>$BI397-$BI398</f>
        <v/>
      </c>
      <c r="DW397" s="56">
        <f>$BJ397-$BJ398</f>
        <v/>
      </c>
      <c r="DX397" s="56">
        <f>$BK397-$BK398</f>
        <v/>
      </c>
      <c r="DY397" s="56">
        <f>$BL397-$BL398</f>
        <v/>
      </c>
      <c r="DZ397" s="56">
        <f>$BM397-$BM398</f>
        <v/>
      </c>
      <c r="EA397" s="56">
        <f>$BN397-$BN398</f>
        <v/>
      </c>
      <c r="EB397" s="56">
        <f>$BO397-$BO398</f>
        <v/>
      </c>
      <c r="EC397" s="56">
        <f>$BP397-$BP398</f>
        <v/>
      </c>
      <c r="ED397" s="56">
        <f>$BQ397-$BQ398</f>
        <v/>
      </c>
      <c r="EE397" s="56">
        <f>$BR397-$BR398</f>
        <v/>
      </c>
      <c r="EF397" s="56">
        <f>$BS397-$BS398</f>
        <v/>
      </c>
      <c r="EG397" s="56">
        <f>$BT397-$BT398</f>
        <v/>
      </c>
      <c r="EH397" s="56">
        <f>$BU397-$BU398</f>
        <v/>
      </c>
    </row>
    <row r="398">
      <c r="BV398" s="56">
        <f>($D398-$D399)*100</f>
        <v/>
      </c>
      <c r="BW398" s="56">
        <f>($C398-$C399)*100</f>
        <v/>
      </c>
      <c r="BX398" s="57">
        <f>IFERROR($I398/$I399-1,"")</f>
        <v/>
      </c>
      <c r="BY398" s="56">
        <f>($AF398-$AF399)*100</f>
        <v/>
      </c>
      <c r="BZ398" s="56">
        <f>($AG398-$AG399)*100</f>
        <v/>
      </c>
      <c r="CA398" s="56">
        <f>($AH398-$AH399)*100</f>
        <v/>
      </c>
      <c r="CB398" s="56">
        <f>($AI398-$AI399)*100</f>
        <v/>
      </c>
      <c r="CC398" s="56">
        <f>($AJ398-$AJ399)*100</f>
        <v/>
      </c>
      <c r="CD398" s="56">
        <f>($AK398-$AK399)*100</f>
        <v/>
      </c>
      <c r="CE398" s="56">
        <f>($AL398-$AL399)*100</f>
        <v/>
      </c>
      <c r="CF398" s="56">
        <f>($AM398-$AM399)*100</f>
        <v/>
      </c>
      <c r="CG398" s="56">
        <f>($AN398-$AN399)*100</f>
        <v/>
      </c>
      <c r="CH398" s="56">
        <f>($AO398-$AO399)*100</f>
        <v/>
      </c>
      <c r="CI398" s="56">
        <f>($AP398-$AP399)*100</f>
        <v/>
      </c>
      <c r="CJ398" s="56">
        <f>($AQ398-$AQ399)*100</f>
        <v/>
      </c>
      <c r="CK398" s="56">
        <f>($AR398-$AR399)*100</f>
        <v/>
      </c>
      <c r="CL398" s="56">
        <f>($AS398-$AS399)*100</f>
        <v/>
      </c>
      <c r="CM398" s="56">
        <f>($AT398-$AT399)*100</f>
        <v/>
      </c>
      <c r="CN398" s="56">
        <f>($AU398-$AU399)*100</f>
        <v/>
      </c>
      <c r="CO398" s="56">
        <f>($AV398-$AV399)*100</f>
        <v/>
      </c>
      <c r="CP398" s="56">
        <f>($AW398-$AW399)*100</f>
        <v/>
      </c>
      <c r="CQ398" s="56">
        <f>($AX398-$AX399)*100</f>
        <v/>
      </c>
      <c r="CR398" s="56">
        <f>($AY398-$AY399)*100</f>
        <v/>
      </c>
      <c r="CS398" s="57">
        <f>IFERROR($L399/$L398-1,"")</f>
        <v/>
      </c>
      <c r="CT398" s="57">
        <f>IFERROR($M399/$M398-1,"")</f>
        <v/>
      </c>
      <c r="CU398" s="57">
        <f>IFERROR($N399/$N398-1,"")</f>
        <v/>
      </c>
      <c r="CV398" s="57">
        <f>IFERROR($O399/$O398-1,"")</f>
        <v/>
      </c>
      <c r="CW398" s="57">
        <f>IFERROR($P399/$P398-1,"")</f>
        <v/>
      </c>
      <c r="CX398" s="57">
        <f>IFERROR($Q399/$Q398-1,"")</f>
        <v/>
      </c>
      <c r="CY398" s="57">
        <f>IFERROR($R399/$R398-1,"")</f>
        <v/>
      </c>
      <c r="CZ398" s="57">
        <f>IFERROR($S399/$S398-1,"")</f>
        <v/>
      </c>
      <c r="DA398" s="57">
        <f>IFERROR($T399/$T398-1,"")</f>
        <v/>
      </c>
      <c r="DB398" s="57">
        <f>IFERROR($U399/$U398-1,"")</f>
        <v/>
      </c>
      <c r="DC398" s="57">
        <f>IFERROR($V399/$V398-1,"")</f>
        <v/>
      </c>
      <c r="DD398" s="57">
        <f>IFERROR($W399/$W398-1,"")</f>
        <v/>
      </c>
      <c r="DE398" s="57">
        <f>IFERROR($X399/$X398-1,"")</f>
        <v/>
      </c>
      <c r="DF398" s="57">
        <f>IFERROR($Y399/$Y398-1,"")</f>
        <v/>
      </c>
      <c r="DG398" s="57">
        <f>IFERROR($Z399/$Z398-1,"")</f>
        <v/>
      </c>
      <c r="DH398" s="57">
        <f>IFERROR($AA399/$AA398-1,"")</f>
        <v/>
      </c>
      <c r="DI398" s="57">
        <f>IFERROR($AB399/$AB398-1,"")</f>
        <v/>
      </c>
      <c r="DJ398" s="57">
        <f>IFERROR($AC399/$AC398-1,"")</f>
        <v/>
      </c>
      <c r="DK398" s="57">
        <f>IFERROR($AD399/$AD398-1,"")</f>
        <v/>
      </c>
      <c r="DL398" s="57">
        <f>IFERROR($AE399/$AE398-1,"")</f>
        <v/>
      </c>
      <c r="DM398" s="56">
        <f>$AZ398-$AZ399</f>
        <v/>
      </c>
      <c r="DN398" s="56">
        <f>$BA398-$BA399</f>
        <v/>
      </c>
      <c r="DO398" s="56">
        <f>$BB398-$BB399</f>
        <v/>
      </c>
      <c r="DP398" s="56">
        <f>$BC398-$BC399</f>
        <v/>
      </c>
      <c r="DQ398" s="56">
        <f>$BD398-$BD399</f>
        <v/>
      </c>
      <c r="DR398" s="56">
        <f>$BE398-$BE399</f>
        <v/>
      </c>
      <c r="DS398" s="56">
        <f>$BF398-$BF399</f>
        <v/>
      </c>
      <c r="DT398" s="56">
        <f>$BG398-$BG399</f>
        <v/>
      </c>
      <c r="DU398" s="56">
        <f>$BH398-$BH399</f>
        <v/>
      </c>
      <c r="DV398" s="56">
        <f>$BI398-$BI399</f>
        <v/>
      </c>
      <c r="DW398" s="56">
        <f>$BJ398-$BJ399</f>
        <v/>
      </c>
      <c r="DX398" s="56">
        <f>$BK398-$BK399</f>
        <v/>
      </c>
      <c r="DY398" s="56">
        <f>$BL398-$BL399</f>
        <v/>
      </c>
      <c r="DZ398" s="56">
        <f>$BM398-$BM399</f>
        <v/>
      </c>
      <c r="EA398" s="56">
        <f>$BN398-$BN399</f>
        <v/>
      </c>
      <c r="EB398" s="56">
        <f>$BO398-$BO399</f>
        <v/>
      </c>
      <c r="EC398" s="56">
        <f>$BP398-$BP399</f>
        <v/>
      </c>
      <c r="ED398" s="56">
        <f>$BQ398-$BQ399</f>
        <v/>
      </c>
      <c r="EE398" s="56">
        <f>$BR398-$BR399</f>
        <v/>
      </c>
      <c r="EF398" s="56">
        <f>$BS398-$BS399</f>
        <v/>
      </c>
      <c r="EG398" s="56">
        <f>$BT398-$BT399</f>
        <v/>
      </c>
      <c r="EH398" s="56">
        <f>$BU398-$BU399</f>
        <v/>
      </c>
    </row>
    <row r="399">
      <c r="BV399" s="56">
        <f>($D399-$D400)*100</f>
        <v/>
      </c>
      <c r="BW399" s="56">
        <f>($C399-$C400)*100</f>
        <v/>
      </c>
      <c r="BX399" s="57">
        <f>IFERROR($I399/$I400-1,"")</f>
        <v/>
      </c>
      <c r="BY399" s="56">
        <f>($AF399-$AF400)*100</f>
        <v/>
      </c>
      <c r="BZ399" s="56">
        <f>($AG399-$AG400)*100</f>
        <v/>
      </c>
      <c r="CA399" s="56">
        <f>($AH399-$AH400)*100</f>
        <v/>
      </c>
      <c r="CB399" s="56">
        <f>($AI399-$AI400)*100</f>
        <v/>
      </c>
      <c r="CC399" s="56">
        <f>($AJ399-$AJ400)*100</f>
        <v/>
      </c>
      <c r="CD399" s="56">
        <f>($AK399-$AK400)*100</f>
        <v/>
      </c>
      <c r="CE399" s="56">
        <f>($AL399-$AL400)*100</f>
        <v/>
      </c>
      <c r="CF399" s="56">
        <f>($AM399-$AM400)*100</f>
        <v/>
      </c>
      <c r="CG399" s="56">
        <f>($AN399-$AN400)*100</f>
        <v/>
      </c>
      <c r="CH399" s="56">
        <f>($AO399-$AO400)*100</f>
        <v/>
      </c>
      <c r="CI399" s="56">
        <f>($AP399-$AP400)*100</f>
        <v/>
      </c>
      <c r="CJ399" s="56">
        <f>($AQ399-$AQ400)*100</f>
        <v/>
      </c>
      <c r="CK399" s="56">
        <f>($AR399-$AR400)*100</f>
        <v/>
      </c>
      <c r="CL399" s="56">
        <f>($AS399-$AS400)*100</f>
        <v/>
      </c>
      <c r="CM399" s="56">
        <f>($AT399-$AT400)*100</f>
        <v/>
      </c>
      <c r="CN399" s="56">
        <f>($AU399-$AU400)*100</f>
        <v/>
      </c>
      <c r="CO399" s="56">
        <f>($AV399-$AV400)*100</f>
        <v/>
      </c>
      <c r="CP399" s="56">
        <f>($AW399-$AW400)*100</f>
        <v/>
      </c>
      <c r="CQ399" s="56">
        <f>($AX399-$AX400)*100</f>
        <v/>
      </c>
      <c r="CR399" s="56">
        <f>($AY399-$AY400)*100</f>
        <v/>
      </c>
      <c r="CS399" s="57">
        <f>IFERROR($L400/$L399-1,"")</f>
        <v/>
      </c>
      <c r="CT399" s="57">
        <f>IFERROR($M400/$M399-1,"")</f>
        <v/>
      </c>
      <c r="CU399" s="57">
        <f>IFERROR($N400/$N399-1,"")</f>
        <v/>
      </c>
      <c r="CV399" s="57">
        <f>IFERROR($O400/$O399-1,"")</f>
        <v/>
      </c>
      <c r="CW399" s="57">
        <f>IFERROR($P400/$P399-1,"")</f>
        <v/>
      </c>
      <c r="CX399" s="57">
        <f>IFERROR($Q400/$Q399-1,"")</f>
        <v/>
      </c>
      <c r="CY399" s="57">
        <f>IFERROR($R400/$R399-1,"")</f>
        <v/>
      </c>
      <c r="CZ399" s="57">
        <f>IFERROR($S400/$S399-1,"")</f>
        <v/>
      </c>
      <c r="DA399" s="57">
        <f>IFERROR($T400/$T399-1,"")</f>
        <v/>
      </c>
      <c r="DB399" s="57">
        <f>IFERROR($U400/$U399-1,"")</f>
        <v/>
      </c>
      <c r="DC399" s="57">
        <f>IFERROR($V400/$V399-1,"")</f>
        <v/>
      </c>
      <c r="DD399" s="57">
        <f>IFERROR($W400/$W399-1,"")</f>
        <v/>
      </c>
      <c r="DE399" s="57">
        <f>IFERROR($X400/$X399-1,"")</f>
        <v/>
      </c>
      <c r="DF399" s="57">
        <f>IFERROR($Y400/$Y399-1,"")</f>
        <v/>
      </c>
      <c r="DG399" s="57">
        <f>IFERROR($Z400/$Z399-1,"")</f>
        <v/>
      </c>
      <c r="DH399" s="57">
        <f>IFERROR($AA400/$AA399-1,"")</f>
        <v/>
      </c>
      <c r="DI399" s="57">
        <f>IFERROR($AB400/$AB399-1,"")</f>
        <v/>
      </c>
      <c r="DJ399" s="57">
        <f>IFERROR($AC400/$AC399-1,"")</f>
        <v/>
      </c>
      <c r="DK399" s="57">
        <f>IFERROR($AD400/$AD399-1,"")</f>
        <v/>
      </c>
      <c r="DL399" s="57">
        <f>IFERROR($AE400/$AE399-1,"")</f>
        <v/>
      </c>
      <c r="DM399" s="56">
        <f>$AZ399-$AZ400</f>
        <v/>
      </c>
      <c r="DN399" s="56">
        <f>$BA399-$BA400</f>
        <v/>
      </c>
      <c r="DO399" s="56">
        <f>$BB399-$BB400</f>
        <v/>
      </c>
      <c r="DP399" s="56">
        <f>$BC399-$BC400</f>
        <v/>
      </c>
      <c r="DQ399" s="56">
        <f>$BD399-$BD400</f>
        <v/>
      </c>
      <c r="DR399" s="56">
        <f>$BE399-$BE400</f>
        <v/>
      </c>
      <c r="DS399" s="56">
        <f>$BF399-$BF400</f>
        <v/>
      </c>
      <c r="DT399" s="56">
        <f>$BG399-$BG400</f>
        <v/>
      </c>
      <c r="DU399" s="56">
        <f>$BH399-$BH400</f>
        <v/>
      </c>
      <c r="DV399" s="56">
        <f>$BI399-$BI400</f>
        <v/>
      </c>
      <c r="DW399" s="56">
        <f>$BJ399-$BJ400</f>
        <v/>
      </c>
      <c r="DX399" s="56">
        <f>$BK399-$BK400</f>
        <v/>
      </c>
      <c r="DY399" s="56">
        <f>$BL399-$BL400</f>
        <v/>
      </c>
      <c r="DZ399" s="56">
        <f>$BM399-$BM400</f>
        <v/>
      </c>
      <c r="EA399" s="56">
        <f>$BN399-$BN400</f>
        <v/>
      </c>
      <c r="EB399" s="56">
        <f>$BO399-$BO400</f>
        <v/>
      </c>
      <c r="EC399" s="56">
        <f>$BP399-$BP400</f>
        <v/>
      </c>
      <c r="ED399" s="56">
        <f>$BQ399-$BQ400</f>
        <v/>
      </c>
      <c r="EE399" s="56">
        <f>$BR399-$BR400</f>
        <v/>
      </c>
      <c r="EF399" s="56">
        <f>$BS399-$BS400</f>
        <v/>
      </c>
      <c r="EG399" s="56">
        <f>$BT399-$BT400</f>
        <v/>
      </c>
      <c r="EH399" s="56">
        <f>$BU399-$BU400</f>
        <v/>
      </c>
    </row>
    <row r="400">
      <c r="BV400" s="56">
        <f>($D400-$D401)*100</f>
        <v/>
      </c>
      <c r="BW400" s="56">
        <f>($C400-$C401)*100</f>
        <v/>
      </c>
      <c r="BX400" s="57">
        <f>IFERROR($I400/$I401-1,"")</f>
        <v/>
      </c>
      <c r="BY400" s="56">
        <f>($AF400-$AF401)*100</f>
        <v/>
      </c>
      <c r="BZ400" s="56">
        <f>($AG400-$AG401)*100</f>
        <v/>
      </c>
      <c r="CA400" s="56">
        <f>($AH400-$AH401)*100</f>
        <v/>
      </c>
      <c r="CB400" s="56">
        <f>($AI400-$AI401)*100</f>
        <v/>
      </c>
      <c r="CC400" s="56">
        <f>($AJ400-$AJ401)*100</f>
        <v/>
      </c>
      <c r="CD400" s="56">
        <f>($AK400-$AK401)*100</f>
        <v/>
      </c>
      <c r="CE400" s="56">
        <f>($AL400-$AL401)*100</f>
        <v/>
      </c>
      <c r="CF400" s="56">
        <f>($AM400-$AM401)*100</f>
        <v/>
      </c>
      <c r="CG400" s="56">
        <f>($AN400-$AN401)*100</f>
        <v/>
      </c>
      <c r="CH400" s="56">
        <f>($AO400-$AO401)*100</f>
        <v/>
      </c>
      <c r="CI400" s="56">
        <f>($AP400-$AP401)*100</f>
        <v/>
      </c>
      <c r="CJ400" s="56">
        <f>($AQ400-$AQ401)*100</f>
        <v/>
      </c>
      <c r="CK400" s="56">
        <f>($AR400-$AR401)*100</f>
        <v/>
      </c>
      <c r="CL400" s="56">
        <f>($AS400-$AS401)*100</f>
        <v/>
      </c>
      <c r="CM400" s="56">
        <f>($AT400-$AT401)*100</f>
        <v/>
      </c>
      <c r="CN400" s="56">
        <f>($AU400-$AU401)*100</f>
        <v/>
      </c>
      <c r="CO400" s="56">
        <f>($AV400-$AV401)*100</f>
        <v/>
      </c>
      <c r="CP400" s="56">
        <f>($AW400-$AW401)*100</f>
        <v/>
      </c>
      <c r="CQ400" s="56">
        <f>($AX400-$AX401)*100</f>
        <v/>
      </c>
      <c r="CR400" s="56">
        <f>($AY400-$AY401)*100</f>
        <v/>
      </c>
      <c r="CS400" s="57">
        <f>IFERROR($L401/$L400-1,"")</f>
        <v/>
      </c>
      <c r="CT400" s="57">
        <f>IFERROR($M401/$M400-1,"")</f>
        <v/>
      </c>
      <c r="CU400" s="57">
        <f>IFERROR($N401/$N400-1,"")</f>
        <v/>
      </c>
      <c r="CV400" s="57">
        <f>IFERROR($O401/$O400-1,"")</f>
        <v/>
      </c>
      <c r="CW400" s="57">
        <f>IFERROR($P401/$P400-1,"")</f>
        <v/>
      </c>
      <c r="CX400" s="57">
        <f>IFERROR($Q401/$Q400-1,"")</f>
        <v/>
      </c>
      <c r="CY400" s="57">
        <f>IFERROR($R401/$R400-1,"")</f>
        <v/>
      </c>
      <c r="CZ400" s="57">
        <f>IFERROR($S401/$S400-1,"")</f>
        <v/>
      </c>
      <c r="DA400" s="57">
        <f>IFERROR($T401/$T400-1,"")</f>
        <v/>
      </c>
      <c r="DB400" s="57">
        <f>IFERROR($U401/$U400-1,"")</f>
        <v/>
      </c>
      <c r="DC400" s="57">
        <f>IFERROR($V401/$V400-1,"")</f>
        <v/>
      </c>
      <c r="DD400" s="57">
        <f>IFERROR($W401/$W400-1,"")</f>
        <v/>
      </c>
      <c r="DE400" s="57">
        <f>IFERROR($X401/$X400-1,"")</f>
        <v/>
      </c>
      <c r="DF400" s="57">
        <f>IFERROR($Y401/$Y400-1,"")</f>
        <v/>
      </c>
      <c r="DG400" s="57">
        <f>IFERROR($Z401/$Z400-1,"")</f>
        <v/>
      </c>
      <c r="DH400" s="57">
        <f>IFERROR($AA401/$AA400-1,"")</f>
        <v/>
      </c>
      <c r="DI400" s="57">
        <f>IFERROR($AB401/$AB400-1,"")</f>
        <v/>
      </c>
      <c r="DJ400" s="57">
        <f>IFERROR($AC401/$AC400-1,"")</f>
        <v/>
      </c>
      <c r="DK400" s="57">
        <f>IFERROR($AD401/$AD400-1,"")</f>
        <v/>
      </c>
      <c r="DL400" s="57">
        <f>IFERROR($AE401/$AE400-1,"")</f>
        <v/>
      </c>
      <c r="DM400" s="56">
        <f>$AZ400-$AZ401</f>
        <v/>
      </c>
      <c r="DN400" s="56">
        <f>$BA400-$BA401</f>
        <v/>
      </c>
      <c r="DO400" s="56">
        <f>$BB400-$BB401</f>
        <v/>
      </c>
      <c r="DP400" s="56">
        <f>$BC400-$BC401</f>
        <v/>
      </c>
      <c r="DQ400" s="56">
        <f>$BD400-$BD401</f>
        <v/>
      </c>
      <c r="DR400" s="56">
        <f>$BE400-$BE401</f>
        <v/>
      </c>
      <c r="DS400" s="56">
        <f>$BF400-$BF401</f>
        <v/>
      </c>
      <c r="DT400" s="56">
        <f>$BG400-$BG401</f>
        <v/>
      </c>
      <c r="DU400" s="56">
        <f>$BH400-$BH401</f>
        <v/>
      </c>
      <c r="DV400" s="56">
        <f>$BI400-$BI401</f>
        <v/>
      </c>
      <c r="DW400" s="56">
        <f>$BJ400-$BJ401</f>
        <v/>
      </c>
      <c r="DX400" s="56">
        <f>$BK400-$BK401</f>
        <v/>
      </c>
      <c r="DY400" s="56">
        <f>$BL400-$BL401</f>
        <v/>
      </c>
      <c r="DZ400" s="56">
        <f>$BM400-$BM401</f>
        <v/>
      </c>
      <c r="EA400" s="56">
        <f>$BN400-$BN401</f>
        <v/>
      </c>
      <c r="EB400" s="56">
        <f>$BO400-$BO401</f>
        <v/>
      </c>
      <c r="EC400" s="56">
        <f>$BP400-$BP401</f>
        <v/>
      </c>
      <c r="ED400" s="56">
        <f>$BQ400-$BQ401</f>
        <v/>
      </c>
      <c r="EE400" s="56">
        <f>$BR400-$BR401</f>
        <v/>
      </c>
      <c r="EF400" s="56">
        <f>$BS400-$BS401</f>
        <v/>
      </c>
      <c r="EG400" s="56">
        <f>$BT400-$BT401</f>
        <v/>
      </c>
      <c r="EH400" s="56">
        <f>$BU400-$BU401</f>
        <v/>
      </c>
    </row>
    <row r="401">
      <c r="BV401" s="56">
        <f>($D401-$D402)*100</f>
        <v/>
      </c>
      <c r="BW401" s="56">
        <f>($C401-$C402)*100</f>
        <v/>
      </c>
      <c r="BX401" s="57">
        <f>IFERROR($I401/$I402-1,"")</f>
        <v/>
      </c>
      <c r="BY401" s="56">
        <f>($AF401-$AF402)*100</f>
        <v/>
      </c>
      <c r="BZ401" s="56">
        <f>($AG401-$AG402)*100</f>
        <v/>
      </c>
      <c r="CA401" s="56">
        <f>($AH401-$AH402)*100</f>
        <v/>
      </c>
      <c r="CB401" s="56">
        <f>($AI401-$AI402)*100</f>
        <v/>
      </c>
      <c r="CC401" s="56">
        <f>($AJ401-$AJ402)*100</f>
        <v/>
      </c>
      <c r="CD401" s="56">
        <f>($AK401-$AK402)*100</f>
        <v/>
      </c>
      <c r="CE401" s="56">
        <f>($AL401-$AL402)*100</f>
        <v/>
      </c>
      <c r="CF401" s="56">
        <f>($AM401-$AM402)*100</f>
        <v/>
      </c>
      <c r="CG401" s="56">
        <f>($AN401-$AN402)*100</f>
        <v/>
      </c>
      <c r="CH401" s="56">
        <f>($AO401-$AO402)*100</f>
        <v/>
      </c>
      <c r="CI401" s="56">
        <f>($AP401-$AP402)*100</f>
        <v/>
      </c>
      <c r="CJ401" s="56">
        <f>($AQ401-$AQ402)*100</f>
        <v/>
      </c>
      <c r="CK401" s="56">
        <f>($AR401-$AR402)*100</f>
        <v/>
      </c>
      <c r="CL401" s="56">
        <f>($AS401-$AS402)*100</f>
        <v/>
      </c>
      <c r="CM401" s="56">
        <f>($AT401-$AT402)*100</f>
        <v/>
      </c>
      <c r="CN401" s="56">
        <f>($AU401-$AU402)*100</f>
        <v/>
      </c>
      <c r="CO401" s="56">
        <f>($AV401-$AV402)*100</f>
        <v/>
      </c>
      <c r="CP401" s="56">
        <f>($AW401-$AW402)*100</f>
        <v/>
      </c>
      <c r="CQ401" s="56">
        <f>($AX401-$AX402)*100</f>
        <v/>
      </c>
      <c r="CR401" s="56">
        <f>($AY401-$AY402)*100</f>
        <v/>
      </c>
      <c r="CS401" s="57">
        <f>IFERROR($L402/$L401-1,"")</f>
        <v/>
      </c>
      <c r="CT401" s="57">
        <f>IFERROR($M402/$M401-1,"")</f>
        <v/>
      </c>
      <c r="CU401" s="57">
        <f>IFERROR($N402/$N401-1,"")</f>
        <v/>
      </c>
      <c r="CV401" s="57">
        <f>IFERROR($O402/$O401-1,"")</f>
        <v/>
      </c>
      <c r="CW401" s="57">
        <f>IFERROR($P402/$P401-1,"")</f>
        <v/>
      </c>
      <c r="CX401" s="57">
        <f>IFERROR($Q402/$Q401-1,"")</f>
        <v/>
      </c>
      <c r="CY401" s="57">
        <f>IFERROR($R402/$R401-1,"")</f>
        <v/>
      </c>
      <c r="CZ401" s="57">
        <f>IFERROR($S402/$S401-1,"")</f>
        <v/>
      </c>
      <c r="DA401" s="57">
        <f>IFERROR($T402/$T401-1,"")</f>
        <v/>
      </c>
      <c r="DB401" s="57">
        <f>IFERROR($U402/$U401-1,"")</f>
        <v/>
      </c>
      <c r="DC401" s="57">
        <f>IFERROR($V402/$V401-1,"")</f>
        <v/>
      </c>
      <c r="DD401" s="57">
        <f>IFERROR($W402/$W401-1,"")</f>
        <v/>
      </c>
      <c r="DE401" s="57">
        <f>IFERROR($X402/$X401-1,"")</f>
        <v/>
      </c>
      <c r="DF401" s="57">
        <f>IFERROR($Y402/$Y401-1,"")</f>
        <v/>
      </c>
      <c r="DG401" s="57">
        <f>IFERROR($Z402/$Z401-1,"")</f>
        <v/>
      </c>
      <c r="DH401" s="57">
        <f>IFERROR($AA402/$AA401-1,"")</f>
        <v/>
      </c>
      <c r="DI401" s="57">
        <f>IFERROR($AB402/$AB401-1,"")</f>
        <v/>
      </c>
      <c r="DJ401" s="57">
        <f>IFERROR($AC402/$AC401-1,"")</f>
        <v/>
      </c>
      <c r="DK401" s="57">
        <f>IFERROR($AD402/$AD401-1,"")</f>
        <v/>
      </c>
      <c r="DL401" s="57">
        <f>IFERROR($AE402/$AE401-1,"")</f>
        <v/>
      </c>
      <c r="DM401" s="56">
        <f>$AZ401-$AZ402</f>
        <v/>
      </c>
      <c r="DN401" s="56">
        <f>$BA401-$BA402</f>
        <v/>
      </c>
      <c r="DO401" s="56">
        <f>$BB401-$BB402</f>
        <v/>
      </c>
      <c r="DP401" s="56">
        <f>$BC401-$BC402</f>
        <v/>
      </c>
      <c r="DQ401" s="56">
        <f>$BD401-$BD402</f>
        <v/>
      </c>
      <c r="DR401" s="56">
        <f>$BE401-$BE402</f>
        <v/>
      </c>
      <c r="DS401" s="56">
        <f>$BF401-$BF402</f>
        <v/>
      </c>
      <c r="DT401" s="56">
        <f>$BG401-$BG402</f>
        <v/>
      </c>
      <c r="DU401" s="56">
        <f>$BH401-$BH402</f>
        <v/>
      </c>
      <c r="DV401" s="56">
        <f>$BI401-$BI402</f>
        <v/>
      </c>
      <c r="DW401" s="56">
        <f>$BJ401-$BJ402</f>
        <v/>
      </c>
      <c r="DX401" s="56">
        <f>$BK401-$BK402</f>
        <v/>
      </c>
      <c r="DY401" s="56">
        <f>$BL401-$BL402</f>
        <v/>
      </c>
      <c r="DZ401" s="56">
        <f>$BM401-$BM402</f>
        <v/>
      </c>
      <c r="EA401" s="56">
        <f>$BN401-$BN402</f>
        <v/>
      </c>
      <c r="EB401" s="56">
        <f>$BO401-$BO402</f>
        <v/>
      </c>
      <c r="EC401" s="56">
        <f>$BP401-$BP402</f>
        <v/>
      </c>
      <c r="ED401" s="56">
        <f>$BQ401-$BQ402</f>
        <v/>
      </c>
      <c r="EE401" s="56">
        <f>$BR401-$BR402</f>
        <v/>
      </c>
      <c r="EF401" s="56">
        <f>$BS401-$BS402</f>
        <v/>
      </c>
      <c r="EG401" s="56">
        <f>$BT401-$BT402</f>
        <v/>
      </c>
      <c r="EH401" s="56">
        <f>$BU401-$BU402</f>
        <v/>
      </c>
    </row>
    <row r="402">
      <c r="BV402" s="56">
        <f>($D402-$D403)*100</f>
        <v/>
      </c>
      <c r="BW402" s="56">
        <f>($C402-$C403)*100</f>
        <v/>
      </c>
      <c r="BX402" s="57">
        <f>IFERROR($I402/$I403-1,"")</f>
        <v/>
      </c>
      <c r="BY402" s="56">
        <f>($AF402-$AF403)*100</f>
        <v/>
      </c>
      <c r="BZ402" s="56">
        <f>($AG402-$AG403)*100</f>
        <v/>
      </c>
      <c r="CA402" s="56">
        <f>($AH402-$AH403)*100</f>
        <v/>
      </c>
      <c r="CB402" s="56">
        <f>($AI402-$AI403)*100</f>
        <v/>
      </c>
      <c r="CC402" s="56">
        <f>($AJ402-$AJ403)*100</f>
        <v/>
      </c>
      <c r="CD402" s="56">
        <f>($AK402-$AK403)*100</f>
        <v/>
      </c>
      <c r="CE402" s="56">
        <f>($AL402-$AL403)*100</f>
        <v/>
      </c>
      <c r="CF402" s="56">
        <f>($AM402-$AM403)*100</f>
        <v/>
      </c>
      <c r="CG402" s="56">
        <f>($AN402-$AN403)*100</f>
        <v/>
      </c>
      <c r="CH402" s="56">
        <f>($AO402-$AO403)*100</f>
        <v/>
      </c>
      <c r="CI402" s="56">
        <f>($AP402-$AP403)*100</f>
        <v/>
      </c>
      <c r="CJ402" s="56">
        <f>($AQ402-$AQ403)*100</f>
        <v/>
      </c>
      <c r="CK402" s="56">
        <f>($AR402-$AR403)*100</f>
        <v/>
      </c>
      <c r="CL402" s="56">
        <f>($AS402-$AS403)*100</f>
        <v/>
      </c>
      <c r="CM402" s="56">
        <f>($AT402-$AT403)*100</f>
        <v/>
      </c>
      <c r="CN402" s="56">
        <f>($AU402-$AU403)*100</f>
        <v/>
      </c>
      <c r="CO402" s="56">
        <f>($AV402-$AV403)*100</f>
        <v/>
      </c>
      <c r="CP402" s="56">
        <f>($AW402-$AW403)*100</f>
        <v/>
      </c>
      <c r="CQ402" s="56">
        <f>($AX402-$AX403)*100</f>
        <v/>
      </c>
      <c r="CR402" s="56">
        <f>($AY402-$AY403)*100</f>
        <v/>
      </c>
      <c r="CS402" s="57">
        <f>IFERROR($L403/$L402-1,"")</f>
        <v/>
      </c>
      <c r="CT402" s="57">
        <f>IFERROR($M403/$M402-1,"")</f>
        <v/>
      </c>
      <c r="CU402" s="57">
        <f>IFERROR($N403/$N402-1,"")</f>
        <v/>
      </c>
      <c r="CV402" s="57">
        <f>IFERROR($O403/$O402-1,"")</f>
        <v/>
      </c>
      <c r="CW402" s="57">
        <f>IFERROR($P403/$P402-1,"")</f>
        <v/>
      </c>
      <c r="CX402" s="57">
        <f>IFERROR($Q403/$Q402-1,"")</f>
        <v/>
      </c>
      <c r="CY402" s="57">
        <f>IFERROR($R403/$R402-1,"")</f>
        <v/>
      </c>
      <c r="CZ402" s="57">
        <f>IFERROR($S403/$S402-1,"")</f>
        <v/>
      </c>
      <c r="DA402" s="57">
        <f>IFERROR($T403/$T402-1,"")</f>
        <v/>
      </c>
      <c r="DB402" s="57">
        <f>IFERROR($U403/$U402-1,"")</f>
        <v/>
      </c>
      <c r="DC402" s="57">
        <f>IFERROR($V403/$V402-1,"")</f>
        <v/>
      </c>
      <c r="DD402" s="57">
        <f>IFERROR($W403/$W402-1,"")</f>
        <v/>
      </c>
      <c r="DE402" s="57">
        <f>IFERROR($X403/$X402-1,"")</f>
        <v/>
      </c>
      <c r="DF402" s="57">
        <f>IFERROR($Y403/$Y402-1,"")</f>
        <v/>
      </c>
      <c r="DG402" s="57">
        <f>IFERROR($Z403/$Z402-1,"")</f>
        <v/>
      </c>
      <c r="DH402" s="57">
        <f>IFERROR($AA403/$AA402-1,"")</f>
        <v/>
      </c>
      <c r="DI402" s="57">
        <f>IFERROR($AB403/$AB402-1,"")</f>
        <v/>
      </c>
      <c r="DJ402" s="57">
        <f>IFERROR($AC403/$AC402-1,"")</f>
        <v/>
      </c>
      <c r="DK402" s="57">
        <f>IFERROR($AD403/$AD402-1,"")</f>
        <v/>
      </c>
      <c r="DL402" s="57">
        <f>IFERROR($AE403/$AE402-1,"")</f>
        <v/>
      </c>
      <c r="DM402" s="56">
        <f>$AZ402-$AZ403</f>
        <v/>
      </c>
      <c r="DN402" s="56">
        <f>$BA402-$BA403</f>
        <v/>
      </c>
      <c r="DO402" s="56">
        <f>$BB402-$BB403</f>
        <v/>
      </c>
      <c r="DP402" s="56">
        <f>$BC402-$BC403</f>
        <v/>
      </c>
      <c r="DQ402" s="56">
        <f>$BD402-$BD403</f>
        <v/>
      </c>
      <c r="DR402" s="56">
        <f>$BE402-$BE403</f>
        <v/>
      </c>
      <c r="DS402" s="56">
        <f>$BF402-$BF403</f>
        <v/>
      </c>
      <c r="DT402" s="56">
        <f>$BG402-$BG403</f>
        <v/>
      </c>
      <c r="DU402" s="56">
        <f>$BH402-$BH403</f>
        <v/>
      </c>
      <c r="DV402" s="56">
        <f>$BI402-$BI403</f>
        <v/>
      </c>
      <c r="DW402" s="56">
        <f>$BJ402-$BJ403</f>
        <v/>
      </c>
      <c r="DX402" s="56">
        <f>$BK402-$BK403</f>
        <v/>
      </c>
      <c r="DY402" s="56">
        <f>$BL402-$BL403</f>
        <v/>
      </c>
      <c r="DZ402" s="56">
        <f>$BM402-$BM403</f>
        <v/>
      </c>
      <c r="EA402" s="56">
        <f>$BN402-$BN403</f>
        <v/>
      </c>
      <c r="EB402" s="56">
        <f>$BO402-$BO403</f>
        <v/>
      </c>
      <c r="EC402" s="56">
        <f>$BP402-$BP403</f>
        <v/>
      </c>
      <c r="ED402" s="56">
        <f>$BQ402-$BQ403</f>
        <v/>
      </c>
      <c r="EE402" s="56">
        <f>$BR402-$BR403</f>
        <v/>
      </c>
      <c r="EF402" s="56">
        <f>$BS402-$BS403</f>
        <v/>
      </c>
      <c r="EG402" s="56">
        <f>$BT402-$BT403</f>
        <v/>
      </c>
      <c r="EH402" s="56">
        <f>$BU402-$BU403</f>
        <v/>
      </c>
    </row>
    <row r="403">
      <c r="BV403" s="56">
        <f>($D403-$D404)*100</f>
        <v/>
      </c>
      <c r="BW403" s="56">
        <f>($C403-$C404)*100</f>
        <v/>
      </c>
      <c r="BX403" s="57">
        <f>IFERROR($I403/$I404-1,"")</f>
        <v/>
      </c>
      <c r="BY403" s="56">
        <f>($AF403-$AF404)*100</f>
        <v/>
      </c>
      <c r="BZ403" s="56">
        <f>($AG403-$AG404)*100</f>
        <v/>
      </c>
      <c r="CA403" s="56">
        <f>($AH403-$AH404)*100</f>
        <v/>
      </c>
      <c r="CB403" s="56">
        <f>($AI403-$AI404)*100</f>
        <v/>
      </c>
      <c r="CC403" s="56">
        <f>($AJ403-$AJ404)*100</f>
        <v/>
      </c>
      <c r="CD403" s="56">
        <f>($AK403-$AK404)*100</f>
        <v/>
      </c>
      <c r="CE403" s="56">
        <f>($AL403-$AL404)*100</f>
        <v/>
      </c>
      <c r="CF403" s="56">
        <f>($AM403-$AM404)*100</f>
        <v/>
      </c>
      <c r="CG403" s="56">
        <f>($AN403-$AN404)*100</f>
        <v/>
      </c>
      <c r="CH403" s="56">
        <f>($AO403-$AO404)*100</f>
        <v/>
      </c>
      <c r="CI403" s="56">
        <f>($AP403-$AP404)*100</f>
        <v/>
      </c>
      <c r="CJ403" s="56">
        <f>($AQ403-$AQ404)*100</f>
        <v/>
      </c>
      <c r="CK403" s="56">
        <f>($AR403-$AR404)*100</f>
        <v/>
      </c>
      <c r="CL403" s="56">
        <f>($AS403-$AS404)*100</f>
        <v/>
      </c>
      <c r="CM403" s="56">
        <f>($AT403-$AT404)*100</f>
        <v/>
      </c>
      <c r="CN403" s="56">
        <f>($AU403-$AU404)*100</f>
        <v/>
      </c>
      <c r="CO403" s="56">
        <f>($AV403-$AV404)*100</f>
        <v/>
      </c>
      <c r="CP403" s="56">
        <f>($AW403-$AW404)*100</f>
        <v/>
      </c>
      <c r="CQ403" s="56">
        <f>($AX403-$AX404)*100</f>
        <v/>
      </c>
      <c r="CR403" s="56">
        <f>($AY403-$AY404)*100</f>
        <v/>
      </c>
      <c r="CS403" s="57">
        <f>IFERROR($L404/$L403-1,"")</f>
        <v/>
      </c>
      <c r="CT403" s="57">
        <f>IFERROR($M404/$M403-1,"")</f>
        <v/>
      </c>
      <c r="CU403" s="57">
        <f>IFERROR($N404/$N403-1,"")</f>
        <v/>
      </c>
      <c r="CV403" s="57">
        <f>IFERROR($O404/$O403-1,"")</f>
        <v/>
      </c>
      <c r="CW403" s="57">
        <f>IFERROR($P404/$P403-1,"")</f>
        <v/>
      </c>
      <c r="CX403" s="57">
        <f>IFERROR($Q404/$Q403-1,"")</f>
        <v/>
      </c>
      <c r="CY403" s="57">
        <f>IFERROR($R404/$R403-1,"")</f>
        <v/>
      </c>
      <c r="CZ403" s="57">
        <f>IFERROR($S404/$S403-1,"")</f>
        <v/>
      </c>
      <c r="DA403" s="57">
        <f>IFERROR($T404/$T403-1,"")</f>
        <v/>
      </c>
      <c r="DB403" s="57">
        <f>IFERROR($U404/$U403-1,"")</f>
        <v/>
      </c>
      <c r="DC403" s="57">
        <f>IFERROR($V404/$V403-1,"")</f>
        <v/>
      </c>
      <c r="DD403" s="57">
        <f>IFERROR($W404/$W403-1,"")</f>
        <v/>
      </c>
      <c r="DE403" s="57">
        <f>IFERROR($X404/$X403-1,"")</f>
        <v/>
      </c>
      <c r="DF403" s="57">
        <f>IFERROR($Y404/$Y403-1,"")</f>
        <v/>
      </c>
      <c r="DG403" s="57">
        <f>IFERROR($Z404/$Z403-1,"")</f>
        <v/>
      </c>
      <c r="DH403" s="57">
        <f>IFERROR($AA404/$AA403-1,"")</f>
        <v/>
      </c>
      <c r="DI403" s="57">
        <f>IFERROR($AB404/$AB403-1,"")</f>
        <v/>
      </c>
      <c r="DJ403" s="57">
        <f>IFERROR($AC404/$AC403-1,"")</f>
        <v/>
      </c>
      <c r="DK403" s="57">
        <f>IFERROR($AD404/$AD403-1,"")</f>
        <v/>
      </c>
      <c r="DL403" s="57">
        <f>IFERROR($AE404/$AE403-1,"")</f>
        <v/>
      </c>
      <c r="DM403" s="56">
        <f>$AZ403-$AZ404</f>
        <v/>
      </c>
      <c r="DN403" s="56">
        <f>$BA403-$BA404</f>
        <v/>
      </c>
      <c r="DO403" s="56">
        <f>$BB403-$BB404</f>
        <v/>
      </c>
      <c r="DP403" s="56">
        <f>$BC403-$BC404</f>
        <v/>
      </c>
      <c r="DQ403" s="56">
        <f>$BD403-$BD404</f>
        <v/>
      </c>
      <c r="DR403" s="56">
        <f>$BE403-$BE404</f>
        <v/>
      </c>
      <c r="DS403" s="56">
        <f>$BF403-$BF404</f>
        <v/>
      </c>
      <c r="DT403" s="56">
        <f>$BG403-$BG404</f>
        <v/>
      </c>
      <c r="DU403" s="56">
        <f>$BH403-$BH404</f>
        <v/>
      </c>
      <c r="DV403" s="56">
        <f>$BI403-$BI404</f>
        <v/>
      </c>
      <c r="DW403" s="56">
        <f>$BJ403-$BJ404</f>
        <v/>
      </c>
      <c r="DX403" s="56">
        <f>$BK403-$BK404</f>
        <v/>
      </c>
      <c r="DY403" s="56">
        <f>$BL403-$BL404</f>
        <v/>
      </c>
      <c r="DZ403" s="56">
        <f>$BM403-$BM404</f>
        <v/>
      </c>
      <c r="EA403" s="56">
        <f>$BN403-$BN404</f>
        <v/>
      </c>
      <c r="EB403" s="56">
        <f>$BO403-$BO404</f>
        <v/>
      </c>
      <c r="EC403" s="56">
        <f>$BP403-$BP404</f>
        <v/>
      </c>
      <c r="ED403" s="56">
        <f>$BQ403-$BQ404</f>
        <v/>
      </c>
      <c r="EE403" s="56">
        <f>$BR403-$BR404</f>
        <v/>
      </c>
      <c r="EF403" s="56">
        <f>$BS403-$BS404</f>
        <v/>
      </c>
      <c r="EG403" s="56">
        <f>$BT403-$BT404</f>
        <v/>
      </c>
      <c r="EH403" s="56">
        <f>$BU403-$BU404</f>
        <v/>
      </c>
    </row>
    <row r="404">
      <c r="BV404" s="56">
        <f>($D404-$D405)*100</f>
        <v/>
      </c>
      <c r="BW404" s="56">
        <f>($C404-$C405)*100</f>
        <v/>
      </c>
      <c r="BX404" s="57">
        <f>IFERROR($I404/$I405-1,"")</f>
        <v/>
      </c>
      <c r="BY404" s="56">
        <f>($AF404-$AF405)*100</f>
        <v/>
      </c>
      <c r="BZ404" s="56">
        <f>($AG404-$AG405)*100</f>
        <v/>
      </c>
      <c r="CA404" s="56">
        <f>($AH404-$AH405)*100</f>
        <v/>
      </c>
      <c r="CB404" s="56">
        <f>($AI404-$AI405)*100</f>
        <v/>
      </c>
      <c r="CC404" s="56">
        <f>($AJ404-$AJ405)*100</f>
        <v/>
      </c>
      <c r="CD404" s="56">
        <f>($AK404-$AK405)*100</f>
        <v/>
      </c>
      <c r="CE404" s="56">
        <f>($AL404-$AL405)*100</f>
        <v/>
      </c>
      <c r="CF404" s="56">
        <f>($AM404-$AM405)*100</f>
        <v/>
      </c>
      <c r="CG404" s="56">
        <f>($AN404-$AN405)*100</f>
        <v/>
      </c>
      <c r="CH404" s="56">
        <f>($AO404-$AO405)*100</f>
        <v/>
      </c>
      <c r="CI404" s="56">
        <f>($AP404-$AP405)*100</f>
        <v/>
      </c>
      <c r="CJ404" s="56">
        <f>($AQ404-$AQ405)*100</f>
        <v/>
      </c>
      <c r="CK404" s="56">
        <f>($AR404-$AR405)*100</f>
        <v/>
      </c>
      <c r="CL404" s="56">
        <f>($AS404-$AS405)*100</f>
        <v/>
      </c>
      <c r="CM404" s="56">
        <f>($AT404-$AT405)*100</f>
        <v/>
      </c>
      <c r="CN404" s="56">
        <f>($AU404-$AU405)*100</f>
        <v/>
      </c>
      <c r="CO404" s="56">
        <f>($AV404-$AV405)*100</f>
        <v/>
      </c>
      <c r="CP404" s="56">
        <f>($AW404-$AW405)*100</f>
        <v/>
      </c>
      <c r="CQ404" s="56">
        <f>($AX404-$AX405)*100</f>
        <v/>
      </c>
      <c r="CR404" s="56">
        <f>($AY404-$AY405)*100</f>
        <v/>
      </c>
      <c r="CS404" s="57">
        <f>IFERROR($L405/$L404-1,"")</f>
        <v/>
      </c>
      <c r="CT404" s="57">
        <f>IFERROR($M405/$M404-1,"")</f>
        <v/>
      </c>
      <c r="CU404" s="57">
        <f>IFERROR($N405/$N404-1,"")</f>
        <v/>
      </c>
      <c r="CV404" s="57">
        <f>IFERROR($O405/$O404-1,"")</f>
        <v/>
      </c>
      <c r="CW404" s="57">
        <f>IFERROR($P405/$P404-1,"")</f>
        <v/>
      </c>
      <c r="CX404" s="57">
        <f>IFERROR($Q405/$Q404-1,"")</f>
        <v/>
      </c>
      <c r="CY404" s="57">
        <f>IFERROR($R405/$R404-1,"")</f>
        <v/>
      </c>
      <c r="CZ404" s="57">
        <f>IFERROR($S405/$S404-1,"")</f>
        <v/>
      </c>
      <c r="DA404" s="57">
        <f>IFERROR($T405/$T404-1,"")</f>
        <v/>
      </c>
      <c r="DB404" s="57">
        <f>IFERROR($U405/$U404-1,"")</f>
        <v/>
      </c>
      <c r="DC404" s="57">
        <f>IFERROR($V405/$V404-1,"")</f>
        <v/>
      </c>
      <c r="DD404" s="57">
        <f>IFERROR($W405/$W404-1,"")</f>
        <v/>
      </c>
      <c r="DE404" s="57">
        <f>IFERROR($X405/$X404-1,"")</f>
        <v/>
      </c>
      <c r="DF404" s="57">
        <f>IFERROR($Y405/$Y404-1,"")</f>
        <v/>
      </c>
      <c r="DG404" s="57">
        <f>IFERROR($Z405/$Z404-1,"")</f>
        <v/>
      </c>
      <c r="DH404" s="57">
        <f>IFERROR($AA405/$AA404-1,"")</f>
        <v/>
      </c>
      <c r="DI404" s="57">
        <f>IFERROR($AB405/$AB404-1,"")</f>
        <v/>
      </c>
      <c r="DJ404" s="57">
        <f>IFERROR($AC405/$AC404-1,"")</f>
        <v/>
      </c>
      <c r="DK404" s="57">
        <f>IFERROR($AD405/$AD404-1,"")</f>
        <v/>
      </c>
      <c r="DL404" s="57">
        <f>IFERROR($AE405/$AE404-1,"")</f>
        <v/>
      </c>
      <c r="DM404" s="56">
        <f>$AZ404-$AZ405</f>
        <v/>
      </c>
      <c r="DN404" s="56">
        <f>$BA404-$BA405</f>
        <v/>
      </c>
      <c r="DO404" s="56">
        <f>$BB404-$BB405</f>
        <v/>
      </c>
      <c r="DP404" s="56">
        <f>$BC404-$BC405</f>
        <v/>
      </c>
      <c r="DQ404" s="56">
        <f>$BD404-$BD405</f>
        <v/>
      </c>
      <c r="DR404" s="56">
        <f>$BE404-$BE405</f>
        <v/>
      </c>
      <c r="DS404" s="56">
        <f>$BF404-$BF405</f>
        <v/>
      </c>
      <c r="DT404" s="56">
        <f>$BG404-$BG405</f>
        <v/>
      </c>
      <c r="DU404" s="56">
        <f>$BH404-$BH405</f>
        <v/>
      </c>
      <c r="DV404" s="56">
        <f>$BI404-$BI405</f>
        <v/>
      </c>
      <c r="DW404" s="56">
        <f>$BJ404-$BJ405</f>
        <v/>
      </c>
      <c r="DX404" s="56">
        <f>$BK404-$BK405</f>
        <v/>
      </c>
      <c r="DY404" s="56">
        <f>$BL404-$BL405</f>
        <v/>
      </c>
      <c r="DZ404" s="56">
        <f>$BM404-$BM405</f>
        <v/>
      </c>
      <c r="EA404" s="56">
        <f>$BN404-$BN405</f>
        <v/>
      </c>
      <c r="EB404" s="56">
        <f>$BO404-$BO405</f>
        <v/>
      </c>
      <c r="EC404" s="56">
        <f>$BP404-$BP405</f>
        <v/>
      </c>
      <c r="ED404" s="56">
        <f>$BQ404-$BQ405</f>
        <v/>
      </c>
      <c r="EE404" s="56">
        <f>$BR404-$BR405</f>
        <v/>
      </c>
      <c r="EF404" s="56">
        <f>$BS404-$BS405</f>
        <v/>
      </c>
      <c r="EG404" s="56">
        <f>$BT404-$BT405</f>
        <v/>
      </c>
      <c r="EH404" s="56">
        <f>$BU404-$BU405</f>
        <v/>
      </c>
    </row>
    <row r="405">
      <c r="BV405" s="56">
        <f>($D405-$D406)*100</f>
        <v/>
      </c>
      <c r="BW405" s="56">
        <f>($C405-$C406)*100</f>
        <v/>
      </c>
      <c r="BX405" s="57">
        <f>IFERROR($I405/$I406-1,"")</f>
        <v/>
      </c>
      <c r="BY405" s="56">
        <f>($AF405-$AF406)*100</f>
        <v/>
      </c>
      <c r="BZ405" s="56">
        <f>($AG405-$AG406)*100</f>
        <v/>
      </c>
      <c r="CA405" s="56">
        <f>($AH405-$AH406)*100</f>
        <v/>
      </c>
      <c r="CB405" s="56">
        <f>($AI405-$AI406)*100</f>
        <v/>
      </c>
      <c r="CC405" s="56">
        <f>($AJ405-$AJ406)*100</f>
        <v/>
      </c>
      <c r="CD405" s="56">
        <f>($AK405-$AK406)*100</f>
        <v/>
      </c>
      <c r="CE405" s="56">
        <f>($AL405-$AL406)*100</f>
        <v/>
      </c>
      <c r="CF405" s="56">
        <f>($AM405-$AM406)*100</f>
        <v/>
      </c>
      <c r="CG405" s="56">
        <f>($AN405-$AN406)*100</f>
        <v/>
      </c>
      <c r="CH405" s="56">
        <f>($AO405-$AO406)*100</f>
        <v/>
      </c>
      <c r="CI405" s="56">
        <f>($AP405-$AP406)*100</f>
        <v/>
      </c>
      <c r="CJ405" s="56">
        <f>($AQ405-$AQ406)*100</f>
        <v/>
      </c>
      <c r="CK405" s="56">
        <f>($AR405-$AR406)*100</f>
        <v/>
      </c>
      <c r="CL405" s="56">
        <f>($AS405-$AS406)*100</f>
        <v/>
      </c>
      <c r="CM405" s="56">
        <f>($AT405-$AT406)*100</f>
        <v/>
      </c>
      <c r="CN405" s="56">
        <f>($AU405-$AU406)*100</f>
        <v/>
      </c>
      <c r="CO405" s="56">
        <f>($AV405-$AV406)*100</f>
        <v/>
      </c>
      <c r="CP405" s="56">
        <f>($AW405-$AW406)*100</f>
        <v/>
      </c>
      <c r="CQ405" s="56">
        <f>($AX405-$AX406)*100</f>
        <v/>
      </c>
      <c r="CR405" s="56">
        <f>($AY405-$AY406)*100</f>
        <v/>
      </c>
      <c r="CS405" s="57">
        <f>IFERROR($L406/$L405-1,"")</f>
        <v/>
      </c>
      <c r="CT405" s="57">
        <f>IFERROR($M406/$M405-1,"")</f>
        <v/>
      </c>
      <c r="CU405" s="57">
        <f>IFERROR($N406/$N405-1,"")</f>
        <v/>
      </c>
      <c r="CV405" s="57">
        <f>IFERROR($O406/$O405-1,"")</f>
        <v/>
      </c>
      <c r="CW405" s="57">
        <f>IFERROR($P406/$P405-1,"")</f>
        <v/>
      </c>
      <c r="CX405" s="57">
        <f>IFERROR($Q406/$Q405-1,"")</f>
        <v/>
      </c>
      <c r="CY405" s="57">
        <f>IFERROR($R406/$R405-1,"")</f>
        <v/>
      </c>
      <c r="CZ405" s="57">
        <f>IFERROR($S406/$S405-1,"")</f>
        <v/>
      </c>
      <c r="DA405" s="57">
        <f>IFERROR($T406/$T405-1,"")</f>
        <v/>
      </c>
      <c r="DB405" s="57">
        <f>IFERROR($U406/$U405-1,"")</f>
        <v/>
      </c>
      <c r="DC405" s="57">
        <f>IFERROR($V406/$V405-1,"")</f>
        <v/>
      </c>
      <c r="DD405" s="57">
        <f>IFERROR($W406/$W405-1,"")</f>
        <v/>
      </c>
      <c r="DE405" s="57">
        <f>IFERROR($X406/$X405-1,"")</f>
        <v/>
      </c>
      <c r="DF405" s="57">
        <f>IFERROR($Y406/$Y405-1,"")</f>
        <v/>
      </c>
      <c r="DG405" s="57">
        <f>IFERROR($Z406/$Z405-1,"")</f>
        <v/>
      </c>
      <c r="DH405" s="57">
        <f>IFERROR($AA406/$AA405-1,"")</f>
        <v/>
      </c>
      <c r="DI405" s="57">
        <f>IFERROR($AB406/$AB405-1,"")</f>
        <v/>
      </c>
      <c r="DJ405" s="57">
        <f>IFERROR($AC406/$AC405-1,"")</f>
        <v/>
      </c>
      <c r="DK405" s="57">
        <f>IFERROR($AD406/$AD405-1,"")</f>
        <v/>
      </c>
      <c r="DL405" s="57">
        <f>IFERROR($AE406/$AE405-1,"")</f>
        <v/>
      </c>
      <c r="DM405" s="56">
        <f>$AZ405-$AZ406</f>
        <v/>
      </c>
      <c r="DN405" s="56">
        <f>$BA405-$BA406</f>
        <v/>
      </c>
      <c r="DO405" s="56">
        <f>$BB405-$BB406</f>
        <v/>
      </c>
      <c r="DP405" s="56">
        <f>$BC405-$BC406</f>
        <v/>
      </c>
      <c r="DQ405" s="56">
        <f>$BD405-$BD406</f>
        <v/>
      </c>
      <c r="DR405" s="56">
        <f>$BE405-$BE406</f>
        <v/>
      </c>
      <c r="DS405" s="56">
        <f>$BF405-$BF406</f>
        <v/>
      </c>
      <c r="DT405" s="56">
        <f>$BG405-$BG406</f>
        <v/>
      </c>
      <c r="DU405" s="56">
        <f>$BH405-$BH406</f>
        <v/>
      </c>
      <c r="DV405" s="56">
        <f>$BI405-$BI406</f>
        <v/>
      </c>
      <c r="DW405" s="56">
        <f>$BJ405-$BJ406</f>
        <v/>
      </c>
      <c r="DX405" s="56">
        <f>$BK405-$BK406</f>
        <v/>
      </c>
      <c r="DY405" s="56">
        <f>$BL405-$BL406</f>
        <v/>
      </c>
      <c r="DZ405" s="56">
        <f>$BM405-$BM406</f>
        <v/>
      </c>
      <c r="EA405" s="56">
        <f>$BN405-$BN406</f>
        <v/>
      </c>
      <c r="EB405" s="56">
        <f>$BO405-$BO406</f>
        <v/>
      </c>
      <c r="EC405" s="56">
        <f>$BP405-$BP406</f>
        <v/>
      </c>
      <c r="ED405" s="56">
        <f>$BQ405-$BQ406</f>
        <v/>
      </c>
      <c r="EE405" s="56">
        <f>$BR405-$BR406</f>
        <v/>
      </c>
      <c r="EF405" s="56">
        <f>$BS405-$BS406</f>
        <v/>
      </c>
      <c r="EG405" s="56">
        <f>$BT405-$BT406</f>
        <v/>
      </c>
      <c r="EH405" s="56">
        <f>$BU405-$BU406</f>
        <v/>
      </c>
    </row>
    <row r="406">
      <c r="BV406" s="56">
        <f>($D406-$D407)*100</f>
        <v/>
      </c>
      <c r="BW406" s="56">
        <f>($C406-$C407)*100</f>
        <v/>
      </c>
      <c r="BX406" s="57">
        <f>IFERROR($I406/$I407-1,"")</f>
        <v/>
      </c>
      <c r="BY406" s="56">
        <f>($AF406-$AF407)*100</f>
        <v/>
      </c>
      <c r="BZ406" s="56">
        <f>($AG406-$AG407)*100</f>
        <v/>
      </c>
      <c r="CA406" s="56">
        <f>($AH406-$AH407)*100</f>
        <v/>
      </c>
      <c r="CB406" s="56">
        <f>($AI406-$AI407)*100</f>
        <v/>
      </c>
      <c r="CC406" s="56">
        <f>($AJ406-$AJ407)*100</f>
        <v/>
      </c>
      <c r="CD406" s="56">
        <f>($AK406-$AK407)*100</f>
        <v/>
      </c>
      <c r="CE406" s="56">
        <f>($AL406-$AL407)*100</f>
        <v/>
      </c>
      <c r="CF406" s="56">
        <f>($AM406-$AM407)*100</f>
        <v/>
      </c>
      <c r="CG406" s="56">
        <f>($AN406-$AN407)*100</f>
        <v/>
      </c>
      <c r="CH406" s="56">
        <f>($AO406-$AO407)*100</f>
        <v/>
      </c>
      <c r="CI406" s="56">
        <f>($AP406-$AP407)*100</f>
        <v/>
      </c>
      <c r="CJ406" s="56">
        <f>($AQ406-$AQ407)*100</f>
        <v/>
      </c>
      <c r="CK406" s="56">
        <f>($AR406-$AR407)*100</f>
        <v/>
      </c>
      <c r="CL406" s="56">
        <f>($AS406-$AS407)*100</f>
        <v/>
      </c>
      <c r="CM406" s="56">
        <f>($AT406-$AT407)*100</f>
        <v/>
      </c>
      <c r="CN406" s="56">
        <f>($AU406-$AU407)*100</f>
        <v/>
      </c>
      <c r="CO406" s="56">
        <f>($AV406-$AV407)*100</f>
        <v/>
      </c>
      <c r="CP406" s="56">
        <f>($AW406-$AW407)*100</f>
        <v/>
      </c>
      <c r="CQ406" s="56">
        <f>($AX406-$AX407)*100</f>
        <v/>
      </c>
      <c r="CR406" s="56">
        <f>($AY406-$AY407)*100</f>
        <v/>
      </c>
      <c r="CS406" s="57">
        <f>IFERROR($L407/$L406-1,"")</f>
        <v/>
      </c>
      <c r="CT406" s="57">
        <f>IFERROR($M407/$M406-1,"")</f>
        <v/>
      </c>
      <c r="CU406" s="57">
        <f>IFERROR($N407/$N406-1,"")</f>
        <v/>
      </c>
      <c r="CV406" s="57">
        <f>IFERROR($O407/$O406-1,"")</f>
        <v/>
      </c>
      <c r="CW406" s="57">
        <f>IFERROR($P407/$P406-1,"")</f>
        <v/>
      </c>
      <c r="CX406" s="57">
        <f>IFERROR($Q407/$Q406-1,"")</f>
        <v/>
      </c>
      <c r="CY406" s="57">
        <f>IFERROR($R407/$R406-1,"")</f>
        <v/>
      </c>
      <c r="CZ406" s="57">
        <f>IFERROR($S407/$S406-1,"")</f>
        <v/>
      </c>
      <c r="DA406" s="57">
        <f>IFERROR($T407/$T406-1,"")</f>
        <v/>
      </c>
      <c r="DB406" s="57">
        <f>IFERROR($U407/$U406-1,"")</f>
        <v/>
      </c>
      <c r="DC406" s="57">
        <f>IFERROR($V407/$V406-1,"")</f>
        <v/>
      </c>
      <c r="DD406" s="57">
        <f>IFERROR($W407/$W406-1,"")</f>
        <v/>
      </c>
      <c r="DE406" s="57">
        <f>IFERROR($X407/$X406-1,"")</f>
        <v/>
      </c>
      <c r="DF406" s="57">
        <f>IFERROR($Y407/$Y406-1,"")</f>
        <v/>
      </c>
      <c r="DG406" s="57">
        <f>IFERROR($Z407/$Z406-1,"")</f>
        <v/>
      </c>
      <c r="DH406" s="57">
        <f>IFERROR($AA407/$AA406-1,"")</f>
        <v/>
      </c>
      <c r="DI406" s="57">
        <f>IFERROR($AB407/$AB406-1,"")</f>
        <v/>
      </c>
      <c r="DJ406" s="57">
        <f>IFERROR($AC407/$AC406-1,"")</f>
        <v/>
      </c>
      <c r="DK406" s="57">
        <f>IFERROR($AD407/$AD406-1,"")</f>
        <v/>
      </c>
      <c r="DL406" s="57">
        <f>IFERROR($AE407/$AE406-1,"")</f>
        <v/>
      </c>
      <c r="DM406" s="56">
        <f>$AZ406-$AZ407</f>
        <v/>
      </c>
      <c r="DN406" s="56">
        <f>$BA406-$BA407</f>
        <v/>
      </c>
      <c r="DO406" s="56">
        <f>$BB406-$BB407</f>
        <v/>
      </c>
      <c r="DP406" s="56">
        <f>$BC406-$BC407</f>
        <v/>
      </c>
      <c r="DQ406" s="56">
        <f>$BD406-$BD407</f>
        <v/>
      </c>
      <c r="DR406" s="56">
        <f>$BE406-$BE407</f>
        <v/>
      </c>
      <c r="DS406" s="56">
        <f>$BF406-$BF407</f>
        <v/>
      </c>
      <c r="DT406" s="56">
        <f>$BG406-$BG407</f>
        <v/>
      </c>
      <c r="DU406" s="56">
        <f>$BH406-$BH407</f>
        <v/>
      </c>
      <c r="DV406" s="56">
        <f>$BI406-$BI407</f>
        <v/>
      </c>
      <c r="DW406" s="56">
        <f>$BJ406-$BJ407</f>
        <v/>
      </c>
      <c r="DX406" s="56">
        <f>$BK406-$BK407</f>
        <v/>
      </c>
      <c r="DY406" s="56">
        <f>$BL406-$BL407</f>
        <v/>
      </c>
      <c r="DZ406" s="56">
        <f>$BM406-$BM407</f>
        <v/>
      </c>
      <c r="EA406" s="56">
        <f>$BN406-$BN407</f>
        <v/>
      </c>
      <c r="EB406" s="56">
        <f>$BO406-$BO407</f>
        <v/>
      </c>
      <c r="EC406" s="56">
        <f>$BP406-$BP407</f>
        <v/>
      </c>
      <c r="ED406" s="56">
        <f>$BQ406-$BQ407</f>
        <v/>
      </c>
      <c r="EE406" s="56">
        <f>$BR406-$BR407</f>
        <v/>
      </c>
      <c r="EF406" s="56">
        <f>$BS406-$BS407</f>
        <v/>
      </c>
      <c r="EG406" s="56">
        <f>$BT406-$BT407</f>
        <v/>
      </c>
      <c r="EH406" s="56">
        <f>$BU406-$BU407</f>
        <v/>
      </c>
    </row>
    <row r="407">
      <c r="BV407" s="56">
        <f>($D407-$D408)*100</f>
        <v/>
      </c>
      <c r="BW407" s="56">
        <f>($C407-$C408)*100</f>
        <v/>
      </c>
      <c r="BX407" s="57">
        <f>IFERROR($I407/$I408-1,"")</f>
        <v/>
      </c>
      <c r="BY407" s="56">
        <f>($AF407-$AF408)*100</f>
        <v/>
      </c>
      <c r="BZ407" s="56">
        <f>($AG407-$AG408)*100</f>
        <v/>
      </c>
      <c r="CA407" s="56">
        <f>($AH407-$AH408)*100</f>
        <v/>
      </c>
      <c r="CB407" s="56">
        <f>($AI407-$AI408)*100</f>
        <v/>
      </c>
      <c r="CC407" s="56">
        <f>($AJ407-$AJ408)*100</f>
        <v/>
      </c>
      <c r="CD407" s="56">
        <f>($AK407-$AK408)*100</f>
        <v/>
      </c>
      <c r="CE407" s="56">
        <f>($AL407-$AL408)*100</f>
        <v/>
      </c>
      <c r="CF407" s="56">
        <f>($AM407-$AM408)*100</f>
        <v/>
      </c>
      <c r="CG407" s="56">
        <f>($AN407-$AN408)*100</f>
        <v/>
      </c>
      <c r="CH407" s="56">
        <f>($AO407-$AO408)*100</f>
        <v/>
      </c>
      <c r="CI407" s="56">
        <f>($AP407-$AP408)*100</f>
        <v/>
      </c>
      <c r="CJ407" s="56">
        <f>($AQ407-$AQ408)*100</f>
        <v/>
      </c>
      <c r="CK407" s="56">
        <f>($AR407-$AR408)*100</f>
        <v/>
      </c>
      <c r="CL407" s="56">
        <f>($AS407-$AS408)*100</f>
        <v/>
      </c>
      <c r="CM407" s="56">
        <f>($AT407-$AT408)*100</f>
        <v/>
      </c>
      <c r="CN407" s="56">
        <f>($AU407-$AU408)*100</f>
        <v/>
      </c>
      <c r="CO407" s="56">
        <f>($AV407-$AV408)*100</f>
        <v/>
      </c>
      <c r="CP407" s="56">
        <f>($AW407-$AW408)*100</f>
        <v/>
      </c>
      <c r="CQ407" s="56">
        <f>($AX407-$AX408)*100</f>
        <v/>
      </c>
      <c r="CR407" s="56">
        <f>($AY407-$AY408)*100</f>
        <v/>
      </c>
      <c r="CS407" s="57">
        <f>IFERROR($L408/$L407-1,"")</f>
        <v/>
      </c>
      <c r="CT407" s="57">
        <f>IFERROR($M408/$M407-1,"")</f>
        <v/>
      </c>
      <c r="CU407" s="57">
        <f>IFERROR($N408/$N407-1,"")</f>
        <v/>
      </c>
      <c r="CV407" s="57">
        <f>IFERROR($O408/$O407-1,"")</f>
        <v/>
      </c>
      <c r="CW407" s="57">
        <f>IFERROR($P408/$P407-1,"")</f>
        <v/>
      </c>
      <c r="CX407" s="57">
        <f>IFERROR($Q408/$Q407-1,"")</f>
        <v/>
      </c>
      <c r="CY407" s="57">
        <f>IFERROR($R408/$R407-1,"")</f>
        <v/>
      </c>
      <c r="CZ407" s="57">
        <f>IFERROR($S408/$S407-1,"")</f>
        <v/>
      </c>
      <c r="DA407" s="57">
        <f>IFERROR($T408/$T407-1,"")</f>
        <v/>
      </c>
      <c r="DB407" s="57">
        <f>IFERROR($U408/$U407-1,"")</f>
        <v/>
      </c>
      <c r="DC407" s="57">
        <f>IFERROR($V408/$V407-1,"")</f>
        <v/>
      </c>
      <c r="DD407" s="57">
        <f>IFERROR($W408/$W407-1,"")</f>
        <v/>
      </c>
      <c r="DE407" s="57">
        <f>IFERROR($X408/$X407-1,"")</f>
        <v/>
      </c>
      <c r="DF407" s="57">
        <f>IFERROR($Y408/$Y407-1,"")</f>
        <v/>
      </c>
      <c r="DG407" s="57">
        <f>IFERROR($Z408/$Z407-1,"")</f>
        <v/>
      </c>
      <c r="DH407" s="57">
        <f>IFERROR($AA408/$AA407-1,"")</f>
        <v/>
      </c>
      <c r="DI407" s="57">
        <f>IFERROR($AB408/$AB407-1,"")</f>
        <v/>
      </c>
      <c r="DJ407" s="57">
        <f>IFERROR($AC408/$AC407-1,"")</f>
        <v/>
      </c>
      <c r="DK407" s="57">
        <f>IFERROR($AD408/$AD407-1,"")</f>
        <v/>
      </c>
      <c r="DL407" s="57">
        <f>IFERROR($AE408/$AE407-1,"")</f>
        <v/>
      </c>
      <c r="DM407" s="56">
        <f>$AZ407-$AZ408</f>
        <v/>
      </c>
      <c r="DN407" s="56">
        <f>$BA407-$BA408</f>
        <v/>
      </c>
      <c r="DO407" s="56">
        <f>$BB407-$BB408</f>
        <v/>
      </c>
      <c r="DP407" s="56">
        <f>$BC407-$BC408</f>
        <v/>
      </c>
      <c r="DQ407" s="56">
        <f>$BD407-$BD408</f>
        <v/>
      </c>
      <c r="DR407" s="56">
        <f>$BE407-$BE408</f>
        <v/>
      </c>
      <c r="DS407" s="56">
        <f>$BF407-$BF408</f>
        <v/>
      </c>
      <c r="DT407" s="56">
        <f>$BG407-$BG408</f>
        <v/>
      </c>
      <c r="DU407" s="56">
        <f>$BH407-$BH408</f>
        <v/>
      </c>
      <c r="DV407" s="56">
        <f>$BI407-$BI408</f>
        <v/>
      </c>
      <c r="DW407" s="56">
        <f>$BJ407-$BJ408</f>
        <v/>
      </c>
      <c r="DX407" s="56">
        <f>$BK407-$BK408</f>
        <v/>
      </c>
      <c r="DY407" s="56">
        <f>$BL407-$BL408</f>
        <v/>
      </c>
      <c r="DZ407" s="56">
        <f>$BM407-$BM408</f>
        <v/>
      </c>
      <c r="EA407" s="56">
        <f>$BN407-$BN408</f>
        <v/>
      </c>
      <c r="EB407" s="56">
        <f>$BO407-$BO408</f>
        <v/>
      </c>
      <c r="EC407" s="56">
        <f>$BP407-$BP408</f>
        <v/>
      </c>
      <c r="ED407" s="56">
        <f>$BQ407-$BQ408</f>
        <v/>
      </c>
      <c r="EE407" s="56">
        <f>$BR407-$BR408</f>
        <v/>
      </c>
      <c r="EF407" s="56">
        <f>$BS407-$BS408</f>
        <v/>
      </c>
      <c r="EG407" s="56">
        <f>$BT407-$BT408</f>
        <v/>
      </c>
      <c r="EH407" s="56">
        <f>$BU407-$BU408</f>
        <v/>
      </c>
    </row>
    <row r="408">
      <c r="BV408" s="56">
        <f>($D408-$D409)*100</f>
        <v/>
      </c>
      <c r="BW408" s="56">
        <f>($C408-$C409)*100</f>
        <v/>
      </c>
      <c r="BX408" s="57">
        <f>IFERROR($I408/$I409-1,"")</f>
        <v/>
      </c>
      <c r="BY408" s="56">
        <f>($AF408-$AF409)*100</f>
        <v/>
      </c>
      <c r="BZ408" s="56">
        <f>($AG408-$AG409)*100</f>
        <v/>
      </c>
      <c r="CA408" s="56">
        <f>($AH408-$AH409)*100</f>
        <v/>
      </c>
      <c r="CB408" s="56">
        <f>($AI408-$AI409)*100</f>
        <v/>
      </c>
      <c r="CC408" s="56">
        <f>($AJ408-$AJ409)*100</f>
        <v/>
      </c>
      <c r="CD408" s="56">
        <f>($AK408-$AK409)*100</f>
        <v/>
      </c>
      <c r="CE408" s="56">
        <f>($AL408-$AL409)*100</f>
        <v/>
      </c>
      <c r="CF408" s="56">
        <f>($AM408-$AM409)*100</f>
        <v/>
      </c>
      <c r="CG408" s="56">
        <f>($AN408-$AN409)*100</f>
        <v/>
      </c>
      <c r="CH408" s="56">
        <f>($AO408-$AO409)*100</f>
        <v/>
      </c>
      <c r="CI408" s="56">
        <f>($AP408-$AP409)*100</f>
        <v/>
      </c>
      <c r="CJ408" s="56">
        <f>($AQ408-$AQ409)*100</f>
        <v/>
      </c>
      <c r="CK408" s="56">
        <f>($AR408-$AR409)*100</f>
        <v/>
      </c>
      <c r="CL408" s="56">
        <f>($AS408-$AS409)*100</f>
        <v/>
      </c>
      <c r="CM408" s="56">
        <f>($AT408-$AT409)*100</f>
        <v/>
      </c>
      <c r="CN408" s="56">
        <f>($AU408-$AU409)*100</f>
        <v/>
      </c>
      <c r="CO408" s="56">
        <f>($AV408-$AV409)*100</f>
        <v/>
      </c>
      <c r="CP408" s="56">
        <f>($AW408-$AW409)*100</f>
        <v/>
      </c>
      <c r="CQ408" s="56">
        <f>($AX408-$AX409)*100</f>
        <v/>
      </c>
      <c r="CR408" s="56">
        <f>($AY408-$AY409)*100</f>
        <v/>
      </c>
      <c r="CS408" s="57">
        <f>IFERROR($L409/$L408-1,"")</f>
        <v/>
      </c>
      <c r="CT408" s="57">
        <f>IFERROR($M409/$M408-1,"")</f>
        <v/>
      </c>
      <c r="CU408" s="57">
        <f>IFERROR($N409/$N408-1,"")</f>
        <v/>
      </c>
      <c r="CV408" s="57">
        <f>IFERROR($O409/$O408-1,"")</f>
        <v/>
      </c>
      <c r="CW408" s="57">
        <f>IFERROR($P409/$P408-1,"")</f>
        <v/>
      </c>
      <c r="CX408" s="57">
        <f>IFERROR($Q409/$Q408-1,"")</f>
        <v/>
      </c>
      <c r="CY408" s="57">
        <f>IFERROR($R409/$R408-1,"")</f>
        <v/>
      </c>
      <c r="CZ408" s="57">
        <f>IFERROR($S409/$S408-1,"")</f>
        <v/>
      </c>
      <c r="DA408" s="57">
        <f>IFERROR($T409/$T408-1,"")</f>
        <v/>
      </c>
      <c r="DB408" s="57">
        <f>IFERROR($U409/$U408-1,"")</f>
        <v/>
      </c>
      <c r="DC408" s="57">
        <f>IFERROR($V409/$V408-1,"")</f>
        <v/>
      </c>
      <c r="DD408" s="57">
        <f>IFERROR($W409/$W408-1,"")</f>
        <v/>
      </c>
      <c r="DE408" s="57">
        <f>IFERROR($X409/$X408-1,"")</f>
        <v/>
      </c>
      <c r="DF408" s="57">
        <f>IFERROR($Y409/$Y408-1,"")</f>
        <v/>
      </c>
      <c r="DG408" s="57">
        <f>IFERROR($Z409/$Z408-1,"")</f>
        <v/>
      </c>
      <c r="DH408" s="57">
        <f>IFERROR($AA409/$AA408-1,"")</f>
        <v/>
      </c>
      <c r="DI408" s="57">
        <f>IFERROR($AB409/$AB408-1,"")</f>
        <v/>
      </c>
      <c r="DJ408" s="57">
        <f>IFERROR($AC409/$AC408-1,"")</f>
        <v/>
      </c>
      <c r="DK408" s="57">
        <f>IFERROR($AD409/$AD408-1,"")</f>
        <v/>
      </c>
      <c r="DL408" s="57">
        <f>IFERROR($AE409/$AE408-1,"")</f>
        <v/>
      </c>
      <c r="DM408" s="56">
        <f>$AZ408-$AZ409</f>
        <v/>
      </c>
      <c r="DN408" s="56">
        <f>$BA408-$BA409</f>
        <v/>
      </c>
      <c r="DO408" s="56">
        <f>$BB408-$BB409</f>
        <v/>
      </c>
      <c r="DP408" s="56">
        <f>$BC408-$BC409</f>
        <v/>
      </c>
      <c r="DQ408" s="56">
        <f>$BD408-$BD409</f>
        <v/>
      </c>
      <c r="DR408" s="56">
        <f>$BE408-$BE409</f>
        <v/>
      </c>
      <c r="DS408" s="56">
        <f>$BF408-$BF409</f>
        <v/>
      </c>
      <c r="DT408" s="56">
        <f>$BG408-$BG409</f>
        <v/>
      </c>
      <c r="DU408" s="56">
        <f>$BH408-$BH409</f>
        <v/>
      </c>
      <c r="DV408" s="56">
        <f>$BI408-$BI409</f>
        <v/>
      </c>
      <c r="DW408" s="56">
        <f>$BJ408-$BJ409</f>
        <v/>
      </c>
      <c r="DX408" s="56">
        <f>$BK408-$BK409</f>
        <v/>
      </c>
      <c r="DY408" s="56">
        <f>$BL408-$BL409</f>
        <v/>
      </c>
      <c r="DZ408" s="56">
        <f>$BM408-$BM409</f>
        <v/>
      </c>
      <c r="EA408" s="56">
        <f>$BN408-$BN409</f>
        <v/>
      </c>
      <c r="EB408" s="56">
        <f>$BO408-$BO409</f>
        <v/>
      </c>
      <c r="EC408" s="56">
        <f>$BP408-$BP409</f>
        <v/>
      </c>
      <c r="ED408" s="56">
        <f>$BQ408-$BQ409</f>
        <v/>
      </c>
      <c r="EE408" s="56">
        <f>$BR408-$BR409</f>
        <v/>
      </c>
      <c r="EF408" s="56">
        <f>$BS408-$BS409</f>
        <v/>
      </c>
      <c r="EG408" s="56">
        <f>$BT408-$BT409</f>
        <v/>
      </c>
      <c r="EH408" s="56">
        <f>$BU408-$BU409</f>
        <v/>
      </c>
    </row>
    <row r="409">
      <c r="BV409" s="56">
        <f>($D409-$D410)*100</f>
        <v/>
      </c>
      <c r="BW409" s="56">
        <f>($C409-$C410)*100</f>
        <v/>
      </c>
      <c r="BX409" s="57">
        <f>IFERROR($I409/$I410-1,"")</f>
        <v/>
      </c>
      <c r="BY409" s="56">
        <f>($AF409-$AF410)*100</f>
        <v/>
      </c>
      <c r="BZ409" s="56">
        <f>($AG409-$AG410)*100</f>
        <v/>
      </c>
      <c r="CA409" s="56">
        <f>($AH409-$AH410)*100</f>
        <v/>
      </c>
      <c r="CB409" s="56">
        <f>($AI409-$AI410)*100</f>
        <v/>
      </c>
      <c r="CC409" s="56">
        <f>($AJ409-$AJ410)*100</f>
        <v/>
      </c>
      <c r="CD409" s="56">
        <f>($AK409-$AK410)*100</f>
        <v/>
      </c>
      <c r="CE409" s="56">
        <f>($AL409-$AL410)*100</f>
        <v/>
      </c>
      <c r="CF409" s="56">
        <f>($AM409-$AM410)*100</f>
        <v/>
      </c>
      <c r="CG409" s="56">
        <f>($AN409-$AN410)*100</f>
        <v/>
      </c>
      <c r="CH409" s="56">
        <f>($AO409-$AO410)*100</f>
        <v/>
      </c>
      <c r="CI409" s="56">
        <f>($AP409-$AP410)*100</f>
        <v/>
      </c>
      <c r="CJ409" s="56">
        <f>($AQ409-$AQ410)*100</f>
        <v/>
      </c>
      <c r="CK409" s="56">
        <f>($AR409-$AR410)*100</f>
        <v/>
      </c>
      <c r="CL409" s="56">
        <f>($AS409-$AS410)*100</f>
        <v/>
      </c>
      <c r="CM409" s="56">
        <f>($AT409-$AT410)*100</f>
        <v/>
      </c>
      <c r="CN409" s="56">
        <f>($AU409-$AU410)*100</f>
        <v/>
      </c>
      <c r="CO409" s="56">
        <f>($AV409-$AV410)*100</f>
        <v/>
      </c>
      <c r="CP409" s="56">
        <f>($AW409-$AW410)*100</f>
        <v/>
      </c>
      <c r="CQ409" s="56">
        <f>($AX409-$AX410)*100</f>
        <v/>
      </c>
      <c r="CR409" s="56">
        <f>($AY409-$AY410)*100</f>
        <v/>
      </c>
      <c r="CS409" s="57">
        <f>IFERROR($L410/$L409-1,"")</f>
        <v/>
      </c>
      <c r="CT409" s="57">
        <f>IFERROR($M410/$M409-1,"")</f>
        <v/>
      </c>
      <c r="CU409" s="57">
        <f>IFERROR($N410/$N409-1,"")</f>
        <v/>
      </c>
      <c r="CV409" s="57">
        <f>IFERROR($O410/$O409-1,"")</f>
        <v/>
      </c>
      <c r="CW409" s="57">
        <f>IFERROR($P410/$P409-1,"")</f>
        <v/>
      </c>
      <c r="CX409" s="57">
        <f>IFERROR($Q410/$Q409-1,"")</f>
        <v/>
      </c>
      <c r="CY409" s="57">
        <f>IFERROR($R410/$R409-1,"")</f>
        <v/>
      </c>
      <c r="CZ409" s="57">
        <f>IFERROR($S410/$S409-1,"")</f>
        <v/>
      </c>
      <c r="DA409" s="57">
        <f>IFERROR($T410/$T409-1,"")</f>
        <v/>
      </c>
      <c r="DB409" s="57">
        <f>IFERROR($U410/$U409-1,"")</f>
        <v/>
      </c>
      <c r="DC409" s="57">
        <f>IFERROR($V410/$V409-1,"")</f>
        <v/>
      </c>
      <c r="DD409" s="57">
        <f>IFERROR($W410/$W409-1,"")</f>
        <v/>
      </c>
      <c r="DE409" s="57">
        <f>IFERROR($X410/$X409-1,"")</f>
        <v/>
      </c>
      <c r="DF409" s="57">
        <f>IFERROR($Y410/$Y409-1,"")</f>
        <v/>
      </c>
      <c r="DG409" s="57">
        <f>IFERROR($Z410/$Z409-1,"")</f>
        <v/>
      </c>
      <c r="DH409" s="57">
        <f>IFERROR($AA410/$AA409-1,"")</f>
        <v/>
      </c>
      <c r="DI409" s="57">
        <f>IFERROR($AB410/$AB409-1,"")</f>
        <v/>
      </c>
      <c r="DJ409" s="57">
        <f>IFERROR($AC410/$AC409-1,"")</f>
        <v/>
      </c>
      <c r="DK409" s="57">
        <f>IFERROR($AD410/$AD409-1,"")</f>
        <v/>
      </c>
      <c r="DL409" s="57">
        <f>IFERROR($AE410/$AE409-1,"")</f>
        <v/>
      </c>
      <c r="DM409" s="56">
        <f>$AZ409-$AZ410</f>
        <v/>
      </c>
      <c r="DN409" s="56">
        <f>$BA409-$BA410</f>
        <v/>
      </c>
      <c r="DO409" s="56">
        <f>$BB409-$BB410</f>
        <v/>
      </c>
      <c r="DP409" s="56">
        <f>$BC409-$BC410</f>
        <v/>
      </c>
      <c r="DQ409" s="56">
        <f>$BD409-$BD410</f>
        <v/>
      </c>
      <c r="DR409" s="56">
        <f>$BE409-$BE410</f>
        <v/>
      </c>
      <c r="DS409" s="56">
        <f>$BF409-$BF410</f>
        <v/>
      </c>
      <c r="DT409" s="56">
        <f>$BG409-$BG410</f>
        <v/>
      </c>
      <c r="DU409" s="56">
        <f>$BH409-$BH410</f>
        <v/>
      </c>
      <c r="DV409" s="56">
        <f>$BI409-$BI410</f>
        <v/>
      </c>
      <c r="DW409" s="56">
        <f>$BJ409-$BJ410</f>
        <v/>
      </c>
      <c r="DX409" s="56">
        <f>$BK409-$BK410</f>
        <v/>
      </c>
      <c r="DY409" s="56">
        <f>$BL409-$BL410</f>
        <v/>
      </c>
      <c r="DZ409" s="56">
        <f>$BM409-$BM410</f>
        <v/>
      </c>
      <c r="EA409" s="56">
        <f>$BN409-$BN410</f>
        <v/>
      </c>
      <c r="EB409" s="56">
        <f>$BO409-$BO410</f>
        <v/>
      </c>
      <c r="EC409" s="56">
        <f>$BP409-$BP410</f>
        <v/>
      </c>
      <c r="ED409" s="56">
        <f>$BQ409-$BQ410</f>
        <v/>
      </c>
      <c r="EE409" s="56">
        <f>$BR409-$BR410</f>
        <v/>
      </c>
      <c r="EF409" s="56">
        <f>$BS409-$BS410</f>
        <v/>
      </c>
      <c r="EG409" s="56">
        <f>$BT409-$BT410</f>
        <v/>
      </c>
      <c r="EH409" s="56">
        <f>$BU409-$BU410</f>
        <v/>
      </c>
    </row>
    <row r="410">
      <c r="BV410" s="56">
        <f>($D410-$D411)*100</f>
        <v/>
      </c>
      <c r="BW410" s="56">
        <f>($C410-$C411)*100</f>
        <v/>
      </c>
      <c r="BX410" s="57">
        <f>IFERROR($I410/$I411-1,"")</f>
        <v/>
      </c>
      <c r="BY410" s="56">
        <f>($AF410-$AF411)*100</f>
        <v/>
      </c>
      <c r="BZ410" s="56">
        <f>($AG410-$AG411)*100</f>
        <v/>
      </c>
      <c r="CA410" s="56">
        <f>($AH410-$AH411)*100</f>
        <v/>
      </c>
      <c r="CB410" s="56">
        <f>($AI410-$AI411)*100</f>
        <v/>
      </c>
      <c r="CC410" s="56">
        <f>($AJ410-$AJ411)*100</f>
        <v/>
      </c>
      <c r="CD410" s="56">
        <f>($AK410-$AK411)*100</f>
        <v/>
      </c>
      <c r="CE410" s="56">
        <f>($AL410-$AL411)*100</f>
        <v/>
      </c>
      <c r="CF410" s="56">
        <f>($AM410-$AM411)*100</f>
        <v/>
      </c>
      <c r="CG410" s="56">
        <f>($AN410-$AN411)*100</f>
        <v/>
      </c>
      <c r="CH410" s="56">
        <f>($AO410-$AO411)*100</f>
        <v/>
      </c>
      <c r="CI410" s="56">
        <f>($AP410-$AP411)*100</f>
        <v/>
      </c>
      <c r="CJ410" s="56">
        <f>($AQ410-$AQ411)*100</f>
        <v/>
      </c>
      <c r="CK410" s="56">
        <f>($AR410-$AR411)*100</f>
        <v/>
      </c>
      <c r="CL410" s="56">
        <f>($AS410-$AS411)*100</f>
        <v/>
      </c>
      <c r="CM410" s="56">
        <f>($AT410-$AT411)*100</f>
        <v/>
      </c>
      <c r="CN410" s="56">
        <f>($AU410-$AU411)*100</f>
        <v/>
      </c>
      <c r="CO410" s="56">
        <f>($AV410-$AV411)*100</f>
        <v/>
      </c>
      <c r="CP410" s="56">
        <f>($AW410-$AW411)*100</f>
        <v/>
      </c>
      <c r="CQ410" s="56">
        <f>($AX410-$AX411)*100</f>
        <v/>
      </c>
      <c r="CR410" s="56">
        <f>($AY410-$AY411)*100</f>
        <v/>
      </c>
      <c r="CS410" s="57">
        <f>IFERROR($L411/$L410-1,"")</f>
        <v/>
      </c>
      <c r="CT410" s="57">
        <f>IFERROR($M411/$M410-1,"")</f>
        <v/>
      </c>
      <c r="CU410" s="57">
        <f>IFERROR($N411/$N410-1,"")</f>
        <v/>
      </c>
      <c r="CV410" s="57">
        <f>IFERROR($O411/$O410-1,"")</f>
        <v/>
      </c>
      <c r="CW410" s="57">
        <f>IFERROR($P411/$P410-1,"")</f>
        <v/>
      </c>
      <c r="CX410" s="57">
        <f>IFERROR($Q411/$Q410-1,"")</f>
        <v/>
      </c>
      <c r="CY410" s="57">
        <f>IFERROR($R411/$R410-1,"")</f>
        <v/>
      </c>
      <c r="CZ410" s="57">
        <f>IFERROR($S411/$S410-1,"")</f>
        <v/>
      </c>
      <c r="DA410" s="57">
        <f>IFERROR($T411/$T410-1,"")</f>
        <v/>
      </c>
      <c r="DB410" s="57">
        <f>IFERROR($U411/$U410-1,"")</f>
        <v/>
      </c>
      <c r="DC410" s="57">
        <f>IFERROR($V411/$V410-1,"")</f>
        <v/>
      </c>
      <c r="DD410" s="57">
        <f>IFERROR($W411/$W410-1,"")</f>
        <v/>
      </c>
      <c r="DE410" s="57">
        <f>IFERROR($X411/$X410-1,"")</f>
        <v/>
      </c>
      <c r="DF410" s="57">
        <f>IFERROR($Y411/$Y410-1,"")</f>
        <v/>
      </c>
      <c r="DG410" s="57">
        <f>IFERROR($Z411/$Z410-1,"")</f>
        <v/>
      </c>
      <c r="DH410" s="57">
        <f>IFERROR($AA411/$AA410-1,"")</f>
        <v/>
      </c>
      <c r="DI410" s="57">
        <f>IFERROR($AB411/$AB410-1,"")</f>
        <v/>
      </c>
      <c r="DJ410" s="57">
        <f>IFERROR($AC411/$AC410-1,"")</f>
        <v/>
      </c>
      <c r="DK410" s="57">
        <f>IFERROR($AD411/$AD410-1,"")</f>
        <v/>
      </c>
      <c r="DL410" s="57">
        <f>IFERROR($AE411/$AE410-1,"")</f>
        <v/>
      </c>
      <c r="DM410" s="56">
        <f>$AZ410-$AZ411</f>
        <v/>
      </c>
      <c r="DN410" s="56">
        <f>$BA410-$BA411</f>
        <v/>
      </c>
      <c r="DO410" s="56">
        <f>$BB410-$BB411</f>
        <v/>
      </c>
      <c r="DP410" s="56">
        <f>$BC410-$BC411</f>
        <v/>
      </c>
      <c r="DQ410" s="56">
        <f>$BD410-$BD411</f>
        <v/>
      </c>
      <c r="DR410" s="56">
        <f>$BE410-$BE411</f>
        <v/>
      </c>
      <c r="DS410" s="56">
        <f>$BF410-$BF411</f>
        <v/>
      </c>
      <c r="DT410" s="56">
        <f>$BG410-$BG411</f>
        <v/>
      </c>
      <c r="DU410" s="56">
        <f>$BH410-$BH411</f>
        <v/>
      </c>
      <c r="DV410" s="56">
        <f>$BI410-$BI411</f>
        <v/>
      </c>
      <c r="DW410" s="56">
        <f>$BJ410-$BJ411</f>
        <v/>
      </c>
      <c r="DX410" s="56">
        <f>$BK410-$BK411</f>
        <v/>
      </c>
      <c r="DY410" s="56">
        <f>$BL410-$BL411</f>
        <v/>
      </c>
      <c r="DZ410" s="56">
        <f>$BM410-$BM411</f>
        <v/>
      </c>
      <c r="EA410" s="56">
        <f>$BN410-$BN411</f>
        <v/>
      </c>
      <c r="EB410" s="56">
        <f>$BO410-$BO411</f>
        <v/>
      </c>
      <c r="EC410" s="56">
        <f>$BP410-$BP411</f>
        <v/>
      </c>
      <c r="ED410" s="56">
        <f>$BQ410-$BQ411</f>
        <v/>
      </c>
      <c r="EE410" s="56">
        <f>$BR410-$BR411</f>
        <v/>
      </c>
      <c r="EF410" s="56">
        <f>$BS410-$BS411</f>
        <v/>
      </c>
      <c r="EG410" s="56">
        <f>$BT410-$BT411</f>
        <v/>
      </c>
      <c r="EH410" s="56">
        <f>$BU410-$BU411</f>
        <v/>
      </c>
    </row>
    <row r="411">
      <c r="BV411" s="56">
        <f>($D411-$D412)*100</f>
        <v/>
      </c>
      <c r="BW411" s="56">
        <f>($C411-$C412)*100</f>
        <v/>
      </c>
      <c r="BX411" s="57">
        <f>IFERROR($I411/$I412-1,"")</f>
        <v/>
      </c>
      <c r="BY411" s="56">
        <f>($AF411-$AF412)*100</f>
        <v/>
      </c>
      <c r="BZ411" s="56">
        <f>($AG411-$AG412)*100</f>
        <v/>
      </c>
      <c r="CA411" s="56">
        <f>($AH411-$AH412)*100</f>
        <v/>
      </c>
      <c r="CB411" s="56">
        <f>($AI411-$AI412)*100</f>
        <v/>
      </c>
      <c r="CC411" s="56">
        <f>($AJ411-$AJ412)*100</f>
        <v/>
      </c>
      <c r="CD411" s="56">
        <f>($AK411-$AK412)*100</f>
        <v/>
      </c>
      <c r="CE411" s="56">
        <f>($AL411-$AL412)*100</f>
        <v/>
      </c>
      <c r="CF411" s="56">
        <f>($AM411-$AM412)*100</f>
        <v/>
      </c>
      <c r="CG411" s="56">
        <f>($AN411-$AN412)*100</f>
        <v/>
      </c>
      <c r="CH411" s="56">
        <f>($AO411-$AO412)*100</f>
        <v/>
      </c>
      <c r="CI411" s="56">
        <f>($AP411-$AP412)*100</f>
        <v/>
      </c>
      <c r="CJ411" s="56">
        <f>($AQ411-$AQ412)*100</f>
        <v/>
      </c>
      <c r="CK411" s="56">
        <f>($AR411-$AR412)*100</f>
        <v/>
      </c>
      <c r="CL411" s="56">
        <f>($AS411-$AS412)*100</f>
        <v/>
      </c>
      <c r="CM411" s="56">
        <f>($AT411-$AT412)*100</f>
        <v/>
      </c>
      <c r="CN411" s="56">
        <f>($AU411-$AU412)*100</f>
        <v/>
      </c>
      <c r="CO411" s="56">
        <f>($AV411-$AV412)*100</f>
        <v/>
      </c>
      <c r="CP411" s="56">
        <f>($AW411-$AW412)*100</f>
        <v/>
      </c>
      <c r="CQ411" s="56">
        <f>($AX411-$AX412)*100</f>
        <v/>
      </c>
      <c r="CR411" s="56">
        <f>($AY411-$AY412)*100</f>
        <v/>
      </c>
      <c r="CS411" s="57">
        <f>IFERROR($L412/$L411-1,"")</f>
        <v/>
      </c>
      <c r="CT411" s="57">
        <f>IFERROR($M412/$M411-1,"")</f>
        <v/>
      </c>
      <c r="CU411" s="57">
        <f>IFERROR($N412/$N411-1,"")</f>
        <v/>
      </c>
      <c r="CV411" s="57">
        <f>IFERROR($O412/$O411-1,"")</f>
        <v/>
      </c>
      <c r="CW411" s="57">
        <f>IFERROR($P412/$P411-1,"")</f>
        <v/>
      </c>
      <c r="CX411" s="57">
        <f>IFERROR($Q412/$Q411-1,"")</f>
        <v/>
      </c>
      <c r="CY411" s="57">
        <f>IFERROR($R412/$R411-1,"")</f>
        <v/>
      </c>
      <c r="CZ411" s="57">
        <f>IFERROR($S412/$S411-1,"")</f>
        <v/>
      </c>
      <c r="DA411" s="57">
        <f>IFERROR($T412/$T411-1,"")</f>
        <v/>
      </c>
      <c r="DB411" s="57">
        <f>IFERROR($U412/$U411-1,"")</f>
        <v/>
      </c>
      <c r="DC411" s="57">
        <f>IFERROR($V412/$V411-1,"")</f>
        <v/>
      </c>
      <c r="DD411" s="57">
        <f>IFERROR($W412/$W411-1,"")</f>
        <v/>
      </c>
      <c r="DE411" s="57">
        <f>IFERROR($X412/$X411-1,"")</f>
        <v/>
      </c>
      <c r="DF411" s="57">
        <f>IFERROR($Y412/$Y411-1,"")</f>
        <v/>
      </c>
      <c r="DG411" s="57">
        <f>IFERROR($Z412/$Z411-1,"")</f>
        <v/>
      </c>
      <c r="DH411" s="57">
        <f>IFERROR($AA412/$AA411-1,"")</f>
        <v/>
      </c>
      <c r="DI411" s="57">
        <f>IFERROR($AB412/$AB411-1,"")</f>
        <v/>
      </c>
      <c r="DJ411" s="57">
        <f>IFERROR($AC412/$AC411-1,"")</f>
        <v/>
      </c>
      <c r="DK411" s="57">
        <f>IFERROR($AD412/$AD411-1,"")</f>
        <v/>
      </c>
      <c r="DL411" s="57">
        <f>IFERROR($AE412/$AE411-1,"")</f>
        <v/>
      </c>
      <c r="DM411" s="56">
        <f>$AZ411-$AZ412</f>
        <v/>
      </c>
      <c r="DN411" s="56">
        <f>$BA411-$BA412</f>
        <v/>
      </c>
      <c r="DO411" s="56">
        <f>$BB411-$BB412</f>
        <v/>
      </c>
      <c r="DP411" s="56">
        <f>$BC411-$BC412</f>
        <v/>
      </c>
      <c r="DQ411" s="56">
        <f>$BD411-$BD412</f>
        <v/>
      </c>
      <c r="DR411" s="56">
        <f>$BE411-$BE412</f>
        <v/>
      </c>
      <c r="DS411" s="56">
        <f>$BF411-$BF412</f>
        <v/>
      </c>
      <c r="DT411" s="56">
        <f>$BG411-$BG412</f>
        <v/>
      </c>
      <c r="DU411" s="56">
        <f>$BH411-$BH412</f>
        <v/>
      </c>
      <c r="DV411" s="56">
        <f>$BI411-$BI412</f>
        <v/>
      </c>
      <c r="DW411" s="56">
        <f>$BJ411-$BJ412</f>
        <v/>
      </c>
      <c r="DX411" s="56">
        <f>$BK411-$BK412</f>
        <v/>
      </c>
      <c r="DY411" s="56">
        <f>$BL411-$BL412</f>
        <v/>
      </c>
      <c r="DZ411" s="56">
        <f>$BM411-$BM412</f>
        <v/>
      </c>
      <c r="EA411" s="56">
        <f>$BN411-$BN412</f>
        <v/>
      </c>
      <c r="EB411" s="56">
        <f>$BO411-$BO412</f>
        <v/>
      </c>
      <c r="EC411" s="56">
        <f>$BP411-$BP412</f>
        <v/>
      </c>
      <c r="ED411" s="56">
        <f>$BQ411-$BQ412</f>
        <v/>
      </c>
      <c r="EE411" s="56">
        <f>$BR411-$BR412</f>
        <v/>
      </c>
      <c r="EF411" s="56">
        <f>$BS411-$BS412</f>
        <v/>
      </c>
      <c r="EG411" s="56">
        <f>$BT411-$BT412</f>
        <v/>
      </c>
      <c r="EH411" s="56">
        <f>$BU411-$BU412</f>
        <v/>
      </c>
    </row>
    <row r="412">
      <c r="BV412" s="56">
        <f>($D412-$D413)*100</f>
        <v/>
      </c>
      <c r="BW412" s="56">
        <f>($C412-$C413)*100</f>
        <v/>
      </c>
      <c r="BX412" s="57">
        <f>IFERROR($I412/$I413-1,"")</f>
        <v/>
      </c>
      <c r="BY412" s="56">
        <f>($AF412-$AF413)*100</f>
        <v/>
      </c>
      <c r="BZ412" s="56">
        <f>($AG412-$AG413)*100</f>
        <v/>
      </c>
      <c r="CA412" s="56">
        <f>($AH412-$AH413)*100</f>
        <v/>
      </c>
      <c r="CB412" s="56">
        <f>($AI412-$AI413)*100</f>
        <v/>
      </c>
      <c r="CC412" s="56">
        <f>($AJ412-$AJ413)*100</f>
        <v/>
      </c>
      <c r="CD412" s="56">
        <f>($AK412-$AK413)*100</f>
        <v/>
      </c>
      <c r="CE412" s="56">
        <f>($AL412-$AL413)*100</f>
        <v/>
      </c>
      <c r="CF412" s="56">
        <f>($AM412-$AM413)*100</f>
        <v/>
      </c>
      <c r="CG412" s="56">
        <f>($AN412-$AN413)*100</f>
        <v/>
      </c>
      <c r="CH412" s="56">
        <f>($AO412-$AO413)*100</f>
        <v/>
      </c>
      <c r="CI412" s="56">
        <f>($AP412-$AP413)*100</f>
        <v/>
      </c>
      <c r="CJ412" s="56">
        <f>($AQ412-$AQ413)*100</f>
        <v/>
      </c>
      <c r="CK412" s="56">
        <f>($AR412-$AR413)*100</f>
        <v/>
      </c>
      <c r="CL412" s="56">
        <f>($AS412-$AS413)*100</f>
        <v/>
      </c>
      <c r="CM412" s="56">
        <f>($AT412-$AT413)*100</f>
        <v/>
      </c>
      <c r="CN412" s="56">
        <f>($AU412-$AU413)*100</f>
        <v/>
      </c>
      <c r="CO412" s="56">
        <f>($AV412-$AV413)*100</f>
        <v/>
      </c>
      <c r="CP412" s="56">
        <f>($AW412-$AW413)*100</f>
        <v/>
      </c>
      <c r="CQ412" s="56">
        <f>($AX412-$AX413)*100</f>
        <v/>
      </c>
      <c r="CR412" s="56">
        <f>($AY412-$AY413)*100</f>
        <v/>
      </c>
      <c r="CS412" s="57">
        <f>IFERROR($L413/$L412-1,"")</f>
        <v/>
      </c>
      <c r="CT412" s="57">
        <f>IFERROR($M413/$M412-1,"")</f>
        <v/>
      </c>
      <c r="CU412" s="57">
        <f>IFERROR($N413/$N412-1,"")</f>
        <v/>
      </c>
      <c r="CV412" s="57">
        <f>IFERROR($O413/$O412-1,"")</f>
        <v/>
      </c>
      <c r="CW412" s="57">
        <f>IFERROR($P413/$P412-1,"")</f>
        <v/>
      </c>
      <c r="CX412" s="57">
        <f>IFERROR($Q413/$Q412-1,"")</f>
        <v/>
      </c>
      <c r="CY412" s="57">
        <f>IFERROR($R413/$R412-1,"")</f>
        <v/>
      </c>
      <c r="CZ412" s="57">
        <f>IFERROR($S413/$S412-1,"")</f>
        <v/>
      </c>
      <c r="DA412" s="57">
        <f>IFERROR($T413/$T412-1,"")</f>
        <v/>
      </c>
      <c r="DB412" s="57">
        <f>IFERROR($U413/$U412-1,"")</f>
        <v/>
      </c>
      <c r="DC412" s="57">
        <f>IFERROR($V413/$V412-1,"")</f>
        <v/>
      </c>
      <c r="DD412" s="57">
        <f>IFERROR($W413/$W412-1,"")</f>
        <v/>
      </c>
      <c r="DE412" s="57">
        <f>IFERROR($X413/$X412-1,"")</f>
        <v/>
      </c>
      <c r="DF412" s="57">
        <f>IFERROR($Y413/$Y412-1,"")</f>
        <v/>
      </c>
      <c r="DG412" s="57">
        <f>IFERROR($Z413/$Z412-1,"")</f>
        <v/>
      </c>
      <c r="DH412" s="57">
        <f>IFERROR($AA413/$AA412-1,"")</f>
        <v/>
      </c>
      <c r="DI412" s="57">
        <f>IFERROR($AB413/$AB412-1,"")</f>
        <v/>
      </c>
      <c r="DJ412" s="57">
        <f>IFERROR($AC413/$AC412-1,"")</f>
        <v/>
      </c>
      <c r="DK412" s="57">
        <f>IFERROR($AD413/$AD412-1,"")</f>
        <v/>
      </c>
      <c r="DL412" s="57">
        <f>IFERROR($AE413/$AE412-1,"")</f>
        <v/>
      </c>
      <c r="DM412" s="56">
        <f>$AZ412-$AZ413</f>
        <v/>
      </c>
      <c r="DN412" s="56">
        <f>$BA412-$BA413</f>
        <v/>
      </c>
      <c r="DO412" s="56">
        <f>$BB412-$BB413</f>
        <v/>
      </c>
      <c r="DP412" s="56">
        <f>$BC412-$BC413</f>
        <v/>
      </c>
      <c r="DQ412" s="56">
        <f>$BD412-$BD413</f>
        <v/>
      </c>
      <c r="DR412" s="56">
        <f>$BE412-$BE413</f>
        <v/>
      </c>
      <c r="DS412" s="56">
        <f>$BF412-$BF413</f>
        <v/>
      </c>
      <c r="DT412" s="56">
        <f>$BG412-$BG413</f>
        <v/>
      </c>
      <c r="DU412" s="56">
        <f>$BH412-$BH413</f>
        <v/>
      </c>
      <c r="DV412" s="56">
        <f>$BI412-$BI413</f>
        <v/>
      </c>
      <c r="DW412" s="56">
        <f>$BJ412-$BJ413</f>
        <v/>
      </c>
      <c r="DX412" s="56">
        <f>$BK412-$BK413</f>
        <v/>
      </c>
      <c r="DY412" s="56">
        <f>$BL412-$BL413</f>
        <v/>
      </c>
      <c r="DZ412" s="56">
        <f>$BM412-$BM413</f>
        <v/>
      </c>
      <c r="EA412" s="56">
        <f>$BN412-$BN413</f>
        <v/>
      </c>
      <c r="EB412" s="56">
        <f>$BO412-$BO413</f>
        <v/>
      </c>
      <c r="EC412" s="56">
        <f>$BP412-$BP413</f>
        <v/>
      </c>
      <c r="ED412" s="56">
        <f>$BQ412-$BQ413</f>
        <v/>
      </c>
      <c r="EE412" s="56">
        <f>$BR412-$BR413</f>
        <v/>
      </c>
      <c r="EF412" s="56">
        <f>$BS412-$BS413</f>
        <v/>
      </c>
      <c r="EG412" s="56">
        <f>$BT412-$BT413</f>
        <v/>
      </c>
      <c r="EH412" s="56">
        <f>$BU412-$BU413</f>
        <v/>
      </c>
    </row>
    <row r="413">
      <c r="BV413" s="56">
        <f>($D413-$D414)*100</f>
        <v/>
      </c>
      <c r="BW413" s="56">
        <f>($C413-$C414)*100</f>
        <v/>
      </c>
      <c r="BX413" s="57">
        <f>IFERROR($I413/$I414-1,"")</f>
        <v/>
      </c>
      <c r="BY413" s="56">
        <f>($AF413-$AF414)*100</f>
        <v/>
      </c>
      <c r="BZ413" s="56">
        <f>($AG413-$AG414)*100</f>
        <v/>
      </c>
      <c r="CA413" s="56">
        <f>($AH413-$AH414)*100</f>
        <v/>
      </c>
      <c r="CB413" s="56">
        <f>($AI413-$AI414)*100</f>
        <v/>
      </c>
      <c r="CC413" s="56">
        <f>($AJ413-$AJ414)*100</f>
        <v/>
      </c>
      <c r="CD413" s="56">
        <f>($AK413-$AK414)*100</f>
        <v/>
      </c>
      <c r="CE413" s="56">
        <f>($AL413-$AL414)*100</f>
        <v/>
      </c>
      <c r="CF413" s="56">
        <f>($AM413-$AM414)*100</f>
        <v/>
      </c>
      <c r="CG413" s="56">
        <f>($AN413-$AN414)*100</f>
        <v/>
      </c>
      <c r="CH413" s="56">
        <f>($AO413-$AO414)*100</f>
        <v/>
      </c>
      <c r="CI413" s="56">
        <f>($AP413-$AP414)*100</f>
        <v/>
      </c>
      <c r="CJ413" s="56">
        <f>($AQ413-$AQ414)*100</f>
        <v/>
      </c>
      <c r="CK413" s="56">
        <f>($AR413-$AR414)*100</f>
        <v/>
      </c>
      <c r="CL413" s="56">
        <f>($AS413-$AS414)*100</f>
        <v/>
      </c>
      <c r="CM413" s="56">
        <f>($AT413-$AT414)*100</f>
        <v/>
      </c>
      <c r="CN413" s="56">
        <f>($AU413-$AU414)*100</f>
        <v/>
      </c>
      <c r="CO413" s="56">
        <f>($AV413-$AV414)*100</f>
        <v/>
      </c>
      <c r="CP413" s="56">
        <f>($AW413-$AW414)*100</f>
        <v/>
      </c>
      <c r="CQ413" s="56">
        <f>($AX413-$AX414)*100</f>
        <v/>
      </c>
      <c r="CR413" s="56">
        <f>($AY413-$AY414)*100</f>
        <v/>
      </c>
      <c r="CS413" s="57">
        <f>IFERROR($L414/$L413-1,"")</f>
        <v/>
      </c>
      <c r="CT413" s="57">
        <f>IFERROR($M414/$M413-1,"")</f>
        <v/>
      </c>
      <c r="CU413" s="57">
        <f>IFERROR($N414/$N413-1,"")</f>
        <v/>
      </c>
      <c r="CV413" s="57">
        <f>IFERROR($O414/$O413-1,"")</f>
        <v/>
      </c>
      <c r="CW413" s="57">
        <f>IFERROR($P414/$P413-1,"")</f>
        <v/>
      </c>
      <c r="CX413" s="57">
        <f>IFERROR($Q414/$Q413-1,"")</f>
        <v/>
      </c>
      <c r="CY413" s="57">
        <f>IFERROR($R414/$R413-1,"")</f>
        <v/>
      </c>
      <c r="CZ413" s="57">
        <f>IFERROR($S414/$S413-1,"")</f>
        <v/>
      </c>
      <c r="DA413" s="57">
        <f>IFERROR($T414/$T413-1,"")</f>
        <v/>
      </c>
      <c r="DB413" s="57">
        <f>IFERROR($U414/$U413-1,"")</f>
        <v/>
      </c>
      <c r="DC413" s="57">
        <f>IFERROR($V414/$V413-1,"")</f>
        <v/>
      </c>
      <c r="DD413" s="57">
        <f>IFERROR($W414/$W413-1,"")</f>
        <v/>
      </c>
      <c r="DE413" s="57">
        <f>IFERROR($X414/$X413-1,"")</f>
        <v/>
      </c>
      <c r="DF413" s="57">
        <f>IFERROR($Y414/$Y413-1,"")</f>
        <v/>
      </c>
      <c r="DG413" s="57">
        <f>IFERROR($Z414/$Z413-1,"")</f>
        <v/>
      </c>
      <c r="DH413" s="57">
        <f>IFERROR($AA414/$AA413-1,"")</f>
        <v/>
      </c>
      <c r="DI413" s="57">
        <f>IFERROR($AB414/$AB413-1,"")</f>
        <v/>
      </c>
      <c r="DJ413" s="57">
        <f>IFERROR($AC414/$AC413-1,"")</f>
        <v/>
      </c>
      <c r="DK413" s="57">
        <f>IFERROR($AD414/$AD413-1,"")</f>
        <v/>
      </c>
      <c r="DL413" s="57">
        <f>IFERROR($AE414/$AE413-1,"")</f>
        <v/>
      </c>
      <c r="DM413" s="56">
        <f>$AZ413-$AZ414</f>
        <v/>
      </c>
      <c r="DN413" s="56">
        <f>$BA413-$BA414</f>
        <v/>
      </c>
      <c r="DO413" s="56">
        <f>$BB413-$BB414</f>
        <v/>
      </c>
      <c r="DP413" s="56">
        <f>$BC413-$BC414</f>
        <v/>
      </c>
      <c r="DQ413" s="56">
        <f>$BD413-$BD414</f>
        <v/>
      </c>
      <c r="DR413" s="56">
        <f>$BE413-$BE414</f>
        <v/>
      </c>
      <c r="DS413" s="56">
        <f>$BF413-$BF414</f>
        <v/>
      </c>
      <c r="DT413" s="56">
        <f>$BG413-$BG414</f>
        <v/>
      </c>
      <c r="DU413" s="56">
        <f>$BH413-$BH414</f>
        <v/>
      </c>
      <c r="DV413" s="56">
        <f>$BI413-$BI414</f>
        <v/>
      </c>
      <c r="DW413" s="56">
        <f>$BJ413-$BJ414</f>
        <v/>
      </c>
      <c r="DX413" s="56">
        <f>$BK413-$BK414</f>
        <v/>
      </c>
      <c r="DY413" s="56">
        <f>$BL413-$BL414</f>
        <v/>
      </c>
      <c r="DZ413" s="56">
        <f>$BM413-$BM414</f>
        <v/>
      </c>
      <c r="EA413" s="56">
        <f>$BN413-$BN414</f>
        <v/>
      </c>
      <c r="EB413" s="56">
        <f>$BO413-$BO414</f>
        <v/>
      </c>
      <c r="EC413" s="56">
        <f>$BP413-$BP414</f>
        <v/>
      </c>
      <c r="ED413" s="56">
        <f>$BQ413-$BQ414</f>
        <v/>
      </c>
      <c r="EE413" s="56">
        <f>$BR413-$BR414</f>
        <v/>
      </c>
      <c r="EF413" s="56">
        <f>$BS413-$BS414</f>
        <v/>
      </c>
      <c r="EG413" s="56">
        <f>$BT413-$BT414</f>
        <v/>
      </c>
      <c r="EH413" s="56">
        <f>$BU413-$BU414</f>
        <v/>
      </c>
    </row>
    <row r="414">
      <c r="BV414" s="56">
        <f>($D414-$D415)*100</f>
        <v/>
      </c>
      <c r="BW414" s="56">
        <f>($C414-$C415)*100</f>
        <v/>
      </c>
      <c r="BX414" s="57">
        <f>IFERROR($I414/$I415-1,"")</f>
        <v/>
      </c>
      <c r="BY414" s="56">
        <f>($AF414-$AF415)*100</f>
        <v/>
      </c>
      <c r="BZ414" s="56">
        <f>($AG414-$AG415)*100</f>
        <v/>
      </c>
      <c r="CA414" s="56">
        <f>($AH414-$AH415)*100</f>
        <v/>
      </c>
      <c r="CB414" s="56">
        <f>($AI414-$AI415)*100</f>
        <v/>
      </c>
      <c r="CC414" s="56">
        <f>($AJ414-$AJ415)*100</f>
        <v/>
      </c>
      <c r="CD414" s="56">
        <f>($AK414-$AK415)*100</f>
        <v/>
      </c>
      <c r="CE414" s="56">
        <f>($AL414-$AL415)*100</f>
        <v/>
      </c>
      <c r="CF414" s="56">
        <f>($AM414-$AM415)*100</f>
        <v/>
      </c>
      <c r="CG414" s="56">
        <f>($AN414-$AN415)*100</f>
        <v/>
      </c>
      <c r="CH414" s="56">
        <f>($AO414-$AO415)*100</f>
        <v/>
      </c>
      <c r="CI414" s="56">
        <f>($AP414-$AP415)*100</f>
        <v/>
      </c>
      <c r="CJ414" s="56">
        <f>($AQ414-$AQ415)*100</f>
        <v/>
      </c>
      <c r="CK414" s="56">
        <f>($AR414-$AR415)*100</f>
        <v/>
      </c>
      <c r="CL414" s="56">
        <f>($AS414-$AS415)*100</f>
        <v/>
      </c>
      <c r="CM414" s="56">
        <f>($AT414-$AT415)*100</f>
        <v/>
      </c>
      <c r="CN414" s="56">
        <f>($AU414-$AU415)*100</f>
        <v/>
      </c>
      <c r="CO414" s="56">
        <f>($AV414-$AV415)*100</f>
        <v/>
      </c>
      <c r="CP414" s="56">
        <f>($AW414-$AW415)*100</f>
        <v/>
      </c>
      <c r="CQ414" s="56">
        <f>($AX414-$AX415)*100</f>
        <v/>
      </c>
      <c r="CR414" s="56">
        <f>($AY414-$AY415)*100</f>
        <v/>
      </c>
      <c r="CS414" s="57">
        <f>IFERROR($L415/$L414-1,"")</f>
        <v/>
      </c>
      <c r="CT414" s="57">
        <f>IFERROR($M415/$M414-1,"")</f>
        <v/>
      </c>
      <c r="CU414" s="57">
        <f>IFERROR($N415/$N414-1,"")</f>
        <v/>
      </c>
      <c r="CV414" s="57">
        <f>IFERROR($O415/$O414-1,"")</f>
        <v/>
      </c>
      <c r="CW414" s="57">
        <f>IFERROR($P415/$P414-1,"")</f>
        <v/>
      </c>
      <c r="CX414" s="57">
        <f>IFERROR($Q415/$Q414-1,"")</f>
        <v/>
      </c>
      <c r="CY414" s="57">
        <f>IFERROR($R415/$R414-1,"")</f>
        <v/>
      </c>
      <c r="CZ414" s="57">
        <f>IFERROR($S415/$S414-1,"")</f>
        <v/>
      </c>
      <c r="DA414" s="57">
        <f>IFERROR($T415/$T414-1,"")</f>
        <v/>
      </c>
      <c r="DB414" s="57">
        <f>IFERROR($U415/$U414-1,"")</f>
        <v/>
      </c>
      <c r="DC414" s="57">
        <f>IFERROR($V415/$V414-1,"")</f>
        <v/>
      </c>
      <c r="DD414" s="57">
        <f>IFERROR($W415/$W414-1,"")</f>
        <v/>
      </c>
      <c r="DE414" s="57">
        <f>IFERROR($X415/$X414-1,"")</f>
        <v/>
      </c>
      <c r="DF414" s="57">
        <f>IFERROR($Y415/$Y414-1,"")</f>
        <v/>
      </c>
      <c r="DG414" s="57">
        <f>IFERROR($Z415/$Z414-1,"")</f>
        <v/>
      </c>
      <c r="DH414" s="57">
        <f>IFERROR($AA415/$AA414-1,"")</f>
        <v/>
      </c>
      <c r="DI414" s="57">
        <f>IFERROR($AB415/$AB414-1,"")</f>
        <v/>
      </c>
      <c r="DJ414" s="57">
        <f>IFERROR($AC415/$AC414-1,"")</f>
        <v/>
      </c>
      <c r="DK414" s="57">
        <f>IFERROR($AD415/$AD414-1,"")</f>
        <v/>
      </c>
      <c r="DL414" s="57">
        <f>IFERROR($AE415/$AE414-1,"")</f>
        <v/>
      </c>
      <c r="DM414" s="56">
        <f>$AZ414-$AZ415</f>
        <v/>
      </c>
      <c r="DN414" s="56">
        <f>$BA414-$BA415</f>
        <v/>
      </c>
      <c r="DO414" s="56">
        <f>$BB414-$BB415</f>
        <v/>
      </c>
      <c r="DP414" s="56">
        <f>$BC414-$BC415</f>
        <v/>
      </c>
      <c r="DQ414" s="56">
        <f>$BD414-$BD415</f>
        <v/>
      </c>
      <c r="DR414" s="56">
        <f>$BE414-$BE415</f>
        <v/>
      </c>
      <c r="DS414" s="56">
        <f>$BF414-$BF415</f>
        <v/>
      </c>
      <c r="DT414" s="56">
        <f>$BG414-$BG415</f>
        <v/>
      </c>
      <c r="DU414" s="56">
        <f>$BH414-$BH415</f>
        <v/>
      </c>
      <c r="DV414" s="56">
        <f>$BI414-$BI415</f>
        <v/>
      </c>
      <c r="DW414" s="56">
        <f>$BJ414-$BJ415</f>
        <v/>
      </c>
      <c r="DX414" s="56">
        <f>$BK414-$BK415</f>
        <v/>
      </c>
      <c r="DY414" s="56">
        <f>$BL414-$BL415</f>
        <v/>
      </c>
      <c r="DZ414" s="56">
        <f>$BM414-$BM415</f>
        <v/>
      </c>
      <c r="EA414" s="56">
        <f>$BN414-$BN415</f>
        <v/>
      </c>
      <c r="EB414" s="56">
        <f>$BO414-$BO415</f>
        <v/>
      </c>
      <c r="EC414" s="56">
        <f>$BP414-$BP415</f>
        <v/>
      </c>
      <c r="ED414" s="56">
        <f>$BQ414-$BQ415</f>
        <v/>
      </c>
      <c r="EE414" s="56">
        <f>$BR414-$BR415</f>
        <v/>
      </c>
      <c r="EF414" s="56">
        <f>$BS414-$BS415</f>
        <v/>
      </c>
      <c r="EG414" s="56">
        <f>$BT414-$BT415</f>
        <v/>
      </c>
      <c r="EH414" s="56">
        <f>$BU414-$BU415</f>
        <v/>
      </c>
    </row>
    <row r="415">
      <c r="BV415" s="56">
        <f>($D415-$D416)*100</f>
        <v/>
      </c>
      <c r="BW415" s="56">
        <f>($C415-$C416)*100</f>
        <v/>
      </c>
      <c r="BX415" s="57">
        <f>IFERROR($I415/$I416-1,"")</f>
        <v/>
      </c>
      <c r="BY415" s="56">
        <f>($AF415-$AF416)*100</f>
        <v/>
      </c>
      <c r="BZ415" s="56">
        <f>($AG415-$AG416)*100</f>
        <v/>
      </c>
      <c r="CA415" s="56">
        <f>($AH415-$AH416)*100</f>
        <v/>
      </c>
      <c r="CB415" s="56">
        <f>($AI415-$AI416)*100</f>
        <v/>
      </c>
      <c r="CC415" s="56">
        <f>($AJ415-$AJ416)*100</f>
        <v/>
      </c>
      <c r="CD415" s="56">
        <f>($AK415-$AK416)*100</f>
        <v/>
      </c>
      <c r="CE415" s="56">
        <f>($AL415-$AL416)*100</f>
        <v/>
      </c>
      <c r="CF415" s="56">
        <f>($AM415-$AM416)*100</f>
        <v/>
      </c>
      <c r="CG415" s="56">
        <f>($AN415-$AN416)*100</f>
        <v/>
      </c>
      <c r="CH415" s="56">
        <f>($AO415-$AO416)*100</f>
        <v/>
      </c>
      <c r="CI415" s="56">
        <f>($AP415-$AP416)*100</f>
        <v/>
      </c>
      <c r="CJ415" s="56">
        <f>($AQ415-$AQ416)*100</f>
        <v/>
      </c>
      <c r="CK415" s="56">
        <f>($AR415-$AR416)*100</f>
        <v/>
      </c>
      <c r="CL415" s="56">
        <f>($AS415-$AS416)*100</f>
        <v/>
      </c>
      <c r="CM415" s="56">
        <f>($AT415-$AT416)*100</f>
        <v/>
      </c>
      <c r="CN415" s="56">
        <f>($AU415-$AU416)*100</f>
        <v/>
      </c>
      <c r="CO415" s="56">
        <f>($AV415-$AV416)*100</f>
        <v/>
      </c>
      <c r="CP415" s="56">
        <f>($AW415-$AW416)*100</f>
        <v/>
      </c>
      <c r="CQ415" s="56">
        <f>($AX415-$AX416)*100</f>
        <v/>
      </c>
      <c r="CR415" s="56">
        <f>($AY415-$AY416)*100</f>
        <v/>
      </c>
      <c r="CS415" s="57">
        <f>IFERROR($L416/$L415-1,"")</f>
        <v/>
      </c>
      <c r="CT415" s="57">
        <f>IFERROR($M416/$M415-1,"")</f>
        <v/>
      </c>
      <c r="CU415" s="57">
        <f>IFERROR($N416/$N415-1,"")</f>
        <v/>
      </c>
      <c r="CV415" s="57">
        <f>IFERROR($O416/$O415-1,"")</f>
        <v/>
      </c>
      <c r="CW415" s="57">
        <f>IFERROR($P416/$P415-1,"")</f>
        <v/>
      </c>
      <c r="CX415" s="57">
        <f>IFERROR($Q416/$Q415-1,"")</f>
        <v/>
      </c>
      <c r="CY415" s="57">
        <f>IFERROR($R416/$R415-1,"")</f>
        <v/>
      </c>
      <c r="CZ415" s="57">
        <f>IFERROR($S416/$S415-1,"")</f>
        <v/>
      </c>
      <c r="DA415" s="57">
        <f>IFERROR($T416/$T415-1,"")</f>
        <v/>
      </c>
      <c r="DB415" s="57">
        <f>IFERROR($U416/$U415-1,"")</f>
        <v/>
      </c>
      <c r="DC415" s="57">
        <f>IFERROR($V416/$V415-1,"")</f>
        <v/>
      </c>
      <c r="DD415" s="57">
        <f>IFERROR($W416/$W415-1,"")</f>
        <v/>
      </c>
      <c r="DE415" s="57">
        <f>IFERROR($X416/$X415-1,"")</f>
        <v/>
      </c>
      <c r="DF415" s="57">
        <f>IFERROR($Y416/$Y415-1,"")</f>
        <v/>
      </c>
      <c r="DG415" s="57">
        <f>IFERROR($Z416/$Z415-1,"")</f>
        <v/>
      </c>
      <c r="DH415" s="57">
        <f>IFERROR($AA416/$AA415-1,"")</f>
        <v/>
      </c>
      <c r="DI415" s="57">
        <f>IFERROR($AB416/$AB415-1,"")</f>
        <v/>
      </c>
      <c r="DJ415" s="57">
        <f>IFERROR($AC416/$AC415-1,"")</f>
        <v/>
      </c>
      <c r="DK415" s="57">
        <f>IFERROR($AD416/$AD415-1,"")</f>
        <v/>
      </c>
      <c r="DL415" s="57">
        <f>IFERROR($AE416/$AE415-1,"")</f>
        <v/>
      </c>
      <c r="DM415" s="56">
        <f>$AZ415-$AZ416</f>
        <v/>
      </c>
      <c r="DN415" s="56">
        <f>$BA415-$BA416</f>
        <v/>
      </c>
      <c r="DO415" s="56">
        <f>$BB415-$BB416</f>
        <v/>
      </c>
      <c r="DP415" s="56">
        <f>$BC415-$BC416</f>
        <v/>
      </c>
      <c r="DQ415" s="56">
        <f>$BD415-$BD416</f>
        <v/>
      </c>
      <c r="DR415" s="56">
        <f>$BE415-$BE416</f>
        <v/>
      </c>
      <c r="DS415" s="56">
        <f>$BF415-$BF416</f>
        <v/>
      </c>
      <c r="DT415" s="56">
        <f>$BG415-$BG416</f>
        <v/>
      </c>
      <c r="DU415" s="56">
        <f>$BH415-$BH416</f>
        <v/>
      </c>
      <c r="DV415" s="56">
        <f>$BI415-$BI416</f>
        <v/>
      </c>
      <c r="DW415" s="56">
        <f>$BJ415-$BJ416</f>
        <v/>
      </c>
      <c r="DX415" s="56">
        <f>$BK415-$BK416</f>
        <v/>
      </c>
      <c r="DY415" s="56">
        <f>$BL415-$BL416</f>
        <v/>
      </c>
      <c r="DZ415" s="56">
        <f>$BM415-$BM416</f>
        <v/>
      </c>
      <c r="EA415" s="56">
        <f>$BN415-$BN416</f>
        <v/>
      </c>
      <c r="EB415" s="56">
        <f>$BO415-$BO416</f>
        <v/>
      </c>
      <c r="EC415" s="56">
        <f>$BP415-$BP416</f>
        <v/>
      </c>
      <c r="ED415" s="56">
        <f>$BQ415-$BQ416</f>
        <v/>
      </c>
      <c r="EE415" s="56">
        <f>$BR415-$BR416</f>
        <v/>
      </c>
      <c r="EF415" s="56">
        <f>$BS415-$BS416</f>
        <v/>
      </c>
      <c r="EG415" s="56">
        <f>$BT415-$BT416</f>
        <v/>
      </c>
      <c r="EH415" s="56">
        <f>$BU415-$BU416</f>
        <v/>
      </c>
    </row>
    <row r="416">
      <c r="BV416" s="56">
        <f>($D416-$D417)*100</f>
        <v/>
      </c>
      <c r="BW416" s="56">
        <f>($C416-$C417)*100</f>
        <v/>
      </c>
      <c r="BX416" s="57">
        <f>IFERROR($I416/$I417-1,"")</f>
        <v/>
      </c>
      <c r="BY416" s="56">
        <f>($AF416-$AF417)*100</f>
        <v/>
      </c>
      <c r="BZ416" s="56">
        <f>($AG416-$AG417)*100</f>
        <v/>
      </c>
      <c r="CA416" s="56">
        <f>($AH416-$AH417)*100</f>
        <v/>
      </c>
      <c r="CB416" s="56">
        <f>($AI416-$AI417)*100</f>
        <v/>
      </c>
      <c r="CC416" s="56">
        <f>($AJ416-$AJ417)*100</f>
        <v/>
      </c>
      <c r="CD416" s="56">
        <f>($AK416-$AK417)*100</f>
        <v/>
      </c>
      <c r="CE416" s="56">
        <f>($AL416-$AL417)*100</f>
        <v/>
      </c>
      <c r="CF416" s="56">
        <f>($AM416-$AM417)*100</f>
        <v/>
      </c>
      <c r="CG416" s="56">
        <f>($AN416-$AN417)*100</f>
        <v/>
      </c>
      <c r="CH416" s="56">
        <f>($AO416-$AO417)*100</f>
        <v/>
      </c>
      <c r="CI416" s="56">
        <f>($AP416-$AP417)*100</f>
        <v/>
      </c>
      <c r="CJ416" s="56">
        <f>($AQ416-$AQ417)*100</f>
        <v/>
      </c>
      <c r="CK416" s="56">
        <f>($AR416-$AR417)*100</f>
        <v/>
      </c>
      <c r="CL416" s="56">
        <f>($AS416-$AS417)*100</f>
        <v/>
      </c>
      <c r="CM416" s="56">
        <f>($AT416-$AT417)*100</f>
        <v/>
      </c>
      <c r="CN416" s="56">
        <f>($AU416-$AU417)*100</f>
        <v/>
      </c>
      <c r="CO416" s="56">
        <f>($AV416-$AV417)*100</f>
        <v/>
      </c>
      <c r="CP416" s="56">
        <f>($AW416-$AW417)*100</f>
        <v/>
      </c>
      <c r="CQ416" s="56">
        <f>($AX416-$AX417)*100</f>
        <v/>
      </c>
      <c r="CR416" s="56">
        <f>($AY416-$AY417)*100</f>
        <v/>
      </c>
      <c r="CS416" s="57">
        <f>IFERROR($L417/$L416-1,"")</f>
        <v/>
      </c>
      <c r="CT416" s="57">
        <f>IFERROR($M417/$M416-1,"")</f>
        <v/>
      </c>
      <c r="CU416" s="57">
        <f>IFERROR($N417/$N416-1,"")</f>
        <v/>
      </c>
      <c r="CV416" s="57">
        <f>IFERROR($O417/$O416-1,"")</f>
        <v/>
      </c>
      <c r="CW416" s="57">
        <f>IFERROR($P417/$P416-1,"")</f>
        <v/>
      </c>
      <c r="CX416" s="57">
        <f>IFERROR($Q417/$Q416-1,"")</f>
        <v/>
      </c>
      <c r="CY416" s="57">
        <f>IFERROR($R417/$R416-1,"")</f>
        <v/>
      </c>
      <c r="CZ416" s="57">
        <f>IFERROR($S417/$S416-1,"")</f>
        <v/>
      </c>
      <c r="DA416" s="57">
        <f>IFERROR($T417/$T416-1,"")</f>
        <v/>
      </c>
      <c r="DB416" s="57">
        <f>IFERROR($U417/$U416-1,"")</f>
        <v/>
      </c>
      <c r="DC416" s="57">
        <f>IFERROR($V417/$V416-1,"")</f>
        <v/>
      </c>
      <c r="DD416" s="57">
        <f>IFERROR($W417/$W416-1,"")</f>
        <v/>
      </c>
      <c r="DE416" s="57">
        <f>IFERROR($X417/$X416-1,"")</f>
        <v/>
      </c>
      <c r="DF416" s="57">
        <f>IFERROR($Y417/$Y416-1,"")</f>
        <v/>
      </c>
      <c r="DG416" s="57">
        <f>IFERROR($Z417/$Z416-1,"")</f>
        <v/>
      </c>
      <c r="DH416" s="57">
        <f>IFERROR($AA417/$AA416-1,"")</f>
        <v/>
      </c>
      <c r="DI416" s="57">
        <f>IFERROR($AB417/$AB416-1,"")</f>
        <v/>
      </c>
      <c r="DJ416" s="57">
        <f>IFERROR($AC417/$AC416-1,"")</f>
        <v/>
      </c>
      <c r="DK416" s="57">
        <f>IFERROR($AD417/$AD416-1,"")</f>
        <v/>
      </c>
      <c r="DL416" s="57">
        <f>IFERROR($AE417/$AE416-1,"")</f>
        <v/>
      </c>
      <c r="DM416" s="56">
        <f>$AZ416-$AZ417</f>
        <v/>
      </c>
      <c r="DN416" s="56">
        <f>$BA416-$BA417</f>
        <v/>
      </c>
      <c r="DO416" s="56">
        <f>$BB416-$BB417</f>
        <v/>
      </c>
      <c r="DP416" s="56">
        <f>$BC416-$BC417</f>
        <v/>
      </c>
      <c r="DQ416" s="56">
        <f>$BD416-$BD417</f>
        <v/>
      </c>
      <c r="DR416" s="56">
        <f>$BE416-$BE417</f>
        <v/>
      </c>
      <c r="DS416" s="56">
        <f>$BF416-$BF417</f>
        <v/>
      </c>
      <c r="DT416" s="56">
        <f>$BG416-$BG417</f>
        <v/>
      </c>
      <c r="DU416" s="56">
        <f>$BH416-$BH417</f>
        <v/>
      </c>
      <c r="DV416" s="56">
        <f>$BI416-$BI417</f>
        <v/>
      </c>
      <c r="DW416" s="56">
        <f>$BJ416-$BJ417</f>
        <v/>
      </c>
      <c r="DX416" s="56">
        <f>$BK416-$BK417</f>
        <v/>
      </c>
      <c r="DY416" s="56">
        <f>$BL416-$BL417</f>
        <v/>
      </c>
      <c r="DZ416" s="56">
        <f>$BM416-$BM417</f>
        <v/>
      </c>
      <c r="EA416" s="56">
        <f>$BN416-$BN417</f>
        <v/>
      </c>
      <c r="EB416" s="56">
        <f>$BO416-$BO417</f>
        <v/>
      </c>
      <c r="EC416" s="56">
        <f>$BP416-$BP417</f>
        <v/>
      </c>
      <c r="ED416" s="56">
        <f>$BQ416-$BQ417</f>
        <v/>
      </c>
      <c r="EE416" s="56">
        <f>$BR416-$BR417</f>
        <v/>
      </c>
      <c r="EF416" s="56">
        <f>$BS416-$BS417</f>
        <v/>
      </c>
      <c r="EG416" s="56">
        <f>$BT416-$BT417</f>
        <v/>
      </c>
      <c r="EH416" s="56">
        <f>$BU416-$BU417</f>
        <v/>
      </c>
    </row>
    <row r="417">
      <c r="BV417" s="56">
        <f>($D417-$D418)*100</f>
        <v/>
      </c>
      <c r="BW417" s="56">
        <f>($C417-$C418)*100</f>
        <v/>
      </c>
      <c r="BX417" s="57">
        <f>IFERROR($I417/$I418-1,"")</f>
        <v/>
      </c>
      <c r="BY417" s="56">
        <f>($AF417-$AF418)*100</f>
        <v/>
      </c>
      <c r="BZ417" s="56">
        <f>($AG417-$AG418)*100</f>
        <v/>
      </c>
      <c r="CA417" s="56">
        <f>($AH417-$AH418)*100</f>
        <v/>
      </c>
      <c r="CB417" s="56">
        <f>($AI417-$AI418)*100</f>
        <v/>
      </c>
      <c r="CC417" s="56">
        <f>($AJ417-$AJ418)*100</f>
        <v/>
      </c>
      <c r="CD417" s="56">
        <f>($AK417-$AK418)*100</f>
        <v/>
      </c>
      <c r="CE417" s="56">
        <f>($AL417-$AL418)*100</f>
        <v/>
      </c>
      <c r="CF417" s="56">
        <f>($AM417-$AM418)*100</f>
        <v/>
      </c>
      <c r="CG417" s="56">
        <f>($AN417-$AN418)*100</f>
        <v/>
      </c>
      <c r="CH417" s="56">
        <f>($AO417-$AO418)*100</f>
        <v/>
      </c>
      <c r="CI417" s="56">
        <f>($AP417-$AP418)*100</f>
        <v/>
      </c>
      <c r="CJ417" s="56">
        <f>($AQ417-$AQ418)*100</f>
        <v/>
      </c>
      <c r="CK417" s="56">
        <f>($AR417-$AR418)*100</f>
        <v/>
      </c>
      <c r="CL417" s="56">
        <f>($AS417-$AS418)*100</f>
        <v/>
      </c>
      <c r="CM417" s="56">
        <f>($AT417-$AT418)*100</f>
        <v/>
      </c>
      <c r="CN417" s="56">
        <f>($AU417-$AU418)*100</f>
        <v/>
      </c>
      <c r="CO417" s="56">
        <f>($AV417-$AV418)*100</f>
        <v/>
      </c>
      <c r="CP417" s="56">
        <f>($AW417-$AW418)*100</f>
        <v/>
      </c>
      <c r="CQ417" s="56">
        <f>($AX417-$AX418)*100</f>
        <v/>
      </c>
      <c r="CR417" s="56">
        <f>($AY417-$AY418)*100</f>
        <v/>
      </c>
      <c r="CS417" s="57">
        <f>IFERROR($L418/$L417-1,"")</f>
        <v/>
      </c>
      <c r="CT417" s="57">
        <f>IFERROR($M418/$M417-1,"")</f>
        <v/>
      </c>
      <c r="CU417" s="57">
        <f>IFERROR($N418/$N417-1,"")</f>
        <v/>
      </c>
      <c r="CV417" s="57">
        <f>IFERROR($O418/$O417-1,"")</f>
        <v/>
      </c>
      <c r="CW417" s="57">
        <f>IFERROR($P418/$P417-1,"")</f>
        <v/>
      </c>
      <c r="CX417" s="57">
        <f>IFERROR($Q418/$Q417-1,"")</f>
        <v/>
      </c>
      <c r="CY417" s="57">
        <f>IFERROR($R418/$R417-1,"")</f>
        <v/>
      </c>
      <c r="CZ417" s="57">
        <f>IFERROR($S418/$S417-1,"")</f>
        <v/>
      </c>
      <c r="DA417" s="57">
        <f>IFERROR($T418/$T417-1,"")</f>
        <v/>
      </c>
      <c r="DB417" s="57">
        <f>IFERROR($U418/$U417-1,"")</f>
        <v/>
      </c>
      <c r="DC417" s="57">
        <f>IFERROR($V418/$V417-1,"")</f>
        <v/>
      </c>
      <c r="DD417" s="57">
        <f>IFERROR($W418/$W417-1,"")</f>
        <v/>
      </c>
      <c r="DE417" s="57">
        <f>IFERROR($X418/$X417-1,"")</f>
        <v/>
      </c>
      <c r="DF417" s="57">
        <f>IFERROR($Y418/$Y417-1,"")</f>
        <v/>
      </c>
      <c r="DG417" s="57">
        <f>IFERROR($Z418/$Z417-1,"")</f>
        <v/>
      </c>
      <c r="DH417" s="57">
        <f>IFERROR($AA418/$AA417-1,"")</f>
        <v/>
      </c>
      <c r="DI417" s="57">
        <f>IFERROR($AB418/$AB417-1,"")</f>
        <v/>
      </c>
      <c r="DJ417" s="57">
        <f>IFERROR($AC418/$AC417-1,"")</f>
        <v/>
      </c>
      <c r="DK417" s="57">
        <f>IFERROR($AD418/$AD417-1,"")</f>
        <v/>
      </c>
      <c r="DL417" s="57">
        <f>IFERROR($AE418/$AE417-1,"")</f>
        <v/>
      </c>
      <c r="DM417" s="56">
        <f>$AZ417-$AZ418</f>
        <v/>
      </c>
      <c r="DN417" s="56">
        <f>$BA417-$BA418</f>
        <v/>
      </c>
      <c r="DO417" s="56">
        <f>$BB417-$BB418</f>
        <v/>
      </c>
      <c r="DP417" s="56">
        <f>$BC417-$BC418</f>
        <v/>
      </c>
      <c r="DQ417" s="56">
        <f>$BD417-$BD418</f>
        <v/>
      </c>
      <c r="DR417" s="56">
        <f>$BE417-$BE418</f>
        <v/>
      </c>
      <c r="DS417" s="56">
        <f>$BF417-$BF418</f>
        <v/>
      </c>
      <c r="DT417" s="56">
        <f>$BG417-$BG418</f>
        <v/>
      </c>
      <c r="DU417" s="56">
        <f>$BH417-$BH418</f>
        <v/>
      </c>
      <c r="DV417" s="56">
        <f>$BI417-$BI418</f>
        <v/>
      </c>
      <c r="DW417" s="56">
        <f>$BJ417-$BJ418</f>
        <v/>
      </c>
      <c r="DX417" s="56">
        <f>$BK417-$BK418</f>
        <v/>
      </c>
      <c r="DY417" s="56">
        <f>$BL417-$BL418</f>
        <v/>
      </c>
      <c r="DZ417" s="56">
        <f>$BM417-$BM418</f>
        <v/>
      </c>
      <c r="EA417" s="56">
        <f>$BN417-$BN418</f>
        <v/>
      </c>
      <c r="EB417" s="56">
        <f>$BO417-$BO418</f>
        <v/>
      </c>
      <c r="EC417" s="56">
        <f>$BP417-$BP418</f>
        <v/>
      </c>
      <c r="ED417" s="56">
        <f>$BQ417-$BQ418</f>
        <v/>
      </c>
      <c r="EE417" s="56">
        <f>$BR417-$BR418</f>
        <v/>
      </c>
      <c r="EF417" s="56">
        <f>$BS417-$BS418</f>
        <v/>
      </c>
      <c r="EG417" s="56">
        <f>$BT417-$BT418</f>
        <v/>
      </c>
      <c r="EH417" s="56">
        <f>$BU417-$BU418</f>
        <v/>
      </c>
    </row>
    <row r="418">
      <c r="BV418" s="56">
        <f>($D418-$D419)*100</f>
        <v/>
      </c>
      <c r="BW418" s="56">
        <f>($C418-$C419)*100</f>
        <v/>
      </c>
      <c r="BX418" s="57">
        <f>IFERROR($I418/$I419-1,"")</f>
        <v/>
      </c>
      <c r="BY418" s="56">
        <f>($AF418-$AF419)*100</f>
        <v/>
      </c>
      <c r="BZ418" s="56">
        <f>($AG418-$AG419)*100</f>
        <v/>
      </c>
      <c r="CA418" s="56">
        <f>($AH418-$AH419)*100</f>
        <v/>
      </c>
      <c r="CB418" s="56">
        <f>($AI418-$AI419)*100</f>
        <v/>
      </c>
      <c r="CC418" s="56">
        <f>($AJ418-$AJ419)*100</f>
        <v/>
      </c>
      <c r="CD418" s="56">
        <f>($AK418-$AK419)*100</f>
        <v/>
      </c>
      <c r="CE418" s="56">
        <f>($AL418-$AL419)*100</f>
        <v/>
      </c>
      <c r="CF418" s="56">
        <f>($AM418-$AM419)*100</f>
        <v/>
      </c>
      <c r="CG418" s="56">
        <f>($AN418-$AN419)*100</f>
        <v/>
      </c>
      <c r="CH418" s="56">
        <f>($AO418-$AO419)*100</f>
        <v/>
      </c>
      <c r="CI418" s="56">
        <f>($AP418-$AP419)*100</f>
        <v/>
      </c>
      <c r="CJ418" s="56">
        <f>($AQ418-$AQ419)*100</f>
        <v/>
      </c>
      <c r="CK418" s="56">
        <f>($AR418-$AR419)*100</f>
        <v/>
      </c>
      <c r="CL418" s="56">
        <f>($AS418-$AS419)*100</f>
        <v/>
      </c>
      <c r="CM418" s="56">
        <f>($AT418-$AT419)*100</f>
        <v/>
      </c>
      <c r="CN418" s="56">
        <f>($AU418-$AU419)*100</f>
        <v/>
      </c>
      <c r="CO418" s="56">
        <f>($AV418-$AV419)*100</f>
        <v/>
      </c>
      <c r="CP418" s="56">
        <f>($AW418-$AW419)*100</f>
        <v/>
      </c>
      <c r="CQ418" s="56">
        <f>($AX418-$AX419)*100</f>
        <v/>
      </c>
      <c r="CR418" s="56">
        <f>($AY418-$AY419)*100</f>
        <v/>
      </c>
      <c r="CS418" s="57">
        <f>IFERROR($L419/$L418-1,"")</f>
        <v/>
      </c>
      <c r="CT418" s="57">
        <f>IFERROR($M419/$M418-1,"")</f>
        <v/>
      </c>
      <c r="CU418" s="57">
        <f>IFERROR($N419/$N418-1,"")</f>
        <v/>
      </c>
      <c r="CV418" s="57">
        <f>IFERROR($O419/$O418-1,"")</f>
        <v/>
      </c>
      <c r="CW418" s="57">
        <f>IFERROR($P419/$P418-1,"")</f>
        <v/>
      </c>
      <c r="CX418" s="57">
        <f>IFERROR($Q419/$Q418-1,"")</f>
        <v/>
      </c>
      <c r="CY418" s="57">
        <f>IFERROR($R419/$R418-1,"")</f>
        <v/>
      </c>
      <c r="CZ418" s="57">
        <f>IFERROR($S419/$S418-1,"")</f>
        <v/>
      </c>
      <c r="DA418" s="57">
        <f>IFERROR($T419/$T418-1,"")</f>
        <v/>
      </c>
      <c r="DB418" s="57">
        <f>IFERROR($U419/$U418-1,"")</f>
        <v/>
      </c>
      <c r="DC418" s="57">
        <f>IFERROR($V419/$V418-1,"")</f>
        <v/>
      </c>
      <c r="DD418" s="57">
        <f>IFERROR($W419/$W418-1,"")</f>
        <v/>
      </c>
      <c r="DE418" s="57">
        <f>IFERROR($X419/$X418-1,"")</f>
        <v/>
      </c>
      <c r="DF418" s="57">
        <f>IFERROR($Y419/$Y418-1,"")</f>
        <v/>
      </c>
      <c r="DG418" s="57">
        <f>IFERROR($Z419/$Z418-1,"")</f>
        <v/>
      </c>
      <c r="DH418" s="57">
        <f>IFERROR($AA419/$AA418-1,"")</f>
        <v/>
      </c>
      <c r="DI418" s="57">
        <f>IFERROR($AB419/$AB418-1,"")</f>
        <v/>
      </c>
      <c r="DJ418" s="57">
        <f>IFERROR($AC419/$AC418-1,"")</f>
        <v/>
      </c>
      <c r="DK418" s="57">
        <f>IFERROR($AD419/$AD418-1,"")</f>
        <v/>
      </c>
      <c r="DL418" s="57">
        <f>IFERROR($AE419/$AE418-1,"")</f>
        <v/>
      </c>
      <c r="DM418" s="56">
        <f>$AZ418-$AZ419</f>
        <v/>
      </c>
      <c r="DN418" s="56">
        <f>$BA418-$BA419</f>
        <v/>
      </c>
      <c r="DO418" s="56">
        <f>$BB418-$BB419</f>
        <v/>
      </c>
      <c r="DP418" s="56">
        <f>$BC418-$BC419</f>
        <v/>
      </c>
      <c r="DQ418" s="56">
        <f>$BD418-$BD419</f>
        <v/>
      </c>
      <c r="DR418" s="56">
        <f>$BE418-$BE419</f>
        <v/>
      </c>
      <c r="DS418" s="56">
        <f>$BF418-$BF419</f>
        <v/>
      </c>
      <c r="DT418" s="56">
        <f>$BG418-$BG419</f>
        <v/>
      </c>
      <c r="DU418" s="56">
        <f>$BH418-$BH419</f>
        <v/>
      </c>
      <c r="DV418" s="56">
        <f>$BI418-$BI419</f>
        <v/>
      </c>
      <c r="DW418" s="56">
        <f>$BJ418-$BJ419</f>
        <v/>
      </c>
      <c r="DX418" s="56">
        <f>$BK418-$BK419</f>
        <v/>
      </c>
      <c r="DY418" s="56">
        <f>$BL418-$BL419</f>
        <v/>
      </c>
      <c r="DZ418" s="56">
        <f>$BM418-$BM419</f>
        <v/>
      </c>
      <c r="EA418" s="56">
        <f>$BN418-$BN419</f>
        <v/>
      </c>
      <c r="EB418" s="56">
        <f>$BO418-$BO419</f>
        <v/>
      </c>
      <c r="EC418" s="56">
        <f>$BP418-$BP419</f>
        <v/>
      </c>
      <c r="ED418" s="56">
        <f>$BQ418-$BQ419</f>
        <v/>
      </c>
      <c r="EE418" s="56">
        <f>$BR418-$BR419</f>
        <v/>
      </c>
      <c r="EF418" s="56">
        <f>$BS418-$BS419</f>
        <v/>
      </c>
      <c r="EG418" s="56">
        <f>$BT418-$BT419</f>
        <v/>
      </c>
      <c r="EH418" s="56">
        <f>$BU418-$BU419</f>
        <v/>
      </c>
    </row>
    <row r="419">
      <c r="BV419" s="56">
        <f>($D419-$D420)*100</f>
        <v/>
      </c>
      <c r="BW419" s="56">
        <f>($C419-$C420)*100</f>
        <v/>
      </c>
      <c r="BX419" s="57">
        <f>IFERROR($I419/$I420-1,"")</f>
        <v/>
      </c>
      <c r="BY419" s="56">
        <f>($AF419-$AF420)*100</f>
        <v/>
      </c>
      <c r="BZ419" s="56">
        <f>($AG419-$AG420)*100</f>
        <v/>
      </c>
      <c r="CA419" s="56">
        <f>($AH419-$AH420)*100</f>
        <v/>
      </c>
      <c r="CB419" s="56">
        <f>($AI419-$AI420)*100</f>
        <v/>
      </c>
      <c r="CC419" s="56">
        <f>($AJ419-$AJ420)*100</f>
        <v/>
      </c>
      <c r="CD419" s="56">
        <f>($AK419-$AK420)*100</f>
        <v/>
      </c>
      <c r="CE419" s="56">
        <f>($AL419-$AL420)*100</f>
        <v/>
      </c>
      <c r="CF419" s="56">
        <f>($AM419-$AM420)*100</f>
        <v/>
      </c>
      <c r="CG419" s="56">
        <f>($AN419-$AN420)*100</f>
        <v/>
      </c>
      <c r="CH419" s="56">
        <f>($AO419-$AO420)*100</f>
        <v/>
      </c>
      <c r="CI419" s="56">
        <f>($AP419-$AP420)*100</f>
        <v/>
      </c>
      <c r="CJ419" s="56">
        <f>($AQ419-$AQ420)*100</f>
        <v/>
      </c>
      <c r="CK419" s="56">
        <f>($AR419-$AR420)*100</f>
        <v/>
      </c>
      <c r="CL419" s="56">
        <f>($AS419-$AS420)*100</f>
        <v/>
      </c>
      <c r="CM419" s="56">
        <f>($AT419-$AT420)*100</f>
        <v/>
      </c>
      <c r="CN419" s="56">
        <f>($AU419-$AU420)*100</f>
        <v/>
      </c>
      <c r="CO419" s="56">
        <f>($AV419-$AV420)*100</f>
        <v/>
      </c>
      <c r="CP419" s="56">
        <f>($AW419-$AW420)*100</f>
        <v/>
      </c>
      <c r="CQ419" s="56">
        <f>($AX419-$AX420)*100</f>
        <v/>
      </c>
      <c r="CR419" s="56">
        <f>($AY419-$AY420)*100</f>
        <v/>
      </c>
      <c r="CS419" s="57">
        <f>IFERROR($L420/$L419-1,"")</f>
        <v/>
      </c>
      <c r="CT419" s="57">
        <f>IFERROR($M420/$M419-1,"")</f>
        <v/>
      </c>
      <c r="CU419" s="57">
        <f>IFERROR($N420/$N419-1,"")</f>
        <v/>
      </c>
      <c r="CV419" s="57">
        <f>IFERROR($O420/$O419-1,"")</f>
        <v/>
      </c>
      <c r="CW419" s="57">
        <f>IFERROR($P420/$P419-1,"")</f>
        <v/>
      </c>
      <c r="CX419" s="57">
        <f>IFERROR($Q420/$Q419-1,"")</f>
        <v/>
      </c>
      <c r="CY419" s="57">
        <f>IFERROR($R420/$R419-1,"")</f>
        <v/>
      </c>
      <c r="CZ419" s="57">
        <f>IFERROR($S420/$S419-1,"")</f>
        <v/>
      </c>
      <c r="DA419" s="57">
        <f>IFERROR($T420/$T419-1,"")</f>
        <v/>
      </c>
      <c r="DB419" s="57">
        <f>IFERROR($U420/$U419-1,"")</f>
        <v/>
      </c>
      <c r="DC419" s="57">
        <f>IFERROR($V420/$V419-1,"")</f>
        <v/>
      </c>
      <c r="DD419" s="57">
        <f>IFERROR($W420/$W419-1,"")</f>
        <v/>
      </c>
      <c r="DE419" s="57">
        <f>IFERROR($X420/$X419-1,"")</f>
        <v/>
      </c>
      <c r="DF419" s="57">
        <f>IFERROR($Y420/$Y419-1,"")</f>
        <v/>
      </c>
      <c r="DG419" s="57">
        <f>IFERROR($Z420/$Z419-1,"")</f>
        <v/>
      </c>
      <c r="DH419" s="57">
        <f>IFERROR($AA420/$AA419-1,"")</f>
        <v/>
      </c>
      <c r="DI419" s="57">
        <f>IFERROR($AB420/$AB419-1,"")</f>
        <v/>
      </c>
      <c r="DJ419" s="57">
        <f>IFERROR($AC420/$AC419-1,"")</f>
        <v/>
      </c>
      <c r="DK419" s="57">
        <f>IFERROR($AD420/$AD419-1,"")</f>
        <v/>
      </c>
      <c r="DL419" s="57">
        <f>IFERROR($AE420/$AE419-1,"")</f>
        <v/>
      </c>
      <c r="DM419" s="56">
        <f>$AZ419-$AZ420</f>
        <v/>
      </c>
      <c r="DN419" s="56">
        <f>$BA419-$BA420</f>
        <v/>
      </c>
      <c r="DO419" s="56">
        <f>$BB419-$BB420</f>
        <v/>
      </c>
      <c r="DP419" s="56">
        <f>$BC419-$BC420</f>
        <v/>
      </c>
      <c r="DQ419" s="56">
        <f>$BD419-$BD420</f>
        <v/>
      </c>
      <c r="DR419" s="56">
        <f>$BE419-$BE420</f>
        <v/>
      </c>
      <c r="DS419" s="56">
        <f>$BF419-$BF420</f>
        <v/>
      </c>
      <c r="DT419" s="56">
        <f>$BG419-$BG420</f>
        <v/>
      </c>
      <c r="DU419" s="56">
        <f>$BH419-$BH420</f>
        <v/>
      </c>
      <c r="DV419" s="56">
        <f>$BI419-$BI420</f>
        <v/>
      </c>
      <c r="DW419" s="56">
        <f>$BJ419-$BJ420</f>
        <v/>
      </c>
      <c r="DX419" s="56">
        <f>$BK419-$BK420</f>
        <v/>
      </c>
      <c r="DY419" s="56">
        <f>$BL419-$BL420</f>
        <v/>
      </c>
      <c r="DZ419" s="56">
        <f>$BM419-$BM420</f>
        <v/>
      </c>
      <c r="EA419" s="56">
        <f>$BN419-$BN420</f>
        <v/>
      </c>
      <c r="EB419" s="56">
        <f>$BO419-$BO420</f>
        <v/>
      </c>
      <c r="EC419" s="56">
        <f>$BP419-$BP420</f>
        <v/>
      </c>
      <c r="ED419" s="56">
        <f>$BQ419-$BQ420</f>
        <v/>
      </c>
      <c r="EE419" s="56">
        <f>$BR419-$BR420</f>
        <v/>
      </c>
      <c r="EF419" s="56">
        <f>$BS419-$BS420</f>
        <v/>
      </c>
      <c r="EG419" s="56">
        <f>$BT419-$BT420</f>
        <v/>
      </c>
      <c r="EH419" s="56">
        <f>$BU419-$BU420</f>
        <v/>
      </c>
    </row>
    <row r="420">
      <c r="BV420" s="56">
        <f>($D420-$D421)*100</f>
        <v/>
      </c>
      <c r="BW420" s="56">
        <f>($C420-$C421)*100</f>
        <v/>
      </c>
      <c r="BX420" s="57">
        <f>IFERROR($I420/$I421-1,"")</f>
        <v/>
      </c>
      <c r="BY420" s="56">
        <f>($AF420-$AF421)*100</f>
        <v/>
      </c>
      <c r="BZ420" s="56">
        <f>($AG420-$AG421)*100</f>
        <v/>
      </c>
      <c r="CA420" s="56">
        <f>($AH420-$AH421)*100</f>
        <v/>
      </c>
      <c r="CB420" s="56">
        <f>($AI420-$AI421)*100</f>
        <v/>
      </c>
      <c r="CC420" s="56">
        <f>($AJ420-$AJ421)*100</f>
        <v/>
      </c>
      <c r="CD420" s="56">
        <f>($AK420-$AK421)*100</f>
        <v/>
      </c>
      <c r="CE420" s="56">
        <f>($AL420-$AL421)*100</f>
        <v/>
      </c>
      <c r="CF420" s="56">
        <f>($AM420-$AM421)*100</f>
        <v/>
      </c>
      <c r="CG420" s="56">
        <f>($AN420-$AN421)*100</f>
        <v/>
      </c>
      <c r="CH420" s="56">
        <f>($AO420-$AO421)*100</f>
        <v/>
      </c>
      <c r="CI420" s="56">
        <f>($AP420-$AP421)*100</f>
        <v/>
      </c>
      <c r="CJ420" s="56">
        <f>($AQ420-$AQ421)*100</f>
        <v/>
      </c>
      <c r="CK420" s="56">
        <f>($AR420-$AR421)*100</f>
        <v/>
      </c>
      <c r="CL420" s="56">
        <f>($AS420-$AS421)*100</f>
        <v/>
      </c>
      <c r="CM420" s="56">
        <f>($AT420-$AT421)*100</f>
        <v/>
      </c>
      <c r="CN420" s="56">
        <f>($AU420-$AU421)*100</f>
        <v/>
      </c>
      <c r="CO420" s="56">
        <f>($AV420-$AV421)*100</f>
        <v/>
      </c>
      <c r="CP420" s="56">
        <f>($AW420-$AW421)*100</f>
        <v/>
      </c>
      <c r="CQ420" s="56">
        <f>($AX420-$AX421)*100</f>
        <v/>
      </c>
      <c r="CR420" s="56">
        <f>($AY420-$AY421)*100</f>
        <v/>
      </c>
      <c r="CS420" s="57">
        <f>IFERROR($L421/$L420-1,"")</f>
        <v/>
      </c>
      <c r="CT420" s="57">
        <f>IFERROR($M421/$M420-1,"")</f>
        <v/>
      </c>
      <c r="CU420" s="57">
        <f>IFERROR($N421/$N420-1,"")</f>
        <v/>
      </c>
      <c r="CV420" s="57">
        <f>IFERROR($O421/$O420-1,"")</f>
        <v/>
      </c>
      <c r="CW420" s="57">
        <f>IFERROR($P421/$P420-1,"")</f>
        <v/>
      </c>
      <c r="CX420" s="57">
        <f>IFERROR($Q421/$Q420-1,"")</f>
        <v/>
      </c>
      <c r="CY420" s="57">
        <f>IFERROR($R421/$R420-1,"")</f>
        <v/>
      </c>
      <c r="CZ420" s="57">
        <f>IFERROR($S421/$S420-1,"")</f>
        <v/>
      </c>
      <c r="DA420" s="57">
        <f>IFERROR($T421/$T420-1,"")</f>
        <v/>
      </c>
      <c r="DB420" s="57">
        <f>IFERROR($U421/$U420-1,"")</f>
        <v/>
      </c>
      <c r="DC420" s="57">
        <f>IFERROR($V421/$V420-1,"")</f>
        <v/>
      </c>
      <c r="DD420" s="57">
        <f>IFERROR($W421/$W420-1,"")</f>
        <v/>
      </c>
      <c r="DE420" s="57">
        <f>IFERROR($X421/$X420-1,"")</f>
        <v/>
      </c>
      <c r="DF420" s="57">
        <f>IFERROR($Y421/$Y420-1,"")</f>
        <v/>
      </c>
      <c r="DG420" s="57">
        <f>IFERROR($Z421/$Z420-1,"")</f>
        <v/>
      </c>
      <c r="DH420" s="57">
        <f>IFERROR($AA421/$AA420-1,"")</f>
        <v/>
      </c>
      <c r="DI420" s="57">
        <f>IFERROR($AB421/$AB420-1,"")</f>
        <v/>
      </c>
      <c r="DJ420" s="57">
        <f>IFERROR($AC421/$AC420-1,"")</f>
        <v/>
      </c>
      <c r="DK420" s="57">
        <f>IFERROR($AD421/$AD420-1,"")</f>
        <v/>
      </c>
      <c r="DL420" s="57">
        <f>IFERROR($AE421/$AE420-1,"")</f>
        <v/>
      </c>
      <c r="DM420" s="56">
        <f>$AZ420-$AZ421</f>
        <v/>
      </c>
      <c r="DN420" s="56">
        <f>$BA420-$BA421</f>
        <v/>
      </c>
      <c r="DO420" s="56">
        <f>$BB420-$BB421</f>
        <v/>
      </c>
      <c r="DP420" s="56">
        <f>$BC420-$BC421</f>
        <v/>
      </c>
      <c r="DQ420" s="56">
        <f>$BD420-$BD421</f>
        <v/>
      </c>
      <c r="DR420" s="56">
        <f>$BE420-$BE421</f>
        <v/>
      </c>
      <c r="DS420" s="56">
        <f>$BF420-$BF421</f>
        <v/>
      </c>
      <c r="DT420" s="56">
        <f>$BG420-$BG421</f>
        <v/>
      </c>
      <c r="DU420" s="56">
        <f>$BH420-$BH421</f>
        <v/>
      </c>
      <c r="DV420" s="56">
        <f>$BI420-$BI421</f>
        <v/>
      </c>
      <c r="DW420" s="56">
        <f>$BJ420-$BJ421</f>
        <v/>
      </c>
      <c r="DX420" s="56">
        <f>$BK420-$BK421</f>
        <v/>
      </c>
      <c r="DY420" s="56">
        <f>$BL420-$BL421</f>
        <v/>
      </c>
      <c r="DZ420" s="56">
        <f>$BM420-$BM421</f>
        <v/>
      </c>
      <c r="EA420" s="56">
        <f>$BN420-$BN421</f>
        <v/>
      </c>
      <c r="EB420" s="56">
        <f>$BO420-$BO421</f>
        <v/>
      </c>
      <c r="EC420" s="56">
        <f>$BP420-$BP421</f>
        <v/>
      </c>
      <c r="ED420" s="56">
        <f>$BQ420-$BQ421</f>
        <v/>
      </c>
      <c r="EE420" s="56">
        <f>$BR420-$BR421</f>
        <v/>
      </c>
      <c r="EF420" s="56">
        <f>$BS420-$BS421</f>
        <v/>
      </c>
      <c r="EG420" s="56">
        <f>$BT420-$BT421</f>
        <v/>
      </c>
      <c r="EH420" s="56">
        <f>$BU420-$BU421</f>
        <v/>
      </c>
    </row>
    <row r="421">
      <c r="BV421" s="56">
        <f>($D421-$D422)*100</f>
        <v/>
      </c>
      <c r="BW421" s="56">
        <f>($C421-$C422)*100</f>
        <v/>
      </c>
      <c r="BX421" s="57">
        <f>IFERROR($I421/$I422-1,"")</f>
        <v/>
      </c>
      <c r="BY421" s="56">
        <f>($AF421-$AF422)*100</f>
        <v/>
      </c>
      <c r="BZ421" s="56">
        <f>($AG421-$AG422)*100</f>
        <v/>
      </c>
      <c r="CA421" s="56">
        <f>($AH421-$AH422)*100</f>
        <v/>
      </c>
      <c r="CB421" s="56">
        <f>($AI421-$AI422)*100</f>
        <v/>
      </c>
      <c r="CC421" s="56">
        <f>($AJ421-$AJ422)*100</f>
        <v/>
      </c>
      <c r="CD421" s="56">
        <f>($AK421-$AK422)*100</f>
        <v/>
      </c>
      <c r="CE421" s="56">
        <f>($AL421-$AL422)*100</f>
        <v/>
      </c>
      <c r="CF421" s="56">
        <f>($AM421-$AM422)*100</f>
        <v/>
      </c>
      <c r="CG421" s="56">
        <f>($AN421-$AN422)*100</f>
        <v/>
      </c>
      <c r="CH421" s="56">
        <f>($AO421-$AO422)*100</f>
        <v/>
      </c>
      <c r="CI421" s="56">
        <f>($AP421-$AP422)*100</f>
        <v/>
      </c>
      <c r="CJ421" s="56">
        <f>($AQ421-$AQ422)*100</f>
        <v/>
      </c>
      <c r="CK421" s="56">
        <f>($AR421-$AR422)*100</f>
        <v/>
      </c>
      <c r="CL421" s="56">
        <f>($AS421-$AS422)*100</f>
        <v/>
      </c>
      <c r="CM421" s="56">
        <f>($AT421-$AT422)*100</f>
        <v/>
      </c>
      <c r="CN421" s="56">
        <f>($AU421-$AU422)*100</f>
        <v/>
      </c>
      <c r="CO421" s="56">
        <f>($AV421-$AV422)*100</f>
        <v/>
      </c>
      <c r="CP421" s="56">
        <f>($AW421-$AW422)*100</f>
        <v/>
      </c>
      <c r="CQ421" s="56">
        <f>($AX421-$AX422)*100</f>
        <v/>
      </c>
      <c r="CR421" s="56">
        <f>($AY421-$AY422)*100</f>
        <v/>
      </c>
      <c r="CS421" s="57">
        <f>IFERROR($L422/$L421-1,"")</f>
        <v/>
      </c>
      <c r="CT421" s="57">
        <f>IFERROR($M422/$M421-1,"")</f>
        <v/>
      </c>
      <c r="CU421" s="57">
        <f>IFERROR($N422/$N421-1,"")</f>
        <v/>
      </c>
      <c r="CV421" s="57">
        <f>IFERROR($O422/$O421-1,"")</f>
        <v/>
      </c>
      <c r="CW421" s="57">
        <f>IFERROR($P422/$P421-1,"")</f>
        <v/>
      </c>
      <c r="CX421" s="57">
        <f>IFERROR($Q422/$Q421-1,"")</f>
        <v/>
      </c>
      <c r="CY421" s="57">
        <f>IFERROR($R422/$R421-1,"")</f>
        <v/>
      </c>
      <c r="CZ421" s="57">
        <f>IFERROR($S422/$S421-1,"")</f>
        <v/>
      </c>
      <c r="DA421" s="57">
        <f>IFERROR($T422/$T421-1,"")</f>
        <v/>
      </c>
      <c r="DB421" s="57">
        <f>IFERROR($U422/$U421-1,"")</f>
        <v/>
      </c>
      <c r="DC421" s="57">
        <f>IFERROR($V422/$V421-1,"")</f>
        <v/>
      </c>
      <c r="DD421" s="57">
        <f>IFERROR($W422/$W421-1,"")</f>
        <v/>
      </c>
      <c r="DE421" s="57">
        <f>IFERROR($X422/$X421-1,"")</f>
        <v/>
      </c>
      <c r="DF421" s="57">
        <f>IFERROR($Y422/$Y421-1,"")</f>
        <v/>
      </c>
      <c r="DG421" s="57">
        <f>IFERROR($Z422/$Z421-1,"")</f>
        <v/>
      </c>
      <c r="DH421" s="57">
        <f>IFERROR($AA422/$AA421-1,"")</f>
        <v/>
      </c>
      <c r="DI421" s="57">
        <f>IFERROR($AB422/$AB421-1,"")</f>
        <v/>
      </c>
      <c r="DJ421" s="57">
        <f>IFERROR($AC422/$AC421-1,"")</f>
        <v/>
      </c>
      <c r="DK421" s="57">
        <f>IFERROR($AD422/$AD421-1,"")</f>
        <v/>
      </c>
      <c r="DL421" s="57">
        <f>IFERROR($AE422/$AE421-1,"")</f>
        <v/>
      </c>
      <c r="DM421" s="56">
        <f>$AZ421-$AZ422</f>
        <v/>
      </c>
      <c r="DN421" s="56">
        <f>$BA421-$BA422</f>
        <v/>
      </c>
      <c r="DO421" s="56">
        <f>$BB421-$BB422</f>
        <v/>
      </c>
      <c r="DP421" s="56">
        <f>$BC421-$BC422</f>
        <v/>
      </c>
      <c r="DQ421" s="56">
        <f>$BD421-$BD422</f>
        <v/>
      </c>
      <c r="DR421" s="56">
        <f>$BE421-$BE422</f>
        <v/>
      </c>
      <c r="DS421" s="56">
        <f>$BF421-$BF422</f>
        <v/>
      </c>
      <c r="DT421" s="56">
        <f>$BG421-$BG422</f>
        <v/>
      </c>
      <c r="DU421" s="56">
        <f>$BH421-$BH422</f>
        <v/>
      </c>
      <c r="DV421" s="56">
        <f>$BI421-$BI422</f>
        <v/>
      </c>
      <c r="DW421" s="56">
        <f>$BJ421-$BJ422</f>
        <v/>
      </c>
      <c r="DX421" s="56">
        <f>$BK421-$BK422</f>
        <v/>
      </c>
      <c r="DY421" s="56">
        <f>$BL421-$BL422</f>
        <v/>
      </c>
      <c r="DZ421" s="56">
        <f>$BM421-$BM422</f>
        <v/>
      </c>
      <c r="EA421" s="56">
        <f>$BN421-$BN422</f>
        <v/>
      </c>
      <c r="EB421" s="56">
        <f>$BO421-$BO422</f>
        <v/>
      </c>
      <c r="EC421" s="56">
        <f>$BP421-$BP422</f>
        <v/>
      </c>
      <c r="ED421" s="56">
        <f>$BQ421-$BQ422</f>
        <v/>
      </c>
      <c r="EE421" s="56">
        <f>$BR421-$BR422</f>
        <v/>
      </c>
      <c r="EF421" s="56">
        <f>$BS421-$BS422</f>
        <v/>
      </c>
      <c r="EG421" s="56">
        <f>$BT421-$BT422</f>
        <v/>
      </c>
      <c r="EH421" s="56">
        <f>$BU421-$BU422</f>
        <v/>
      </c>
    </row>
    <row r="422">
      <c r="BV422" s="56">
        <f>($D422-$D423)*100</f>
        <v/>
      </c>
      <c r="BW422" s="56">
        <f>($C422-$C423)*100</f>
        <v/>
      </c>
      <c r="BX422" s="57">
        <f>IFERROR($I422/$I423-1,"")</f>
        <v/>
      </c>
      <c r="BY422" s="56">
        <f>($AF422-$AF423)*100</f>
        <v/>
      </c>
      <c r="BZ422" s="56">
        <f>($AG422-$AG423)*100</f>
        <v/>
      </c>
      <c r="CA422" s="56">
        <f>($AH422-$AH423)*100</f>
        <v/>
      </c>
      <c r="CB422" s="56">
        <f>($AI422-$AI423)*100</f>
        <v/>
      </c>
      <c r="CC422" s="56">
        <f>($AJ422-$AJ423)*100</f>
        <v/>
      </c>
      <c r="CD422" s="56">
        <f>($AK422-$AK423)*100</f>
        <v/>
      </c>
      <c r="CE422" s="56">
        <f>($AL422-$AL423)*100</f>
        <v/>
      </c>
      <c r="CF422" s="56">
        <f>($AM422-$AM423)*100</f>
        <v/>
      </c>
      <c r="CG422" s="56">
        <f>($AN422-$AN423)*100</f>
        <v/>
      </c>
      <c r="CH422" s="56">
        <f>($AO422-$AO423)*100</f>
        <v/>
      </c>
      <c r="CI422" s="56">
        <f>($AP422-$AP423)*100</f>
        <v/>
      </c>
      <c r="CJ422" s="56">
        <f>($AQ422-$AQ423)*100</f>
        <v/>
      </c>
      <c r="CK422" s="56">
        <f>($AR422-$AR423)*100</f>
        <v/>
      </c>
      <c r="CL422" s="56">
        <f>($AS422-$AS423)*100</f>
        <v/>
      </c>
      <c r="CM422" s="56">
        <f>($AT422-$AT423)*100</f>
        <v/>
      </c>
      <c r="CN422" s="56">
        <f>($AU422-$AU423)*100</f>
        <v/>
      </c>
      <c r="CO422" s="56">
        <f>($AV422-$AV423)*100</f>
        <v/>
      </c>
      <c r="CP422" s="56">
        <f>($AW422-$AW423)*100</f>
        <v/>
      </c>
      <c r="CQ422" s="56">
        <f>($AX422-$AX423)*100</f>
        <v/>
      </c>
      <c r="CR422" s="56">
        <f>($AY422-$AY423)*100</f>
        <v/>
      </c>
      <c r="CS422" s="57">
        <f>IFERROR($L423/$L422-1,"")</f>
        <v/>
      </c>
      <c r="CT422" s="57">
        <f>IFERROR($M423/$M422-1,"")</f>
        <v/>
      </c>
      <c r="CU422" s="57">
        <f>IFERROR($N423/$N422-1,"")</f>
        <v/>
      </c>
      <c r="CV422" s="57">
        <f>IFERROR($O423/$O422-1,"")</f>
        <v/>
      </c>
      <c r="CW422" s="57">
        <f>IFERROR($P423/$P422-1,"")</f>
        <v/>
      </c>
      <c r="CX422" s="57">
        <f>IFERROR($Q423/$Q422-1,"")</f>
        <v/>
      </c>
      <c r="CY422" s="57">
        <f>IFERROR($R423/$R422-1,"")</f>
        <v/>
      </c>
      <c r="CZ422" s="57">
        <f>IFERROR($S423/$S422-1,"")</f>
        <v/>
      </c>
      <c r="DA422" s="57">
        <f>IFERROR($T423/$T422-1,"")</f>
        <v/>
      </c>
      <c r="DB422" s="57">
        <f>IFERROR($U423/$U422-1,"")</f>
        <v/>
      </c>
      <c r="DC422" s="57">
        <f>IFERROR($V423/$V422-1,"")</f>
        <v/>
      </c>
      <c r="DD422" s="57">
        <f>IFERROR($W423/$W422-1,"")</f>
        <v/>
      </c>
      <c r="DE422" s="57">
        <f>IFERROR($X423/$X422-1,"")</f>
        <v/>
      </c>
      <c r="DF422" s="57">
        <f>IFERROR($Y423/$Y422-1,"")</f>
        <v/>
      </c>
      <c r="DG422" s="57">
        <f>IFERROR($Z423/$Z422-1,"")</f>
        <v/>
      </c>
      <c r="DH422" s="57">
        <f>IFERROR($AA423/$AA422-1,"")</f>
        <v/>
      </c>
      <c r="DI422" s="57">
        <f>IFERROR($AB423/$AB422-1,"")</f>
        <v/>
      </c>
      <c r="DJ422" s="57">
        <f>IFERROR($AC423/$AC422-1,"")</f>
        <v/>
      </c>
      <c r="DK422" s="57">
        <f>IFERROR($AD423/$AD422-1,"")</f>
        <v/>
      </c>
      <c r="DL422" s="57">
        <f>IFERROR($AE423/$AE422-1,"")</f>
        <v/>
      </c>
      <c r="DM422" s="56">
        <f>$AZ422-$AZ423</f>
        <v/>
      </c>
      <c r="DN422" s="56">
        <f>$BA422-$BA423</f>
        <v/>
      </c>
      <c r="DO422" s="56">
        <f>$BB422-$BB423</f>
        <v/>
      </c>
      <c r="DP422" s="56">
        <f>$BC422-$BC423</f>
        <v/>
      </c>
      <c r="DQ422" s="56">
        <f>$BD422-$BD423</f>
        <v/>
      </c>
      <c r="DR422" s="56">
        <f>$BE422-$BE423</f>
        <v/>
      </c>
      <c r="DS422" s="56">
        <f>$BF422-$BF423</f>
        <v/>
      </c>
      <c r="DT422" s="56">
        <f>$BG422-$BG423</f>
        <v/>
      </c>
      <c r="DU422" s="56">
        <f>$BH422-$BH423</f>
        <v/>
      </c>
      <c r="DV422" s="56">
        <f>$BI422-$BI423</f>
        <v/>
      </c>
      <c r="DW422" s="56">
        <f>$BJ422-$BJ423</f>
        <v/>
      </c>
      <c r="DX422" s="56">
        <f>$BK422-$BK423</f>
        <v/>
      </c>
      <c r="DY422" s="56">
        <f>$BL422-$BL423</f>
        <v/>
      </c>
      <c r="DZ422" s="56">
        <f>$BM422-$BM423</f>
        <v/>
      </c>
      <c r="EA422" s="56">
        <f>$BN422-$BN423</f>
        <v/>
      </c>
      <c r="EB422" s="56">
        <f>$BO422-$BO423</f>
        <v/>
      </c>
      <c r="EC422" s="56">
        <f>$BP422-$BP423</f>
        <v/>
      </c>
      <c r="ED422" s="56">
        <f>$BQ422-$BQ423</f>
        <v/>
      </c>
      <c r="EE422" s="56">
        <f>$BR422-$BR423</f>
        <v/>
      </c>
      <c r="EF422" s="56">
        <f>$BS422-$BS423</f>
        <v/>
      </c>
      <c r="EG422" s="56">
        <f>$BT422-$BT423</f>
        <v/>
      </c>
      <c r="EH422" s="56">
        <f>$BU422-$BU423</f>
        <v/>
      </c>
    </row>
    <row r="423">
      <c r="BV423" s="56">
        <f>($D423-$D424)*100</f>
        <v/>
      </c>
      <c r="BW423" s="56">
        <f>($C423-$C424)*100</f>
        <v/>
      </c>
      <c r="BX423" s="57">
        <f>IFERROR($I423/$I424-1,"")</f>
        <v/>
      </c>
      <c r="BY423" s="56">
        <f>($AF423-$AF424)*100</f>
        <v/>
      </c>
      <c r="BZ423" s="56">
        <f>($AG423-$AG424)*100</f>
        <v/>
      </c>
      <c r="CA423" s="56">
        <f>($AH423-$AH424)*100</f>
        <v/>
      </c>
      <c r="CB423" s="56">
        <f>($AI423-$AI424)*100</f>
        <v/>
      </c>
      <c r="CC423" s="56">
        <f>($AJ423-$AJ424)*100</f>
        <v/>
      </c>
      <c r="CD423" s="56">
        <f>($AK423-$AK424)*100</f>
        <v/>
      </c>
      <c r="CE423" s="56">
        <f>($AL423-$AL424)*100</f>
        <v/>
      </c>
      <c r="CF423" s="56">
        <f>($AM423-$AM424)*100</f>
        <v/>
      </c>
      <c r="CG423" s="56">
        <f>($AN423-$AN424)*100</f>
        <v/>
      </c>
      <c r="CH423" s="56">
        <f>($AO423-$AO424)*100</f>
        <v/>
      </c>
      <c r="CI423" s="56">
        <f>($AP423-$AP424)*100</f>
        <v/>
      </c>
      <c r="CJ423" s="56">
        <f>($AQ423-$AQ424)*100</f>
        <v/>
      </c>
      <c r="CK423" s="56">
        <f>($AR423-$AR424)*100</f>
        <v/>
      </c>
      <c r="CL423" s="56">
        <f>($AS423-$AS424)*100</f>
        <v/>
      </c>
      <c r="CM423" s="56">
        <f>($AT423-$AT424)*100</f>
        <v/>
      </c>
      <c r="CN423" s="56">
        <f>($AU423-$AU424)*100</f>
        <v/>
      </c>
      <c r="CO423" s="56">
        <f>($AV423-$AV424)*100</f>
        <v/>
      </c>
      <c r="CP423" s="56">
        <f>($AW423-$AW424)*100</f>
        <v/>
      </c>
      <c r="CQ423" s="56">
        <f>($AX423-$AX424)*100</f>
        <v/>
      </c>
      <c r="CR423" s="56">
        <f>($AY423-$AY424)*100</f>
        <v/>
      </c>
      <c r="CS423" s="57">
        <f>IFERROR($L424/$L423-1,"")</f>
        <v/>
      </c>
      <c r="CT423" s="57">
        <f>IFERROR($M424/$M423-1,"")</f>
        <v/>
      </c>
      <c r="CU423" s="57">
        <f>IFERROR($N424/$N423-1,"")</f>
        <v/>
      </c>
      <c r="CV423" s="57">
        <f>IFERROR($O424/$O423-1,"")</f>
        <v/>
      </c>
      <c r="CW423" s="57">
        <f>IFERROR($P424/$P423-1,"")</f>
        <v/>
      </c>
      <c r="CX423" s="57">
        <f>IFERROR($Q424/$Q423-1,"")</f>
        <v/>
      </c>
      <c r="CY423" s="57">
        <f>IFERROR($R424/$R423-1,"")</f>
        <v/>
      </c>
      <c r="CZ423" s="57">
        <f>IFERROR($S424/$S423-1,"")</f>
        <v/>
      </c>
      <c r="DA423" s="57">
        <f>IFERROR($T424/$T423-1,"")</f>
        <v/>
      </c>
      <c r="DB423" s="57">
        <f>IFERROR($U424/$U423-1,"")</f>
        <v/>
      </c>
      <c r="DC423" s="57">
        <f>IFERROR($V424/$V423-1,"")</f>
        <v/>
      </c>
      <c r="DD423" s="57">
        <f>IFERROR($W424/$W423-1,"")</f>
        <v/>
      </c>
      <c r="DE423" s="57">
        <f>IFERROR($X424/$X423-1,"")</f>
        <v/>
      </c>
      <c r="DF423" s="57">
        <f>IFERROR($Y424/$Y423-1,"")</f>
        <v/>
      </c>
      <c r="DG423" s="57">
        <f>IFERROR($Z424/$Z423-1,"")</f>
        <v/>
      </c>
      <c r="DH423" s="57">
        <f>IFERROR($AA424/$AA423-1,"")</f>
        <v/>
      </c>
      <c r="DI423" s="57">
        <f>IFERROR($AB424/$AB423-1,"")</f>
        <v/>
      </c>
      <c r="DJ423" s="57">
        <f>IFERROR($AC424/$AC423-1,"")</f>
        <v/>
      </c>
      <c r="DK423" s="57">
        <f>IFERROR($AD424/$AD423-1,"")</f>
        <v/>
      </c>
      <c r="DL423" s="57">
        <f>IFERROR($AE424/$AE423-1,"")</f>
        <v/>
      </c>
      <c r="DM423" s="56">
        <f>$AZ423-$AZ424</f>
        <v/>
      </c>
      <c r="DN423" s="56">
        <f>$BA423-$BA424</f>
        <v/>
      </c>
      <c r="DO423" s="56">
        <f>$BB423-$BB424</f>
        <v/>
      </c>
      <c r="DP423" s="56">
        <f>$BC423-$BC424</f>
        <v/>
      </c>
      <c r="DQ423" s="56">
        <f>$BD423-$BD424</f>
        <v/>
      </c>
      <c r="DR423" s="56">
        <f>$BE423-$BE424</f>
        <v/>
      </c>
      <c r="DS423" s="56">
        <f>$BF423-$BF424</f>
        <v/>
      </c>
      <c r="DT423" s="56">
        <f>$BG423-$BG424</f>
        <v/>
      </c>
      <c r="DU423" s="56">
        <f>$BH423-$BH424</f>
        <v/>
      </c>
      <c r="DV423" s="56">
        <f>$BI423-$BI424</f>
        <v/>
      </c>
      <c r="DW423" s="56">
        <f>$BJ423-$BJ424</f>
        <v/>
      </c>
      <c r="DX423" s="56">
        <f>$BK423-$BK424</f>
        <v/>
      </c>
      <c r="DY423" s="56">
        <f>$BL423-$BL424</f>
        <v/>
      </c>
      <c r="DZ423" s="56">
        <f>$BM423-$BM424</f>
        <v/>
      </c>
      <c r="EA423" s="56">
        <f>$BN423-$BN424</f>
        <v/>
      </c>
      <c r="EB423" s="56">
        <f>$BO423-$BO424</f>
        <v/>
      </c>
      <c r="EC423" s="56">
        <f>$BP423-$BP424</f>
        <v/>
      </c>
      <c r="ED423" s="56">
        <f>$BQ423-$BQ424</f>
        <v/>
      </c>
      <c r="EE423" s="56">
        <f>$BR423-$BR424</f>
        <v/>
      </c>
      <c r="EF423" s="56">
        <f>$BS423-$BS424</f>
        <v/>
      </c>
      <c r="EG423" s="56">
        <f>$BT423-$BT424</f>
        <v/>
      </c>
      <c r="EH423" s="56">
        <f>$BU423-$BU424</f>
        <v/>
      </c>
    </row>
    <row r="424">
      <c r="BV424" s="56">
        <f>($D424-$D425)*100</f>
        <v/>
      </c>
      <c r="BW424" s="56">
        <f>($C424-$C425)*100</f>
        <v/>
      </c>
      <c r="BX424" s="57">
        <f>IFERROR($I424/$I425-1,"")</f>
        <v/>
      </c>
      <c r="BY424" s="56">
        <f>($AF424-$AF425)*100</f>
        <v/>
      </c>
      <c r="BZ424" s="56">
        <f>($AG424-$AG425)*100</f>
        <v/>
      </c>
      <c r="CA424" s="56">
        <f>($AH424-$AH425)*100</f>
        <v/>
      </c>
      <c r="CB424" s="56">
        <f>($AI424-$AI425)*100</f>
        <v/>
      </c>
      <c r="CC424" s="56">
        <f>($AJ424-$AJ425)*100</f>
        <v/>
      </c>
      <c r="CD424" s="56">
        <f>($AK424-$AK425)*100</f>
        <v/>
      </c>
      <c r="CE424" s="56">
        <f>($AL424-$AL425)*100</f>
        <v/>
      </c>
      <c r="CF424" s="56">
        <f>($AM424-$AM425)*100</f>
        <v/>
      </c>
      <c r="CG424" s="56">
        <f>($AN424-$AN425)*100</f>
        <v/>
      </c>
      <c r="CH424" s="56">
        <f>($AO424-$AO425)*100</f>
        <v/>
      </c>
      <c r="CI424" s="56">
        <f>($AP424-$AP425)*100</f>
        <v/>
      </c>
      <c r="CJ424" s="56">
        <f>($AQ424-$AQ425)*100</f>
        <v/>
      </c>
      <c r="CK424" s="56">
        <f>($AR424-$AR425)*100</f>
        <v/>
      </c>
      <c r="CL424" s="56">
        <f>($AS424-$AS425)*100</f>
        <v/>
      </c>
      <c r="CM424" s="56">
        <f>($AT424-$AT425)*100</f>
        <v/>
      </c>
      <c r="CN424" s="56">
        <f>($AU424-$AU425)*100</f>
        <v/>
      </c>
      <c r="CO424" s="56">
        <f>($AV424-$AV425)*100</f>
        <v/>
      </c>
      <c r="CP424" s="56">
        <f>($AW424-$AW425)*100</f>
        <v/>
      </c>
      <c r="CQ424" s="56">
        <f>($AX424-$AX425)*100</f>
        <v/>
      </c>
      <c r="CR424" s="56">
        <f>($AY424-$AY425)*100</f>
        <v/>
      </c>
      <c r="CS424" s="57">
        <f>IFERROR($L425/$L424-1,"")</f>
        <v/>
      </c>
      <c r="CT424" s="57">
        <f>IFERROR($M425/$M424-1,"")</f>
        <v/>
      </c>
      <c r="CU424" s="57">
        <f>IFERROR($N425/$N424-1,"")</f>
        <v/>
      </c>
      <c r="CV424" s="57">
        <f>IFERROR($O425/$O424-1,"")</f>
        <v/>
      </c>
      <c r="CW424" s="57">
        <f>IFERROR($P425/$P424-1,"")</f>
        <v/>
      </c>
      <c r="CX424" s="57">
        <f>IFERROR($Q425/$Q424-1,"")</f>
        <v/>
      </c>
      <c r="CY424" s="57">
        <f>IFERROR($R425/$R424-1,"")</f>
        <v/>
      </c>
      <c r="CZ424" s="57">
        <f>IFERROR($S425/$S424-1,"")</f>
        <v/>
      </c>
      <c r="DA424" s="57">
        <f>IFERROR($T425/$T424-1,"")</f>
        <v/>
      </c>
      <c r="DB424" s="57">
        <f>IFERROR($U425/$U424-1,"")</f>
        <v/>
      </c>
      <c r="DC424" s="57">
        <f>IFERROR($V425/$V424-1,"")</f>
        <v/>
      </c>
      <c r="DD424" s="57">
        <f>IFERROR($W425/$W424-1,"")</f>
        <v/>
      </c>
      <c r="DE424" s="57">
        <f>IFERROR($X425/$X424-1,"")</f>
        <v/>
      </c>
      <c r="DF424" s="57">
        <f>IFERROR($Y425/$Y424-1,"")</f>
        <v/>
      </c>
      <c r="DG424" s="57">
        <f>IFERROR($Z425/$Z424-1,"")</f>
        <v/>
      </c>
      <c r="DH424" s="57">
        <f>IFERROR($AA425/$AA424-1,"")</f>
        <v/>
      </c>
      <c r="DI424" s="57">
        <f>IFERROR($AB425/$AB424-1,"")</f>
        <v/>
      </c>
      <c r="DJ424" s="57">
        <f>IFERROR($AC425/$AC424-1,"")</f>
        <v/>
      </c>
      <c r="DK424" s="57">
        <f>IFERROR($AD425/$AD424-1,"")</f>
        <v/>
      </c>
      <c r="DL424" s="57">
        <f>IFERROR($AE425/$AE424-1,"")</f>
        <v/>
      </c>
      <c r="DM424" s="56">
        <f>$AZ424-$AZ425</f>
        <v/>
      </c>
      <c r="DN424" s="56">
        <f>$BA424-$BA425</f>
        <v/>
      </c>
      <c r="DO424" s="56">
        <f>$BB424-$BB425</f>
        <v/>
      </c>
      <c r="DP424" s="56">
        <f>$BC424-$BC425</f>
        <v/>
      </c>
      <c r="DQ424" s="56">
        <f>$BD424-$BD425</f>
        <v/>
      </c>
      <c r="DR424" s="56">
        <f>$BE424-$BE425</f>
        <v/>
      </c>
      <c r="DS424" s="56">
        <f>$BF424-$BF425</f>
        <v/>
      </c>
      <c r="DT424" s="56">
        <f>$BG424-$BG425</f>
        <v/>
      </c>
      <c r="DU424" s="56">
        <f>$BH424-$BH425</f>
        <v/>
      </c>
      <c r="DV424" s="56">
        <f>$BI424-$BI425</f>
        <v/>
      </c>
      <c r="DW424" s="56">
        <f>$BJ424-$BJ425</f>
        <v/>
      </c>
      <c r="DX424" s="56">
        <f>$BK424-$BK425</f>
        <v/>
      </c>
      <c r="DY424" s="56">
        <f>$BL424-$BL425</f>
        <v/>
      </c>
      <c r="DZ424" s="56">
        <f>$BM424-$BM425</f>
        <v/>
      </c>
      <c r="EA424" s="56">
        <f>$BN424-$BN425</f>
        <v/>
      </c>
      <c r="EB424" s="56">
        <f>$BO424-$BO425</f>
        <v/>
      </c>
      <c r="EC424" s="56">
        <f>$BP424-$BP425</f>
        <v/>
      </c>
      <c r="ED424" s="56">
        <f>$BQ424-$BQ425</f>
        <v/>
      </c>
      <c r="EE424" s="56">
        <f>$BR424-$BR425</f>
        <v/>
      </c>
      <c r="EF424" s="56">
        <f>$BS424-$BS425</f>
        <v/>
      </c>
      <c r="EG424" s="56">
        <f>$BT424-$BT425</f>
        <v/>
      </c>
      <c r="EH424" s="56">
        <f>$BU424-$BU425</f>
        <v/>
      </c>
    </row>
    <row r="425">
      <c r="BV425" s="56">
        <f>($D425-$D426)*100</f>
        <v/>
      </c>
      <c r="BW425" s="56">
        <f>($C425-$C426)*100</f>
        <v/>
      </c>
      <c r="BX425" s="57">
        <f>IFERROR($I425/$I426-1,"")</f>
        <v/>
      </c>
      <c r="BY425" s="56">
        <f>($AF425-$AF426)*100</f>
        <v/>
      </c>
      <c r="BZ425" s="56">
        <f>($AG425-$AG426)*100</f>
        <v/>
      </c>
      <c r="CA425" s="56">
        <f>($AH425-$AH426)*100</f>
        <v/>
      </c>
      <c r="CB425" s="56">
        <f>($AI425-$AI426)*100</f>
        <v/>
      </c>
      <c r="CC425" s="56">
        <f>($AJ425-$AJ426)*100</f>
        <v/>
      </c>
      <c r="CD425" s="56">
        <f>($AK425-$AK426)*100</f>
        <v/>
      </c>
      <c r="CE425" s="56">
        <f>($AL425-$AL426)*100</f>
        <v/>
      </c>
      <c r="CF425" s="56">
        <f>($AM425-$AM426)*100</f>
        <v/>
      </c>
      <c r="CG425" s="56">
        <f>($AN425-$AN426)*100</f>
        <v/>
      </c>
      <c r="CH425" s="56">
        <f>($AO425-$AO426)*100</f>
        <v/>
      </c>
      <c r="CI425" s="56">
        <f>($AP425-$AP426)*100</f>
        <v/>
      </c>
      <c r="CJ425" s="56">
        <f>($AQ425-$AQ426)*100</f>
        <v/>
      </c>
      <c r="CK425" s="56">
        <f>($AR425-$AR426)*100</f>
        <v/>
      </c>
      <c r="CL425" s="56">
        <f>($AS425-$AS426)*100</f>
        <v/>
      </c>
      <c r="CM425" s="56">
        <f>($AT425-$AT426)*100</f>
        <v/>
      </c>
      <c r="CN425" s="56">
        <f>($AU425-$AU426)*100</f>
        <v/>
      </c>
      <c r="CO425" s="56">
        <f>($AV425-$AV426)*100</f>
        <v/>
      </c>
      <c r="CP425" s="56">
        <f>($AW425-$AW426)*100</f>
        <v/>
      </c>
      <c r="CQ425" s="56">
        <f>($AX425-$AX426)*100</f>
        <v/>
      </c>
      <c r="CR425" s="56">
        <f>($AY425-$AY426)*100</f>
        <v/>
      </c>
      <c r="CS425" s="57">
        <f>IFERROR($L426/$L425-1,"")</f>
        <v/>
      </c>
      <c r="CT425" s="57">
        <f>IFERROR($M426/$M425-1,"")</f>
        <v/>
      </c>
      <c r="CU425" s="57">
        <f>IFERROR($N426/$N425-1,"")</f>
        <v/>
      </c>
      <c r="CV425" s="57">
        <f>IFERROR($O426/$O425-1,"")</f>
        <v/>
      </c>
      <c r="CW425" s="57">
        <f>IFERROR($P426/$P425-1,"")</f>
        <v/>
      </c>
      <c r="CX425" s="57">
        <f>IFERROR($Q426/$Q425-1,"")</f>
        <v/>
      </c>
      <c r="CY425" s="57">
        <f>IFERROR($R426/$R425-1,"")</f>
        <v/>
      </c>
      <c r="CZ425" s="57">
        <f>IFERROR($S426/$S425-1,"")</f>
        <v/>
      </c>
      <c r="DA425" s="57">
        <f>IFERROR($T426/$T425-1,"")</f>
        <v/>
      </c>
      <c r="DB425" s="57">
        <f>IFERROR($U426/$U425-1,"")</f>
        <v/>
      </c>
      <c r="DC425" s="57">
        <f>IFERROR($V426/$V425-1,"")</f>
        <v/>
      </c>
      <c r="DD425" s="57">
        <f>IFERROR($W426/$W425-1,"")</f>
        <v/>
      </c>
      <c r="DE425" s="57">
        <f>IFERROR($X426/$X425-1,"")</f>
        <v/>
      </c>
      <c r="DF425" s="57">
        <f>IFERROR($Y426/$Y425-1,"")</f>
        <v/>
      </c>
      <c r="DG425" s="57">
        <f>IFERROR($Z426/$Z425-1,"")</f>
        <v/>
      </c>
      <c r="DH425" s="57">
        <f>IFERROR($AA426/$AA425-1,"")</f>
        <v/>
      </c>
      <c r="DI425" s="57">
        <f>IFERROR($AB426/$AB425-1,"")</f>
        <v/>
      </c>
      <c r="DJ425" s="57">
        <f>IFERROR($AC426/$AC425-1,"")</f>
        <v/>
      </c>
      <c r="DK425" s="57">
        <f>IFERROR($AD426/$AD425-1,"")</f>
        <v/>
      </c>
      <c r="DL425" s="57">
        <f>IFERROR($AE426/$AE425-1,"")</f>
        <v/>
      </c>
      <c r="DM425" s="56">
        <f>$AZ425-$AZ426</f>
        <v/>
      </c>
      <c r="DN425" s="56">
        <f>$BA425-$BA426</f>
        <v/>
      </c>
      <c r="DO425" s="56">
        <f>$BB425-$BB426</f>
        <v/>
      </c>
      <c r="DP425" s="56">
        <f>$BC425-$BC426</f>
        <v/>
      </c>
      <c r="DQ425" s="56">
        <f>$BD425-$BD426</f>
        <v/>
      </c>
      <c r="DR425" s="56">
        <f>$BE425-$BE426</f>
        <v/>
      </c>
      <c r="DS425" s="56">
        <f>$BF425-$BF426</f>
        <v/>
      </c>
      <c r="DT425" s="56">
        <f>$BG425-$BG426</f>
        <v/>
      </c>
      <c r="DU425" s="56">
        <f>$BH425-$BH426</f>
        <v/>
      </c>
      <c r="DV425" s="56">
        <f>$BI425-$BI426</f>
        <v/>
      </c>
      <c r="DW425" s="56">
        <f>$BJ425-$BJ426</f>
        <v/>
      </c>
      <c r="DX425" s="56">
        <f>$BK425-$BK426</f>
        <v/>
      </c>
      <c r="DY425" s="56">
        <f>$BL425-$BL426</f>
        <v/>
      </c>
      <c r="DZ425" s="56">
        <f>$BM425-$BM426</f>
        <v/>
      </c>
      <c r="EA425" s="56">
        <f>$BN425-$BN426</f>
        <v/>
      </c>
      <c r="EB425" s="56">
        <f>$BO425-$BO426</f>
        <v/>
      </c>
      <c r="EC425" s="56">
        <f>$BP425-$BP426</f>
        <v/>
      </c>
      <c r="ED425" s="56">
        <f>$BQ425-$BQ426</f>
        <v/>
      </c>
      <c r="EE425" s="56">
        <f>$BR425-$BR426</f>
        <v/>
      </c>
      <c r="EF425" s="56">
        <f>$BS425-$BS426</f>
        <v/>
      </c>
      <c r="EG425" s="56">
        <f>$BT425-$BT426</f>
        <v/>
      </c>
      <c r="EH425" s="56">
        <f>$BU425-$BU426</f>
        <v/>
      </c>
    </row>
    <row r="426">
      <c r="BV426" s="56">
        <f>($D426-$D427)*100</f>
        <v/>
      </c>
      <c r="BW426" s="56">
        <f>($C426-$C427)*100</f>
        <v/>
      </c>
      <c r="BX426" s="57">
        <f>IFERROR($I426/$I427-1,"")</f>
        <v/>
      </c>
      <c r="BY426" s="56">
        <f>($AF426-$AF427)*100</f>
        <v/>
      </c>
      <c r="BZ426" s="56">
        <f>($AG426-$AG427)*100</f>
        <v/>
      </c>
      <c r="CA426" s="56">
        <f>($AH426-$AH427)*100</f>
        <v/>
      </c>
      <c r="CB426" s="56">
        <f>($AI426-$AI427)*100</f>
        <v/>
      </c>
      <c r="CC426" s="56">
        <f>($AJ426-$AJ427)*100</f>
        <v/>
      </c>
      <c r="CD426" s="56">
        <f>($AK426-$AK427)*100</f>
        <v/>
      </c>
      <c r="CE426" s="56">
        <f>($AL426-$AL427)*100</f>
        <v/>
      </c>
      <c r="CF426" s="56">
        <f>($AM426-$AM427)*100</f>
        <v/>
      </c>
      <c r="CG426" s="56">
        <f>($AN426-$AN427)*100</f>
        <v/>
      </c>
      <c r="CH426" s="56">
        <f>($AO426-$AO427)*100</f>
        <v/>
      </c>
      <c r="CI426" s="56">
        <f>($AP426-$AP427)*100</f>
        <v/>
      </c>
      <c r="CJ426" s="56">
        <f>($AQ426-$AQ427)*100</f>
        <v/>
      </c>
      <c r="CK426" s="56">
        <f>($AR426-$AR427)*100</f>
        <v/>
      </c>
      <c r="CL426" s="56">
        <f>($AS426-$AS427)*100</f>
        <v/>
      </c>
      <c r="CM426" s="56">
        <f>($AT426-$AT427)*100</f>
        <v/>
      </c>
      <c r="CN426" s="56">
        <f>($AU426-$AU427)*100</f>
        <v/>
      </c>
      <c r="CO426" s="56">
        <f>($AV426-$AV427)*100</f>
        <v/>
      </c>
      <c r="CP426" s="56">
        <f>($AW426-$AW427)*100</f>
        <v/>
      </c>
      <c r="CQ426" s="56">
        <f>($AX426-$AX427)*100</f>
        <v/>
      </c>
      <c r="CR426" s="56">
        <f>($AY426-$AY427)*100</f>
        <v/>
      </c>
      <c r="CS426" s="57">
        <f>IFERROR($L427/$L426-1,"")</f>
        <v/>
      </c>
      <c r="CT426" s="57">
        <f>IFERROR($M427/$M426-1,"")</f>
        <v/>
      </c>
      <c r="CU426" s="57">
        <f>IFERROR($N427/$N426-1,"")</f>
        <v/>
      </c>
      <c r="CV426" s="57">
        <f>IFERROR($O427/$O426-1,"")</f>
        <v/>
      </c>
      <c r="CW426" s="57">
        <f>IFERROR($P427/$P426-1,"")</f>
        <v/>
      </c>
      <c r="CX426" s="57">
        <f>IFERROR($Q427/$Q426-1,"")</f>
        <v/>
      </c>
      <c r="CY426" s="57">
        <f>IFERROR($R427/$R426-1,"")</f>
        <v/>
      </c>
      <c r="CZ426" s="57">
        <f>IFERROR($S427/$S426-1,"")</f>
        <v/>
      </c>
      <c r="DA426" s="57">
        <f>IFERROR($T427/$T426-1,"")</f>
        <v/>
      </c>
      <c r="DB426" s="57">
        <f>IFERROR($U427/$U426-1,"")</f>
        <v/>
      </c>
      <c r="DC426" s="57">
        <f>IFERROR($V427/$V426-1,"")</f>
        <v/>
      </c>
      <c r="DD426" s="57">
        <f>IFERROR($W427/$W426-1,"")</f>
        <v/>
      </c>
      <c r="DE426" s="57">
        <f>IFERROR($X427/$X426-1,"")</f>
        <v/>
      </c>
      <c r="DF426" s="57">
        <f>IFERROR($Y427/$Y426-1,"")</f>
        <v/>
      </c>
      <c r="DG426" s="57">
        <f>IFERROR($Z427/$Z426-1,"")</f>
        <v/>
      </c>
      <c r="DH426" s="57">
        <f>IFERROR($AA427/$AA426-1,"")</f>
        <v/>
      </c>
      <c r="DI426" s="57">
        <f>IFERROR($AB427/$AB426-1,"")</f>
        <v/>
      </c>
      <c r="DJ426" s="57">
        <f>IFERROR($AC427/$AC426-1,"")</f>
        <v/>
      </c>
      <c r="DK426" s="57">
        <f>IFERROR($AD427/$AD426-1,"")</f>
        <v/>
      </c>
      <c r="DL426" s="57">
        <f>IFERROR($AE427/$AE426-1,"")</f>
        <v/>
      </c>
      <c r="DM426" s="56">
        <f>$AZ426-$AZ427</f>
        <v/>
      </c>
      <c r="DN426" s="56">
        <f>$BA426-$BA427</f>
        <v/>
      </c>
      <c r="DO426" s="56">
        <f>$BB426-$BB427</f>
        <v/>
      </c>
      <c r="DP426" s="56">
        <f>$BC426-$BC427</f>
        <v/>
      </c>
      <c r="DQ426" s="56">
        <f>$BD426-$BD427</f>
        <v/>
      </c>
      <c r="DR426" s="56">
        <f>$BE426-$BE427</f>
        <v/>
      </c>
      <c r="DS426" s="56">
        <f>$BF426-$BF427</f>
        <v/>
      </c>
      <c r="DT426" s="56">
        <f>$BG426-$BG427</f>
        <v/>
      </c>
      <c r="DU426" s="56">
        <f>$BH426-$BH427</f>
        <v/>
      </c>
      <c r="DV426" s="56">
        <f>$BI426-$BI427</f>
        <v/>
      </c>
      <c r="DW426" s="56">
        <f>$BJ426-$BJ427</f>
        <v/>
      </c>
      <c r="DX426" s="56">
        <f>$BK426-$BK427</f>
        <v/>
      </c>
      <c r="DY426" s="56">
        <f>$BL426-$BL427</f>
        <v/>
      </c>
      <c r="DZ426" s="56">
        <f>$BM426-$BM427</f>
        <v/>
      </c>
      <c r="EA426" s="56">
        <f>$BN426-$BN427</f>
        <v/>
      </c>
      <c r="EB426" s="56">
        <f>$BO426-$BO427</f>
        <v/>
      </c>
      <c r="EC426" s="56">
        <f>$BP426-$BP427</f>
        <v/>
      </c>
      <c r="ED426" s="56">
        <f>$BQ426-$BQ427</f>
        <v/>
      </c>
      <c r="EE426" s="56">
        <f>$BR426-$BR427</f>
        <v/>
      </c>
      <c r="EF426" s="56">
        <f>$BS426-$BS427</f>
        <v/>
      </c>
      <c r="EG426" s="56">
        <f>$BT426-$BT427</f>
        <v/>
      </c>
      <c r="EH426" s="56">
        <f>$BU426-$BU427</f>
        <v/>
      </c>
    </row>
    <row r="427">
      <c r="BV427" s="56">
        <f>($D427-$D428)*100</f>
        <v/>
      </c>
      <c r="BW427" s="56">
        <f>($C427-$C428)*100</f>
        <v/>
      </c>
      <c r="BX427" s="57">
        <f>IFERROR($I427/$I428-1,"")</f>
        <v/>
      </c>
      <c r="BY427" s="56">
        <f>($AF427-$AF428)*100</f>
        <v/>
      </c>
      <c r="BZ427" s="56">
        <f>($AG427-$AG428)*100</f>
        <v/>
      </c>
      <c r="CA427" s="56">
        <f>($AH427-$AH428)*100</f>
        <v/>
      </c>
      <c r="CB427" s="56">
        <f>($AI427-$AI428)*100</f>
        <v/>
      </c>
      <c r="CC427" s="56">
        <f>($AJ427-$AJ428)*100</f>
        <v/>
      </c>
      <c r="CD427" s="56">
        <f>($AK427-$AK428)*100</f>
        <v/>
      </c>
      <c r="CE427" s="56">
        <f>($AL427-$AL428)*100</f>
        <v/>
      </c>
      <c r="CF427" s="56">
        <f>($AM427-$AM428)*100</f>
        <v/>
      </c>
      <c r="CG427" s="56">
        <f>($AN427-$AN428)*100</f>
        <v/>
      </c>
      <c r="CH427" s="56">
        <f>($AO427-$AO428)*100</f>
        <v/>
      </c>
      <c r="CI427" s="56">
        <f>($AP427-$AP428)*100</f>
        <v/>
      </c>
      <c r="CJ427" s="56">
        <f>($AQ427-$AQ428)*100</f>
        <v/>
      </c>
      <c r="CK427" s="56">
        <f>($AR427-$AR428)*100</f>
        <v/>
      </c>
      <c r="CL427" s="56">
        <f>($AS427-$AS428)*100</f>
        <v/>
      </c>
      <c r="CM427" s="56">
        <f>($AT427-$AT428)*100</f>
        <v/>
      </c>
      <c r="CN427" s="56">
        <f>($AU427-$AU428)*100</f>
        <v/>
      </c>
      <c r="CO427" s="56">
        <f>($AV427-$AV428)*100</f>
        <v/>
      </c>
      <c r="CP427" s="56">
        <f>($AW427-$AW428)*100</f>
        <v/>
      </c>
      <c r="CQ427" s="56">
        <f>($AX427-$AX428)*100</f>
        <v/>
      </c>
      <c r="CR427" s="56">
        <f>($AY427-$AY428)*100</f>
        <v/>
      </c>
      <c r="CS427" s="57">
        <f>IFERROR($L428/$L427-1,"")</f>
        <v/>
      </c>
      <c r="CT427" s="57">
        <f>IFERROR($M428/$M427-1,"")</f>
        <v/>
      </c>
      <c r="CU427" s="57">
        <f>IFERROR($N428/$N427-1,"")</f>
        <v/>
      </c>
      <c r="CV427" s="57">
        <f>IFERROR($O428/$O427-1,"")</f>
        <v/>
      </c>
      <c r="CW427" s="57">
        <f>IFERROR($P428/$P427-1,"")</f>
        <v/>
      </c>
      <c r="CX427" s="57">
        <f>IFERROR($Q428/$Q427-1,"")</f>
        <v/>
      </c>
      <c r="CY427" s="57">
        <f>IFERROR($R428/$R427-1,"")</f>
        <v/>
      </c>
      <c r="CZ427" s="57">
        <f>IFERROR($S428/$S427-1,"")</f>
        <v/>
      </c>
      <c r="DA427" s="57">
        <f>IFERROR($T428/$T427-1,"")</f>
        <v/>
      </c>
      <c r="DB427" s="57">
        <f>IFERROR($U428/$U427-1,"")</f>
        <v/>
      </c>
      <c r="DC427" s="57">
        <f>IFERROR($V428/$V427-1,"")</f>
        <v/>
      </c>
      <c r="DD427" s="57">
        <f>IFERROR($W428/$W427-1,"")</f>
        <v/>
      </c>
      <c r="DE427" s="57">
        <f>IFERROR($X428/$X427-1,"")</f>
        <v/>
      </c>
      <c r="DF427" s="57">
        <f>IFERROR($Y428/$Y427-1,"")</f>
        <v/>
      </c>
      <c r="DG427" s="57">
        <f>IFERROR($Z428/$Z427-1,"")</f>
        <v/>
      </c>
      <c r="DH427" s="57">
        <f>IFERROR($AA428/$AA427-1,"")</f>
        <v/>
      </c>
      <c r="DI427" s="57">
        <f>IFERROR($AB428/$AB427-1,"")</f>
        <v/>
      </c>
      <c r="DJ427" s="57">
        <f>IFERROR($AC428/$AC427-1,"")</f>
        <v/>
      </c>
      <c r="DK427" s="57">
        <f>IFERROR($AD428/$AD427-1,"")</f>
        <v/>
      </c>
      <c r="DL427" s="57">
        <f>IFERROR($AE428/$AE427-1,"")</f>
        <v/>
      </c>
      <c r="DM427" s="56">
        <f>$AZ427-$AZ428</f>
        <v/>
      </c>
      <c r="DN427" s="56">
        <f>$BA427-$BA428</f>
        <v/>
      </c>
      <c r="DO427" s="56">
        <f>$BB427-$BB428</f>
        <v/>
      </c>
      <c r="DP427" s="56">
        <f>$BC427-$BC428</f>
        <v/>
      </c>
      <c r="DQ427" s="56">
        <f>$BD427-$BD428</f>
        <v/>
      </c>
      <c r="DR427" s="56">
        <f>$BE427-$BE428</f>
        <v/>
      </c>
      <c r="DS427" s="56">
        <f>$BF427-$BF428</f>
        <v/>
      </c>
      <c r="DT427" s="56">
        <f>$BG427-$BG428</f>
        <v/>
      </c>
      <c r="DU427" s="56">
        <f>$BH427-$BH428</f>
        <v/>
      </c>
      <c r="DV427" s="56">
        <f>$BI427-$BI428</f>
        <v/>
      </c>
      <c r="DW427" s="56">
        <f>$BJ427-$BJ428</f>
        <v/>
      </c>
      <c r="DX427" s="56">
        <f>$BK427-$BK428</f>
        <v/>
      </c>
      <c r="DY427" s="56">
        <f>$BL427-$BL428</f>
        <v/>
      </c>
      <c r="DZ427" s="56">
        <f>$BM427-$BM428</f>
        <v/>
      </c>
      <c r="EA427" s="56">
        <f>$BN427-$BN428</f>
        <v/>
      </c>
      <c r="EB427" s="56">
        <f>$BO427-$BO428</f>
        <v/>
      </c>
      <c r="EC427" s="56">
        <f>$BP427-$BP428</f>
        <v/>
      </c>
      <c r="ED427" s="56">
        <f>$BQ427-$BQ428</f>
        <v/>
      </c>
      <c r="EE427" s="56">
        <f>$BR427-$BR428</f>
        <v/>
      </c>
      <c r="EF427" s="56">
        <f>$BS427-$BS428</f>
        <v/>
      </c>
      <c r="EG427" s="56">
        <f>$BT427-$BT428</f>
        <v/>
      </c>
      <c r="EH427" s="56">
        <f>$BU427-$BU428</f>
        <v/>
      </c>
    </row>
    <row r="428">
      <c r="BV428" s="56">
        <f>($D428-$D429)*100</f>
        <v/>
      </c>
      <c r="BW428" s="56">
        <f>($C428-$C429)*100</f>
        <v/>
      </c>
      <c r="BX428" s="57">
        <f>IFERROR($I428/$I429-1,"")</f>
        <v/>
      </c>
      <c r="BY428" s="56">
        <f>($AF428-$AF429)*100</f>
        <v/>
      </c>
      <c r="BZ428" s="56">
        <f>($AG428-$AG429)*100</f>
        <v/>
      </c>
      <c r="CA428" s="56">
        <f>($AH428-$AH429)*100</f>
        <v/>
      </c>
      <c r="CB428" s="56">
        <f>($AI428-$AI429)*100</f>
        <v/>
      </c>
      <c r="CC428" s="56">
        <f>($AJ428-$AJ429)*100</f>
        <v/>
      </c>
      <c r="CD428" s="56">
        <f>($AK428-$AK429)*100</f>
        <v/>
      </c>
      <c r="CE428" s="56">
        <f>($AL428-$AL429)*100</f>
        <v/>
      </c>
      <c r="CF428" s="56">
        <f>($AM428-$AM429)*100</f>
        <v/>
      </c>
      <c r="CG428" s="56">
        <f>($AN428-$AN429)*100</f>
        <v/>
      </c>
      <c r="CH428" s="56">
        <f>($AO428-$AO429)*100</f>
        <v/>
      </c>
      <c r="CI428" s="56">
        <f>($AP428-$AP429)*100</f>
        <v/>
      </c>
      <c r="CJ428" s="56">
        <f>($AQ428-$AQ429)*100</f>
        <v/>
      </c>
      <c r="CK428" s="56">
        <f>($AR428-$AR429)*100</f>
        <v/>
      </c>
      <c r="CL428" s="56">
        <f>($AS428-$AS429)*100</f>
        <v/>
      </c>
      <c r="CM428" s="56">
        <f>($AT428-$AT429)*100</f>
        <v/>
      </c>
      <c r="CN428" s="56">
        <f>($AU428-$AU429)*100</f>
        <v/>
      </c>
      <c r="CO428" s="56">
        <f>($AV428-$AV429)*100</f>
        <v/>
      </c>
      <c r="CP428" s="56">
        <f>($AW428-$AW429)*100</f>
        <v/>
      </c>
      <c r="CQ428" s="56">
        <f>($AX428-$AX429)*100</f>
        <v/>
      </c>
      <c r="CR428" s="56">
        <f>($AY428-$AY429)*100</f>
        <v/>
      </c>
      <c r="CS428" s="57">
        <f>IFERROR($L429/$L428-1,"")</f>
        <v/>
      </c>
      <c r="CT428" s="57">
        <f>IFERROR($M429/$M428-1,"")</f>
        <v/>
      </c>
      <c r="CU428" s="57">
        <f>IFERROR($N429/$N428-1,"")</f>
        <v/>
      </c>
      <c r="CV428" s="57">
        <f>IFERROR($O429/$O428-1,"")</f>
        <v/>
      </c>
      <c r="CW428" s="57">
        <f>IFERROR($P429/$P428-1,"")</f>
        <v/>
      </c>
      <c r="CX428" s="57">
        <f>IFERROR($Q429/$Q428-1,"")</f>
        <v/>
      </c>
      <c r="CY428" s="57">
        <f>IFERROR($R429/$R428-1,"")</f>
        <v/>
      </c>
      <c r="CZ428" s="57">
        <f>IFERROR($S429/$S428-1,"")</f>
        <v/>
      </c>
      <c r="DA428" s="57">
        <f>IFERROR($T429/$T428-1,"")</f>
        <v/>
      </c>
      <c r="DB428" s="57">
        <f>IFERROR($U429/$U428-1,"")</f>
        <v/>
      </c>
      <c r="DC428" s="57">
        <f>IFERROR($V429/$V428-1,"")</f>
        <v/>
      </c>
      <c r="DD428" s="57">
        <f>IFERROR($W429/$W428-1,"")</f>
        <v/>
      </c>
      <c r="DE428" s="57">
        <f>IFERROR($X429/$X428-1,"")</f>
        <v/>
      </c>
      <c r="DF428" s="57">
        <f>IFERROR($Y429/$Y428-1,"")</f>
        <v/>
      </c>
      <c r="DG428" s="57">
        <f>IFERROR($Z429/$Z428-1,"")</f>
        <v/>
      </c>
      <c r="DH428" s="57">
        <f>IFERROR($AA429/$AA428-1,"")</f>
        <v/>
      </c>
      <c r="DI428" s="57">
        <f>IFERROR($AB429/$AB428-1,"")</f>
        <v/>
      </c>
      <c r="DJ428" s="57">
        <f>IFERROR($AC429/$AC428-1,"")</f>
        <v/>
      </c>
      <c r="DK428" s="57">
        <f>IFERROR($AD429/$AD428-1,"")</f>
        <v/>
      </c>
      <c r="DL428" s="57">
        <f>IFERROR($AE429/$AE428-1,"")</f>
        <v/>
      </c>
      <c r="DM428" s="56">
        <f>$AZ428-$AZ429</f>
        <v/>
      </c>
      <c r="DN428" s="56">
        <f>$BA428-$BA429</f>
        <v/>
      </c>
      <c r="DO428" s="56">
        <f>$BB428-$BB429</f>
        <v/>
      </c>
      <c r="DP428" s="56">
        <f>$BC428-$BC429</f>
        <v/>
      </c>
      <c r="DQ428" s="56">
        <f>$BD428-$BD429</f>
        <v/>
      </c>
      <c r="DR428" s="56">
        <f>$BE428-$BE429</f>
        <v/>
      </c>
      <c r="DS428" s="56">
        <f>$BF428-$BF429</f>
        <v/>
      </c>
      <c r="DT428" s="56">
        <f>$BG428-$BG429</f>
        <v/>
      </c>
      <c r="DU428" s="56">
        <f>$BH428-$BH429</f>
        <v/>
      </c>
      <c r="DV428" s="56">
        <f>$BI428-$BI429</f>
        <v/>
      </c>
      <c r="DW428" s="56">
        <f>$BJ428-$BJ429</f>
        <v/>
      </c>
      <c r="DX428" s="56">
        <f>$BK428-$BK429</f>
        <v/>
      </c>
      <c r="DY428" s="56">
        <f>$BL428-$BL429</f>
        <v/>
      </c>
      <c r="DZ428" s="56">
        <f>$BM428-$BM429</f>
        <v/>
      </c>
      <c r="EA428" s="56">
        <f>$BN428-$BN429</f>
        <v/>
      </c>
      <c r="EB428" s="56">
        <f>$BO428-$BO429</f>
        <v/>
      </c>
      <c r="EC428" s="56">
        <f>$BP428-$BP429</f>
        <v/>
      </c>
      <c r="ED428" s="56">
        <f>$BQ428-$BQ429</f>
        <v/>
      </c>
      <c r="EE428" s="56">
        <f>$BR428-$BR429</f>
        <v/>
      </c>
      <c r="EF428" s="56">
        <f>$BS428-$BS429</f>
        <v/>
      </c>
      <c r="EG428" s="56">
        <f>$BT428-$BT429</f>
        <v/>
      </c>
      <c r="EH428" s="56">
        <f>$BU428-$BU429</f>
        <v/>
      </c>
    </row>
    <row r="429">
      <c r="BV429" s="56">
        <f>($D429-$D430)*100</f>
        <v/>
      </c>
      <c r="BW429" s="56">
        <f>($C429-$C430)*100</f>
        <v/>
      </c>
      <c r="BX429" s="57">
        <f>IFERROR($I429/$I430-1,"")</f>
        <v/>
      </c>
      <c r="BY429" s="56">
        <f>($AF429-$AF430)*100</f>
        <v/>
      </c>
      <c r="BZ429" s="56">
        <f>($AG429-$AG430)*100</f>
        <v/>
      </c>
      <c r="CA429" s="56">
        <f>($AH429-$AH430)*100</f>
        <v/>
      </c>
      <c r="CB429" s="56">
        <f>($AI429-$AI430)*100</f>
        <v/>
      </c>
      <c r="CC429" s="56">
        <f>($AJ429-$AJ430)*100</f>
        <v/>
      </c>
      <c r="CD429" s="56">
        <f>($AK429-$AK430)*100</f>
        <v/>
      </c>
      <c r="CE429" s="56">
        <f>($AL429-$AL430)*100</f>
        <v/>
      </c>
      <c r="CF429" s="56">
        <f>($AM429-$AM430)*100</f>
        <v/>
      </c>
      <c r="CG429" s="56">
        <f>($AN429-$AN430)*100</f>
        <v/>
      </c>
      <c r="CH429" s="56">
        <f>($AO429-$AO430)*100</f>
        <v/>
      </c>
      <c r="CI429" s="56">
        <f>($AP429-$AP430)*100</f>
        <v/>
      </c>
      <c r="CJ429" s="56">
        <f>($AQ429-$AQ430)*100</f>
        <v/>
      </c>
      <c r="CK429" s="56">
        <f>($AR429-$AR430)*100</f>
        <v/>
      </c>
      <c r="CL429" s="56">
        <f>($AS429-$AS430)*100</f>
        <v/>
      </c>
      <c r="CM429" s="56">
        <f>($AT429-$AT430)*100</f>
        <v/>
      </c>
      <c r="CN429" s="56">
        <f>($AU429-$AU430)*100</f>
        <v/>
      </c>
      <c r="CO429" s="56">
        <f>($AV429-$AV430)*100</f>
        <v/>
      </c>
      <c r="CP429" s="56">
        <f>($AW429-$AW430)*100</f>
        <v/>
      </c>
      <c r="CQ429" s="56">
        <f>($AX429-$AX430)*100</f>
        <v/>
      </c>
      <c r="CR429" s="56">
        <f>($AY429-$AY430)*100</f>
        <v/>
      </c>
      <c r="CS429" s="57">
        <f>IFERROR($L430/$L429-1,"")</f>
        <v/>
      </c>
      <c r="CT429" s="57">
        <f>IFERROR($M430/$M429-1,"")</f>
        <v/>
      </c>
      <c r="CU429" s="57">
        <f>IFERROR($N430/$N429-1,"")</f>
        <v/>
      </c>
      <c r="CV429" s="57">
        <f>IFERROR($O430/$O429-1,"")</f>
        <v/>
      </c>
      <c r="CW429" s="57">
        <f>IFERROR($P430/$P429-1,"")</f>
        <v/>
      </c>
      <c r="CX429" s="57">
        <f>IFERROR($Q430/$Q429-1,"")</f>
        <v/>
      </c>
      <c r="CY429" s="57">
        <f>IFERROR($R430/$R429-1,"")</f>
        <v/>
      </c>
      <c r="CZ429" s="57">
        <f>IFERROR($S430/$S429-1,"")</f>
        <v/>
      </c>
      <c r="DA429" s="57">
        <f>IFERROR($T430/$T429-1,"")</f>
        <v/>
      </c>
      <c r="DB429" s="57">
        <f>IFERROR($U430/$U429-1,"")</f>
        <v/>
      </c>
      <c r="DC429" s="57">
        <f>IFERROR($V430/$V429-1,"")</f>
        <v/>
      </c>
      <c r="DD429" s="57">
        <f>IFERROR($W430/$W429-1,"")</f>
        <v/>
      </c>
      <c r="DE429" s="57">
        <f>IFERROR($X430/$X429-1,"")</f>
        <v/>
      </c>
      <c r="DF429" s="57">
        <f>IFERROR($Y430/$Y429-1,"")</f>
        <v/>
      </c>
      <c r="DG429" s="57">
        <f>IFERROR($Z430/$Z429-1,"")</f>
        <v/>
      </c>
      <c r="DH429" s="57">
        <f>IFERROR($AA430/$AA429-1,"")</f>
        <v/>
      </c>
      <c r="DI429" s="57">
        <f>IFERROR($AB430/$AB429-1,"")</f>
        <v/>
      </c>
      <c r="DJ429" s="57">
        <f>IFERROR($AC430/$AC429-1,"")</f>
        <v/>
      </c>
      <c r="DK429" s="57">
        <f>IFERROR($AD430/$AD429-1,"")</f>
        <v/>
      </c>
      <c r="DL429" s="57">
        <f>IFERROR($AE430/$AE429-1,"")</f>
        <v/>
      </c>
      <c r="DM429" s="56">
        <f>$AZ429-$AZ430</f>
        <v/>
      </c>
      <c r="DN429" s="56">
        <f>$BA429-$BA430</f>
        <v/>
      </c>
      <c r="DO429" s="56">
        <f>$BB429-$BB430</f>
        <v/>
      </c>
      <c r="DP429" s="56">
        <f>$BC429-$BC430</f>
        <v/>
      </c>
      <c r="DQ429" s="56">
        <f>$BD429-$BD430</f>
        <v/>
      </c>
      <c r="DR429" s="56">
        <f>$BE429-$BE430</f>
        <v/>
      </c>
      <c r="DS429" s="56">
        <f>$BF429-$BF430</f>
        <v/>
      </c>
      <c r="DT429" s="56">
        <f>$BG429-$BG430</f>
        <v/>
      </c>
      <c r="DU429" s="56">
        <f>$BH429-$BH430</f>
        <v/>
      </c>
      <c r="DV429" s="56">
        <f>$BI429-$BI430</f>
        <v/>
      </c>
      <c r="DW429" s="56">
        <f>$BJ429-$BJ430</f>
        <v/>
      </c>
      <c r="DX429" s="56">
        <f>$BK429-$BK430</f>
        <v/>
      </c>
      <c r="DY429" s="56">
        <f>$BL429-$BL430</f>
        <v/>
      </c>
      <c r="DZ429" s="56">
        <f>$BM429-$BM430</f>
        <v/>
      </c>
      <c r="EA429" s="56">
        <f>$BN429-$BN430</f>
        <v/>
      </c>
      <c r="EB429" s="56">
        <f>$BO429-$BO430</f>
        <v/>
      </c>
      <c r="EC429" s="56">
        <f>$BP429-$BP430</f>
        <v/>
      </c>
      <c r="ED429" s="56">
        <f>$BQ429-$BQ430</f>
        <v/>
      </c>
      <c r="EE429" s="56">
        <f>$BR429-$BR430</f>
        <v/>
      </c>
      <c r="EF429" s="56">
        <f>$BS429-$BS430</f>
        <v/>
      </c>
      <c r="EG429" s="56">
        <f>$BT429-$BT430</f>
        <v/>
      </c>
      <c r="EH429" s="56">
        <f>$BU429-$BU430</f>
        <v/>
      </c>
    </row>
    <row r="430">
      <c r="BV430" s="56">
        <f>($D430-$D431)*100</f>
        <v/>
      </c>
      <c r="BW430" s="56">
        <f>($C430-$C431)*100</f>
        <v/>
      </c>
      <c r="BX430" s="57">
        <f>IFERROR($I430/$I431-1,"")</f>
        <v/>
      </c>
      <c r="BY430" s="56">
        <f>($AF430-$AF431)*100</f>
        <v/>
      </c>
      <c r="BZ430" s="56">
        <f>($AG430-$AG431)*100</f>
        <v/>
      </c>
      <c r="CA430" s="56">
        <f>($AH430-$AH431)*100</f>
        <v/>
      </c>
      <c r="CB430" s="56">
        <f>($AI430-$AI431)*100</f>
        <v/>
      </c>
      <c r="CC430" s="56">
        <f>($AJ430-$AJ431)*100</f>
        <v/>
      </c>
      <c r="CD430" s="56">
        <f>($AK430-$AK431)*100</f>
        <v/>
      </c>
      <c r="CE430" s="56">
        <f>($AL430-$AL431)*100</f>
        <v/>
      </c>
      <c r="CF430" s="56">
        <f>($AM430-$AM431)*100</f>
        <v/>
      </c>
      <c r="CG430" s="56">
        <f>($AN430-$AN431)*100</f>
        <v/>
      </c>
      <c r="CH430" s="56">
        <f>($AO430-$AO431)*100</f>
        <v/>
      </c>
      <c r="CI430" s="56">
        <f>($AP430-$AP431)*100</f>
        <v/>
      </c>
      <c r="CJ430" s="56">
        <f>($AQ430-$AQ431)*100</f>
        <v/>
      </c>
      <c r="CK430" s="56">
        <f>($AR430-$AR431)*100</f>
        <v/>
      </c>
      <c r="CL430" s="56">
        <f>($AS430-$AS431)*100</f>
        <v/>
      </c>
      <c r="CM430" s="56">
        <f>($AT430-$AT431)*100</f>
        <v/>
      </c>
      <c r="CN430" s="56">
        <f>($AU430-$AU431)*100</f>
        <v/>
      </c>
      <c r="CO430" s="56">
        <f>($AV430-$AV431)*100</f>
        <v/>
      </c>
      <c r="CP430" s="56">
        <f>($AW430-$AW431)*100</f>
        <v/>
      </c>
      <c r="CQ430" s="56">
        <f>($AX430-$AX431)*100</f>
        <v/>
      </c>
      <c r="CR430" s="56">
        <f>($AY430-$AY431)*100</f>
        <v/>
      </c>
      <c r="CS430" s="57">
        <f>IFERROR($L431/$L430-1,"")</f>
        <v/>
      </c>
      <c r="CT430" s="57">
        <f>IFERROR($M431/$M430-1,"")</f>
        <v/>
      </c>
      <c r="CU430" s="57">
        <f>IFERROR($N431/$N430-1,"")</f>
        <v/>
      </c>
      <c r="CV430" s="57">
        <f>IFERROR($O431/$O430-1,"")</f>
        <v/>
      </c>
      <c r="CW430" s="57">
        <f>IFERROR($P431/$P430-1,"")</f>
        <v/>
      </c>
      <c r="CX430" s="57">
        <f>IFERROR($Q431/$Q430-1,"")</f>
        <v/>
      </c>
      <c r="CY430" s="57">
        <f>IFERROR($R431/$R430-1,"")</f>
        <v/>
      </c>
      <c r="CZ430" s="57">
        <f>IFERROR($S431/$S430-1,"")</f>
        <v/>
      </c>
      <c r="DA430" s="57">
        <f>IFERROR($T431/$T430-1,"")</f>
        <v/>
      </c>
      <c r="DB430" s="57">
        <f>IFERROR($U431/$U430-1,"")</f>
        <v/>
      </c>
      <c r="DC430" s="57">
        <f>IFERROR($V431/$V430-1,"")</f>
        <v/>
      </c>
      <c r="DD430" s="57">
        <f>IFERROR($W431/$W430-1,"")</f>
        <v/>
      </c>
      <c r="DE430" s="57">
        <f>IFERROR($X431/$X430-1,"")</f>
        <v/>
      </c>
      <c r="DF430" s="57">
        <f>IFERROR($Y431/$Y430-1,"")</f>
        <v/>
      </c>
      <c r="DG430" s="57">
        <f>IFERROR($Z431/$Z430-1,"")</f>
        <v/>
      </c>
      <c r="DH430" s="57">
        <f>IFERROR($AA431/$AA430-1,"")</f>
        <v/>
      </c>
      <c r="DI430" s="57">
        <f>IFERROR($AB431/$AB430-1,"")</f>
        <v/>
      </c>
      <c r="DJ430" s="57">
        <f>IFERROR($AC431/$AC430-1,"")</f>
        <v/>
      </c>
      <c r="DK430" s="57">
        <f>IFERROR($AD431/$AD430-1,"")</f>
        <v/>
      </c>
      <c r="DL430" s="57">
        <f>IFERROR($AE431/$AE430-1,"")</f>
        <v/>
      </c>
      <c r="DM430" s="56">
        <f>$AZ430-$AZ431</f>
        <v/>
      </c>
      <c r="DN430" s="56">
        <f>$BA430-$BA431</f>
        <v/>
      </c>
      <c r="DO430" s="56">
        <f>$BB430-$BB431</f>
        <v/>
      </c>
      <c r="DP430" s="56">
        <f>$BC430-$BC431</f>
        <v/>
      </c>
      <c r="DQ430" s="56">
        <f>$BD430-$BD431</f>
        <v/>
      </c>
      <c r="DR430" s="56">
        <f>$BE430-$BE431</f>
        <v/>
      </c>
      <c r="DS430" s="56">
        <f>$BF430-$BF431</f>
        <v/>
      </c>
      <c r="DT430" s="56">
        <f>$BG430-$BG431</f>
        <v/>
      </c>
      <c r="DU430" s="56">
        <f>$BH430-$BH431</f>
        <v/>
      </c>
      <c r="DV430" s="56">
        <f>$BI430-$BI431</f>
        <v/>
      </c>
      <c r="DW430" s="56">
        <f>$BJ430-$BJ431</f>
        <v/>
      </c>
      <c r="DX430" s="56">
        <f>$BK430-$BK431</f>
        <v/>
      </c>
      <c r="DY430" s="56">
        <f>$BL430-$BL431</f>
        <v/>
      </c>
      <c r="DZ430" s="56">
        <f>$BM430-$BM431</f>
        <v/>
      </c>
      <c r="EA430" s="56">
        <f>$BN430-$BN431</f>
        <v/>
      </c>
      <c r="EB430" s="56">
        <f>$BO430-$BO431</f>
        <v/>
      </c>
      <c r="EC430" s="56">
        <f>$BP430-$BP431</f>
        <v/>
      </c>
      <c r="ED430" s="56">
        <f>$BQ430-$BQ431</f>
        <v/>
      </c>
      <c r="EE430" s="56">
        <f>$BR430-$BR431</f>
        <v/>
      </c>
      <c r="EF430" s="56">
        <f>$BS430-$BS431</f>
        <v/>
      </c>
      <c r="EG430" s="56">
        <f>$BT430-$BT431</f>
        <v/>
      </c>
      <c r="EH430" s="56">
        <f>$BU430-$BU431</f>
        <v/>
      </c>
    </row>
    <row r="431">
      <c r="BV431" s="56">
        <f>($D431-$D432)*100</f>
        <v/>
      </c>
      <c r="BW431" s="56">
        <f>($C431-$C432)*100</f>
        <v/>
      </c>
      <c r="BX431" s="57">
        <f>IFERROR($I431/$I432-1,"")</f>
        <v/>
      </c>
      <c r="BY431" s="56">
        <f>($AF431-$AF432)*100</f>
        <v/>
      </c>
      <c r="BZ431" s="56">
        <f>($AG431-$AG432)*100</f>
        <v/>
      </c>
      <c r="CA431" s="56">
        <f>($AH431-$AH432)*100</f>
        <v/>
      </c>
      <c r="CB431" s="56">
        <f>($AI431-$AI432)*100</f>
        <v/>
      </c>
      <c r="CC431" s="56">
        <f>($AJ431-$AJ432)*100</f>
        <v/>
      </c>
      <c r="CD431" s="56">
        <f>($AK431-$AK432)*100</f>
        <v/>
      </c>
      <c r="CE431" s="56">
        <f>($AL431-$AL432)*100</f>
        <v/>
      </c>
      <c r="CF431" s="56">
        <f>($AM431-$AM432)*100</f>
        <v/>
      </c>
      <c r="CG431" s="56">
        <f>($AN431-$AN432)*100</f>
        <v/>
      </c>
      <c r="CH431" s="56">
        <f>($AO431-$AO432)*100</f>
        <v/>
      </c>
      <c r="CI431" s="56">
        <f>($AP431-$AP432)*100</f>
        <v/>
      </c>
      <c r="CJ431" s="56">
        <f>($AQ431-$AQ432)*100</f>
        <v/>
      </c>
      <c r="CK431" s="56">
        <f>($AR431-$AR432)*100</f>
        <v/>
      </c>
      <c r="CL431" s="56">
        <f>($AS431-$AS432)*100</f>
        <v/>
      </c>
      <c r="CM431" s="56">
        <f>($AT431-$AT432)*100</f>
        <v/>
      </c>
      <c r="CN431" s="56">
        <f>($AU431-$AU432)*100</f>
        <v/>
      </c>
      <c r="CO431" s="56">
        <f>($AV431-$AV432)*100</f>
        <v/>
      </c>
      <c r="CP431" s="56">
        <f>($AW431-$AW432)*100</f>
        <v/>
      </c>
      <c r="CQ431" s="56">
        <f>($AX431-$AX432)*100</f>
        <v/>
      </c>
      <c r="CR431" s="56">
        <f>($AY431-$AY432)*100</f>
        <v/>
      </c>
      <c r="CS431" s="57">
        <f>IFERROR($L432/$L431-1,"")</f>
        <v/>
      </c>
      <c r="CT431" s="57">
        <f>IFERROR($M432/$M431-1,"")</f>
        <v/>
      </c>
      <c r="CU431" s="57">
        <f>IFERROR($N432/$N431-1,"")</f>
        <v/>
      </c>
      <c r="CV431" s="57">
        <f>IFERROR($O432/$O431-1,"")</f>
        <v/>
      </c>
      <c r="CW431" s="57">
        <f>IFERROR($P432/$P431-1,"")</f>
        <v/>
      </c>
      <c r="CX431" s="57">
        <f>IFERROR($Q432/$Q431-1,"")</f>
        <v/>
      </c>
      <c r="CY431" s="57">
        <f>IFERROR($R432/$R431-1,"")</f>
        <v/>
      </c>
      <c r="CZ431" s="57">
        <f>IFERROR($S432/$S431-1,"")</f>
        <v/>
      </c>
      <c r="DA431" s="57">
        <f>IFERROR($T432/$T431-1,"")</f>
        <v/>
      </c>
      <c r="DB431" s="57">
        <f>IFERROR($U432/$U431-1,"")</f>
        <v/>
      </c>
      <c r="DC431" s="57">
        <f>IFERROR($V432/$V431-1,"")</f>
        <v/>
      </c>
      <c r="DD431" s="57">
        <f>IFERROR($W432/$W431-1,"")</f>
        <v/>
      </c>
      <c r="DE431" s="57">
        <f>IFERROR($X432/$X431-1,"")</f>
        <v/>
      </c>
      <c r="DF431" s="57">
        <f>IFERROR($Y432/$Y431-1,"")</f>
        <v/>
      </c>
      <c r="DG431" s="57">
        <f>IFERROR($Z432/$Z431-1,"")</f>
        <v/>
      </c>
      <c r="DH431" s="57">
        <f>IFERROR($AA432/$AA431-1,"")</f>
        <v/>
      </c>
      <c r="DI431" s="57">
        <f>IFERROR($AB432/$AB431-1,"")</f>
        <v/>
      </c>
      <c r="DJ431" s="57">
        <f>IFERROR($AC432/$AC431-1,"")</f>
        <v/>
      </c>
      <c r="DK431" s="57">
        <f>IFERROR($AD432/$AD431-1,"")</f>
        <v/>
      </c>
      <c r="DL431" s="57">
        <f>IFERROR($AE432/$AE431-1,"")</f>
        <v/>
      </c>
      <c r="DM431" s="56">
        <f>$AZ431-$AZ432</f>
        <v/>
      </c>
      <c r="DN431" s="56">
        <f>$BA431-$BA432</f>
        <v/>
      </c>
      <c r="DO431" s="56">
        <f>$BB431-$BB432</f>
        <v/>
      </c>
      <c r="DP431" s="56">
        <f>$BC431-$BC432</f>
        <v/>
      </c>
      <c r="DQ431" s="56">
        <f>$BD431-$BD432</f>
        <v/>
      </c>
      <c r="DR431" s="56">
        <f>$BE431-$BE432</f>
        <v/>
      </c>
      <c r="DS431" s="56">
        <f>$BF431-$BF432</f>
        <v/>
      </c>
      <c r="DT431" s="56">
        <f>$BG431-$BG432</f>
        <v/>
      </c>
      <c r="DU431" s="56">
        <f>$BH431-$BH432</f>
        <v/>
      </c>
      <c r="DV431" s="56">
        <f>$BI431-$BI432</f>
        <v/>
      </c>
      <c r="DW431" s="56">
        <f>$BJ431-$BJ432</f>
        <v/>
      </c>
      <c r="DX431" s="56">
        <f>$BK431-$BK432</f>
        <v/>
      </c>
      <c r="DY431" s="56">
        <f>$BL431-$BL432</f>
        <v/>
      </c>
      <c r="DZ431" s="56">
        <f>$BM431-$BM432</f>
        <v/>
      </c>
      <c r="EA431" s="56">
        <f>$BN431-$BN432</f>
        <v/>
      </c>
      <c r="EB431" s="56">
        <f>$BO431-$BO432</f>
        <v/>
      </c>
      <c r="EC431" s="56">
        <f>$BP431-$BP432</f>
        <v/>
      </c>
      <c r="ED431" s="56">
        <f>$BQ431-$BQ432</f>
        <v/>
      </c>
      <c r="EE431" s="56">
        <f>$BR431-$BR432</f>
        <v/>
      </c>
      <c r="EF431" s="56">
        <f>$BS431-$BS432</f>
        <v/>
      </c>
      <c r="EG431" s="56">
        <f>$BT431-$BT432</f>
        <v/>
      </c>
      <c r="EH431" s="56">
        <f>$BU431-$BU432</f>
        <v/>
      </c>
    </row>
    <row r="432">
      <c r="BV432" s="56">
        <f>($D432-$D433)*100</f>
        <v/>
      </c>
      <c r="BW432" s="56">
        <f>($C432-$C433)*100</f>
        <v/>
      </c>
      <c r="BX432" s="57">
        <f>IFERROR($I432/$I433-1,"")</f>
        <v/>
      </c>
      <c r="BY432" s="56">
        <f>($AF432-$AF433)*100</f>
        <v/>
      </c>
      <c r="BZ432" s="56">
        <f>($AG432-$AG433)*100</f>
        <v/>
      </c>
      <c r="CA432" s="56">
        <f>($AH432-$AH433)*100</f>
        <v/>
      </c>
      <c r="CB432" s="56">
        <f>($AI432-$AI433)*100</f>
        <v/>
      </c>
      <c r="CC432" s="56">
        <f>($AJ432-$AJ433)*100</f>
        <v/>
      </c>
      <c r="CD432" s="56">
        <f>($AK432-$AK433)*100</f>
        <v/>
      </c>
      <c r="CE432" s="56">
        <f>($AL432-$AL433)*100</f>
        <v/>
      </c>
      <c r="CF432" s="56">
        <f>($AM432-$AM433)*100</f>
        <v/>
      </c>
      <c r="CG432" s="56">
        <f>($AN432-$AN433)*100</f>
        <v/>
      </c>
      <c r="CH432" s="56">
        <f>($AO432-$AO433)*100</f>
        <v/>
      </c>
      <c r="CI432" s="56">
        <f>($AP432-$AP433)*100</f>
        <v/>
      </c>
      <c r="CJ432" s="56">
        <f>($AQ432-$AQ433)*100</f>
        <v/>
      </c>
      <c r="CK432" s="56">
        <f>($AR432-$AR433)*100</f>
        <v/>
      </c>
      <c r="CL432" s="56">
        <f>($AS432-$AS433)*100</f>
        <v/>
      </c>
      <c r="CM432" s="56">
        <f>($AT432-$AT433)*100</f>
        <v/>
      </c>
      <c r="CN432" s="56">
        <f>($AU432-$AU433)*100</f>
        <v/>
      </c>
      <c r="CO432" s="56">
        <f>($AV432-$AV433)*100</f>
        <v/>
      </c>
      <c r="CP432" s="56">
        <f>($AW432-$AW433)*100</f>
        <v/>
      </c>
      <c r="CQ432" s="56">
        <f>($AX432-$AX433)*100</f>
        <v/>
      </c>
      <c r="CR432" s="56">
        <f>($AY432-$AY433)*100</f>
        <v/>
      </c>
      <c r="CS432" s="57">
        <f>IFERROR($L433/$L432-1,"")</f>
        <v/>
      </c>
      <c r="CT432" s="57">
        <f>IFERROR($M433/$M432-1,"")</f>
        <v/>
      </c>
      <c r="CU432" s="57">
        <f>IFERROR($N433/$N432-1,"")</f>
        <v/>
      </c>
      <c r="CV432" s="57">
        <f>IFERROR($O433/$O432-1,"")</f>
        <v/>
      </c>
      <c r="CW432" s="57">
        <f>IFERROR($P433/$P432-1,"")</f>
        <v/>
      </c>
      <c r="CX432" s="57">
        <f>IFERROR($Q433/$Q432-1,"")</f>
        <v/>
      </c>
      <c r="CY432" s="57">
        <f>IFERROR($R433/$R432-1,"")</f>
        <v/>
      </c>
      <c r="CZ432" s="57">
        <f>IFERROR($S433/$S432-1,"")</f>
        <v/>
      </c>
      <c r="DA432" s="57">
        <f>IFERROR($T433/$T432-1,"")</f>
        <v/>
      </c>
      <c r="DB432" s="57">
        <f>IFERROR($U433/$U432-1,"")</f>
        <v/>
      </c>
      <c r="DC432" s="57">
        <f>IFERROR($V433/$V432-1,"")</f>
        <v/>
      </c>
      <c r="DD432" s="57">
        <f>IFERROR($W433/$W432-1,"")</f>
        <v/>
      </c>
      <c r="DE432" s="57">
        <f>IFERROR($X433/$X432-1,"")</f>
        <v/>
      </c>
      <c r="DF432" s="57">
        <f>IFERROR($Y433/$Y432-1,"")</f>
        <v/>
      </c>
      <c r="DG432" s="57">
        <f>IFERROR($Z433/$Z432-1,"")</f>
        <v/>
      </c>
      <c r="DH432" s="57">
        <f>IFERROR($AA433/$AA432-1,"")</f>
        <v/>
      </c>
      <c r="DI432" s="57">
        <f>IFERROR($AB433/$AB432-1,"")</f>
        <v/>
      </c>
      <c r="DJ432" s="57">
        <f>IFERROR($AC433/$AC432-1,"")</f>
        <v/>
      </c>
      <c r="DK432" s="57">
        <f>IFERROR($AD433/$AD432-1,"")</f>
        <v/>
      </c>
      <c r="DL432" s="57">
        <f>IFERROR($AE433/$AE432-1,"")</f>
        <v/>
      </c>
      <c r="DM432" s="56">
        <f>$AZ432-$AZ433</f>
        <v/>
      </c>
      <c r="DN432" s="56">
        <f>$BA432-$BA433</f>
        <v/>
      </c>
      <c r="DO432" s="56">
        <f>$BB432-$BB433</f>
        <v/>
      </c>
      <c r="DP432" s="56">
        <f>$BC432-$BC433</f>
        <v/>
      </c>
      <c r="DQ432" s="56">
        <f>$BD432-$BD433</f>
        <v/>
      </c>
      <c r="DR432" s="56">
        <f>$BE432-$BE433</f>
        <v/>
      </c>
      <c r="DS432" s="56">
        <f>$BF432-$BF433</f>
        <v/>
      </c>
      <c r="DT432" s="56">
        <f>$BG432-$BG433</f>
        <v/>
      </c>
      <c r="DU432" s="56">
        <f>$BH432-$BH433</f>
        <v/>
      </c>
      <c r="DV432" s="56">
        <f>$BI432-$BI433</f>
        <v/>
      </c>
      <c r="DW432" s="56">
        <f>$BJ432-$BJ433</f>
        <v/>
      </c>
      <c r="DX432" s="56">
        <f>$BK432-$BK433</f>
        <v/>
      </c>
      <c r="DY432" s="56">
        <f>$BL432-$BL433</f>
        <v/>
      </c>
      <c r="DZ432" s="56">
        <f>$BM432-$BM433</f>
        <v/>
      </c>
      <c r="EA432" s="56">
        <f>$BN432-$BN433</f>
        <v/>
      </c>
      <c r="EB432" s="56">
        <f>$BO432-$BO433</f>
        <v/>
      </c>
      <c r="EC432" s="56">
        <f>$BP432-$BP433</f>
        <v/>
      </c>
      <c r="ED432" s="56">
        <f>$BQ432-$BQ433</f>
        <v/>
      </c>
      <c r="EE432" s="56">
        <f>$BR432-$BR433</f>
        <v/>
      </c>
      <c r="EF432" s="56">
        <f>$BS432-$BS433</f>
        <v/>
      </c>
      <c r="EG432" s="56">
        <f>$BT432-$BT433</f>
        <v/>
      </c>
      <c r="EH432" s="56">
        <f>$BU432-$BU433</f>
        <v/>
      </c>
    </row>
    <row r="433">
      <c r="BV433" s="56">
        <f>($D433-$D434)*100</f>
        <v/>
      </c>
      <c r="BW433" s="56">
        <f>($C433-$C434)*100</f>
        <v/>
      </c>
      <c r="BX433" s="57">
        <f>IFERROR($I433/$I434-1,"")</f>
        <v/>
      </c>
      <c r="BY433" s="56">
        <f>($AF433-$AF434)*100</f>
        <v/>
      </c>
      <c r="BZ433" s="56">
        <f>($AG433-$AG434)*100</f>
        <v/>
      </c>
      <c r="CA433" s="56">
        <f>($AH433-$AH434)*100</f>
        <v/>
      </c>
      <c r="CB433" s="56">
        <f>($AI433-$AI434)*100</f>
        <v/>
      </c>
      <c r="CC433" s="56">
        <f>($AJ433-$AJ434)*100</f>
        <v/>
      </c>
      <c r="CD433" s="56">
        <f>($AK433-$AK434)*100</f>
        <v/>
      </c>
      <c r="CE433" s="56">
        <f>($AL433-$AL434)*100</f>
        <v/>
      </c>
      <c r="CF433" s="56">
        <f>($AM433-$AM434)*100</f>
        <v/>
      </c>
      <c r="CG433" s="56">
        <f>($AN433-$AN434)*100</f>
        <v/>
      </c>
      <c r="CH433" s="56">
        <f>($AO433-$AO434)*100</f>
        <v/>
      </c>
      <c r="CI433" s="56">
        <f>($AP433-$AP434)*100</f>
        <v/>
      </c>
      <c r="CJ433" s="56">
        <f>($AQ433-$AQ434)*100</f>
        <v/>
      </c>
      <c r="CK433" s="56">
        <f>($AR433-$AR434)*100</f>
        <v/>
      </c>
      <c r="CL433" s="56">
        <f>($AS433-$AS434)*100</f>
        <v/>
      </c>
      <c r="CM433" s="56">
        <f>($AT433-$AT434)*100</f>
        <v/>
      </c>
      <c r="CN433" s="56">
        <f>($AU433-$AU434)*100</f>
        <v/>
      </c>
      <c r="CO433" s="56">
        <f>($AV433-$AV434)*100</f>
        <v/>
      </c>
      <c r="CP433" s="56">
        <f>($AW433-$AW434)*100</f>
        <v/>
      </c>
      <c r="CQ433" s="56">
        <f>($AX433-$AX434)*100</f>
        <v/>
      </c>
      <c r="CR433" s="56">
        <f>($AY433-$AY434)*100</f>
        <v/>
      </c>
      <c r="CS433" s="57">
        <f>IFERROR($L434/$L433-1,"")</f>
        <v/>
      </c>
      <c r="CT433" s="57">
        <f>IFERROR($M434/$M433-1,"")</f>
        <v/>
      </c>
      <c r="CU433" s="57">
        <f>IFERROR($N434/$N433-1,"")</f>
        <v/>
      </c>
      <c r="CV433" s="57">
        <f>IFERROR($O434/$O433-1,"")</f>
        <v/>
      </c>
      <c r="CW433" s="57">
        <f>IFERROR($P434/$P433-1,"")</f>
        <v/>
      </c>
      <c r="CX433" s="57">
        <f>IFERROR($Q434/$Q433-1,"")</f>
        <v/>
      </c>
      <c r="CY433" s="57">
        <f>IFERROR($R434/$R433-1,"")</f>
        <v/>
      </c>
      <c r="CZ433" s="57">
        <f>IFERROR($S434/$S433-1,"")</f>
        <v/>
      </c>
      <c r="DA433" s="57">
        <f>IFERROR($T434/$T433-1,"")</f>
        <v/>
      </c>
      <c r="DB433" s="57">
        <f>IFERROR($U434/$U433-1,"")</f>
        <v/>
      </c>
      <c r="DC433" s="57">
        <f>IFERROR($V434/$V433-1,"")</f>
        <v/>
      </c>
      <c r="DD433" s="57">
        <f>IFERROR($W434/$W433-1,"")</f>
        <v/>
      </c>
      <c r="DE433" s="57">
        <f>IFERROR($X434/$X433-1,"")</f>
        <v/>
      </c>
      <c r="DF433" s="57">
        <f>IFERROR($Y434/$Y433-1,"")</f>
        <v/>
      </c>
      <c r="DG433" s="57">
        <f>IFERROR($Z434/$Z433-1,"")</f>
        <v/>
      </c>
      <c r="DH433" s="57">
        <f>IFERROR($AA434/$AA433-1,"")</f>
        <v/>
      </c>
      <c r="DI433" s="57">
        <f>IFERROR($AB434/$AB433-1,"")</f>
        <v/>
      </c>
      <c r="DJ433" s="57">
        <f>IFERROR($AC434/$AC433-1,"")</f>
        <v/>
      </c>
      <c r="DK433" s="57">
        <f>IFERROR($AD434/$AD433-1,"")</f>
        <v/>
      </c>
      <c r="DL433" s="57">
        <f>IFERROR($AE434/$AE433-1,"")</f>
        <v/>
      </c>
      <c r="DM433" s="56">
        <f>$AZ433-$AZ434</f>
        <v/>
      </c>
      <c r="DN433" s="56">
        <f>$BA433-$BA434</f>
        <v/>
      </c>
      <c r="DO433" s="56">
        <f>$BB433-$BB434</f>
        <v/>
      </c>
      <c r="DP433" s="56">
        <f>$BC433-$BC434</f>
        <v/>
      </c>
      <c r="DQ433" s="56">
        <f>$BD433-$BD434</f>
        <v/>
      </c>
      <c r="DR433" s="56">
        <f>$BE433-$BE434</f>
        <v/>
      </c>
      <c r="DS433" s="56">
        <f>$BF433-$BF434</f>
        <v/>
      </c>
      <c r="DT433" s="56">
        <f>$BG433-$BG434</f>
        <v/>
      </c>
      <c r="DU433" s="56">
        <f>$BH433-$BH434</f>
        <v/>
      </c>
      <c r="DV433" s="56">
        <f>$BI433-$BI434</f>
        <v/>
      </c>
      <c r="DW433" s="56">
        <f>$BJ433-$BJ434</f>
        <v/>
      </c>
      <c r="DX433" s="56">
        <f>$BK433-$BK434</f>
        <v/>
      </c>
      <c r="DY433" s="56">
        <f>$BL433-$BL434</f>
        <v/>
      </c>
      <c r="DZ433" s="56">
        <f>$BM433-$BM434</f>
        <v/>
      </c>
      <c r="EA433" s="56">
        <f>$BN433-$BN434</f>
        <v/>
      </c>
      <c r="EB433" s="56">
        <f>$BO433-$BO434</f>
        <v/>
      </c>
      <c r="EC433" s="56">
        <f>$BP433-$BP434</f>
        <v/>
      </c>
      <c r="ED433" s="56">
        <f>$BQ433-$BQ434</f>
        <v/>
      </c>
      <c r="EE433" s="56">
        <f>$BR433-$BR434</f>
        <v/>
      </c>
      <c r="EF433" s="56">
        <f>$BS433-$BS434</f>
        <v/>
      </c>
      <c r="EG433" s="56">
        <f>$BT433-$BT434</f>
        <v/>
      </c>
      <c r="EH433" s="56">
        <f>$BU433-$BU434</f>
        <v/>
      </c>
    </row>
    <row r="434">
      <c r="BV434" s="56">
        <f>($D434-$D435)*100</f>
        <v/>
      </c>
      <c r="BW434" s="56">
        <f>($C434-$C435)*100</f>
        <v/>
      </c>
      <c r="BX434" s="57">
        <f>IFERROR($I434/$I435-1,"")</f>
        <v/>
      </c>
      <c r="BY434" s="56">
        <f>($AF434-$AF435)*100</f>
        <v/>
      </c>
      <c r="BZ434" s="56">
        <f>($AG434-$AG435)*100</f>
        <v/>
      </c>
      <c r="CA434" s="56">
        <f>($AH434-$AH435)*100</f>
        <v/>
      </c>
      <c r="CB434" s="56">
        <f>($AI434-$AI435)*100</f>
        <v/>
      </c>
      <c r="CC434" s="56">
        <f>($AJ434-$AJ435)*100</f>
        <v/>
      </c>
      <c r="CD434" s="56">
        <f>($AK434-$AK435)*100</f>
        <v/>
      </c>
      <c r="CE434" s="56">
        <f>($AL434-$AL435)*100</f>
        <v/>
      </c>
      <c r="CF434" s="56">
        <f>($AM434-$AM435)*100</f>
        <v/>
      </c>
      <c r="CG434" s="56">
        <f>($AN434-$AN435)*100</f>
        <v/>
      </c>
      <c r="CH434" s="56">
        <f>($AO434-$AO435)*100</f>
        <v/>
      </c>
      <c r="CI434" s="56">
        <f>($AP434-$AP435)*100</f>
        <v/>
      </c>
      <c r="CJ434" s="56">
        <f>($AQ434-$AQ435)*100</f>
        <v/>
      </c>
      <c r="CK434" s="56">
        <f>($AR434-$AR435)*100</f>
        <v/>
      </c>
      <c r="CL434" s="56">
        <f>($AS434-$AS435)*100</f>
        <v/>
      </c>
      <c r="CM434" s="56">
        <f>($AT434-$AT435)*100</f>
        <v/>
      </c>
      <c r="CN434" s="56">
        <f>($AU434-$AU435)*100</f>
        <v/>
      </c>
      <c r="CO434" s="56">
        <f>($AV434-$AV435)*100</f>
        <v/>
      </c>
      <c r="CP434" s="56">
        <f>($AW434-$AW435)*100</f>
        <v/>
      </c>
      <c r="CQ434" s="56">
        <f>($AX434-$AX435)*100</f>
        <v/>
      </c>
      <c r="CR434" s="56">
        <f>($AY434-$AY435)*100</f>
        <v/>
      </c>
      <c r="CS434" s="57">
        <f>IFERROR($L435/$L434-1,"")</f>
        <v/>
      </c>
      <c r="CT434" s="57">
        <f>IFERROR($M435/$M434-1,"")</f>
        <v/>
      </c>
      <c r="CU434" s="57">
        <f>IFERROR($N435/$N434-1,"")</f>
        <v/>
      </c>
      <c r="CV434" s="57">
        <f>IFERROR($O435/$O434-1,"")</f>
        <v/>
      </c>
      <c r="CW434" s="57">
        <f>IFERROR($P435/$P434-1,"")</f>
        <v/>
      </c>
      <c r="CX434" s="57">
        <f>IFERROR($Q435/$Q434-1,"")</f>
        <v/>
      </c>
      <c r="CY434" s="57">
        <f>IFERROR($R435/$R434-1,"")</f>
        <v/>
      </c>
      <c r="CZ434" s="57">
        <f>IFERROR($S435/$S434-1,"")</f>
        <v/>
      </c>
      <c r="DA434" s="57">
        <f>IFERROR($T435/$T434-1,"")</f>
        <v/>
      </c>
      <c r="DB434" s="57">
        <f>IFERROR($U435/$U434-1,"")</f>
        <v/>
      </c>
      <c r="DC434" s="57">
        <f>IFERROR($V435/$V434-1,"")</f>
        <v/>
      </c>
      <c r="DD434" s="57">
        <f>IFERROR($W435/$W434-1,"")</f>
        <v/>
      </c>
      <c r="DE434" s="57">
        <f>IFERROR($X435/$X434-1,"")</f>
        <v/>
      </c>
      <c r="DF434" s="57">
        <f>IFERROR($Y435/$Y434-1,"")</f>
        <v/>
      </c>
      <c r="DG434" s="57">
        <f>IFERROR($Z435/$Z434-1,"")</f>
        <v/>
      </c>
      <c r="DH434" s="57">
        <f>IFERROR($AA435/$AA434-1,"")</f>
        <v/>
      </c>
      <c r="DI434" s="57">
        <f>IFERROR($AB435/$AB434-1,"")</f>
        <v/>
      </c>
      <c r="DJ434" s="57">
        <f>IFERROR($AC435/$AC434-1,"")</f>
        <v/>
      </c>
      <c r="DK434" s="57">
        <f>IFERROR($AD435/$AD434-1,"")</f>
        <v/>
      </c>
      <c r="DL434" s="57">
        <f>IFERROR($AE435/$AE434-1,"")</f>
        <v/>
      </c>
      <c r="DM434" s="56">
        <f>$AZ434-$AZ435</f>
        <v/>
      </c>
      <c r="DN434" s="56">
        <f>$BA434-$BA435</f>
        <v/>
      </c>
      <c r="DO434" s="56">
        <f>$BB434-$BB435</f>
        <v/>
      </c>
      <c r="DP434" s="56">
        <f>$BC434-$BC435</f>
        <v/>
      </c>
      <c r="DQ434" s="56">
        <f>$BD434-$BD435</f>
        <v/>
      </c>
      <c r="DR434" s="56">
        <f>$BE434-$BE435</f>
        <v/>
      </c>
      <c r="DS434" s="56">
        <f>$BF434-$BF435</f>
        <v/>
      </c>
      <c r="DT434" s="56">
        <f>$BG434-$BG435</f>
        <v/>
      </c>
      <c r="DU434" s="56">
        <f>$BH434-$BH435</f>
        <v/>
      </c>
      <c r="DV434" s="56">
        <f>$BI434-$BI435</f>
        <v/>
      </c>
      <c r="DW434" s="56">
        <f>$BJ434-$BJ435</f>
        <v/>
      </c>
      <c r="DX434" s="56">
        <f>$BK434-$BK435</f>
        <v/>
      </c>
      <c r="DY434" s="56">
        <f>$BL434-$BL435</f>
        <v/>
      </c>
      <c r="DZ434" s="56">
        <f>$BM434-$BM435</f>
        <v/>
      </c>
      <c r="EA434" s="56">
        <f>$BN434-$BN435</f>
        <v/>
      </c>
      <c r="EB434" s="56">
        <f>$BO434-$BO435</f>
        <v/>
      </c>
      <c r="EC434" s="56">
        <f>$BP434-$BP435</f>
        <v/>
      </c>
      <c r="ED434" s="56">
        <f>$BQ434-$BQ435</f>
        <v/>
      </c>
      <c r="EE434" s="56">
        <f>$BR434-$BR435</f>
        <v/>
      </c>
      <c r="EF434" s="56">
        <f>$BS434-$BS435</f>
        <v/>
      </c>
      <c r="EG434" s="56">
        <f>$BT434-$BT435</f>
        <v/>
      </c>
      <c r="EH434" s="56">
        <f>$BU434-$BU435</f>
        <v/>
      </c>
    </row>
    <row r="435">
      <c r="BV435" s="56">
        <f>($D435-$D436)*100</f>
        <v/>
      </c>
      <c r="BW435" s="56">
        <f>($C435-$C436)*100</f>
        <v/>
      </c>
      <c r="BX435" s="57">
        <f>IFERROR($I435/$I436-1,"")</f>
        <v/>
      </c>
      <c r="BY435" s="56">
        <f>($AF435-$AF436)*100</f>
        <v/>
      </c>
      <c r="BZ435" s="56">
        <f>($AG435-$AG436)*100</f>
        <v/>
      </c>
      <c r="CA435" s="56">
        <f>($AH435-$AH436)*100</f>
        <v/>
      </c>
      <c r="CB435" s="56">
        <f>($AI435-$AI436)*100</f>
        <v/>
      </c>
      <c r="CC435" s="56">
        <f>($AJ435-$AJ436)*100</f>
        <v/>
      </c>
      <c r="CD435" s="56">
        <f>($AK435-$AK436)*100</f>
        <v/>
      </c>
      <c r="CE435" s="56">
        <f>($AL435-$AL436)*100</f>
        <v/>
      </c>
      <c r="CF435" s="56">
        <f>($AM435-$AM436)*100</f>
        <v/>
      </c>
      <c r="CG435" s="56">
        <f>($AN435-$AN436)*100</f>
        <v/>
      </c>
      <c r="CH435" s="56">
        <f>($AO435-$AO436)*100</f>
        <v/>
      </c>
      <c r="CI435" s="56">
        <f>($AP435-$AP436)*100</f>
        <v/>
      </c>
      <c r="CJ435" s="56">
        <f>($AQ435-$AQ436)*100</f>
        <v/>
      </c>
      <c r="CK435" s="56">
        <f>($AR435-$AR436)*100</f>
        <v/>
      </c>
      <c r="CL435" s="56">
        <f>($AS435-$AS436)*100</f>
        <v/>
      </c>
      <c r="CM435" s="56">
        <f>($AT435-$AT436)*100</f>
        <v/>
      </c>
      <c r="CN435" s="56">
        <f>($AU435-$AU436)*100</f>
        <v/>
      </c>
      <c r="CO435" s="56">
        <f>($AV435-$AV436)*100</f>
        <v/>
      </c>
      <c r="CP435" s="56">
        <f>($AW435-$AW436)*100</f>
        <v/>
      </c>
      <c r="CQ435" s="56">
        <f>($AX435-$AX436)*100</f>
        <v/>
      </c>
      <c r="CR435" s="56">
        <f>($AY435-$AY436)*100</f>
        <v/>
      </c>
      <c r="CS435" s="57">
        <f>IFERROR($L436/$L435-1,"")</f>
        <v/>
      </c>
      <c r="CT435" s="57">
        <f>IFERROR($M436/$M435-1,"")</f>
        <v/>
      </c>
      <c r="CU435" s="57">
        <f>IFERROR($N436/$N435-1,"")</f>
        <v/>
      </c>
      <c r="CV435" s="57">
        <f>IFERROR($O436/$O435-1,"")</f>
        <v/>
      </c>
      <c r="CW435" s="57">
        <f>IFERROR($P436/$P435-1,"")</f>
        <v/>
      </c>
      <c r="CX435" s="57">
        <f>IFERROR($Q436/$Q435-1,"")</f>
        <v/>
      </c>
      <c r="CY435" s="57">
        <f>IFERROR($R436/$R435-1,"")</f>
        <v/>
      </c>
      <c r="CZ435" s="57">
        <f>IFERROR($S436/$S435-1,"")</f>
        <v/>
      </c>
      <c r="DA435" s="57">
        <f>IFERROR($T436/$T435-1,"")</f>
        <v/>
      </c>
      <c r="DB435" s="57">
        <f>IFERROR($U436/$U435-1,"")</f>
        <v/>
      </c>
      <c r="DC435" s="57">
        <f>IFERROR($V436/$V435-1,"")</f>
        <v/>
      </c>
      <c r="DD435" s="57">
        <f>IFERROR($W436/$W435-1,"")</f>
        <v/>
      </c>
      <c r="DE435" s="57">
        <f>IFERROR($X436/$X435-1,"")</f>
        <v/>
      </c>
      <c r="DF435" s="57">
        <f>IFERROR($Y436/$Y435-1,"")</f>
        <v/>
      </c>
      <c r="DG435" s="57">
        <f>IFERROR($Z436/$Z435-1,"")</f>
        <v/>
      </c>
      <c r="DH435" s="57">
        <f>IFERROR($AA436/$AA435-1,"")</f>
        <v/>
      </c>
      <c r="DI435" s="57">
        <f>IFERROR($AB436/$AB435-1,"")</f>
        <v/>
      </c>
      <c r="DJ435" s="57">
        <f>IFERROR($AC436/$AC435-1,"")</f>
        <v/>
      </c>
      <c r="DK435" s="57">
        <f>IFERROR($AD436/$AD435-1,"")</f>
        <v/>
      </c>
      <c r="DL435" s="57">
        <f>IFERROR($AE436/$AE435-1,"")</f>
        <v/>
      </c>
      <c r="DM435" s="56">
        <f>$AZ435-$AZ436</f>
        <v/>
      </c>
      <c r="DN435" s="56">
        <f>$BA435-$BA436</f>
        <v/>
      </c>
      <c r="DO435" s="56">
        <f>$BB435-$BB436</f>
        <v/>
      </c>
      <c r="DP435" s="56">
        <f>$BC435-$BC436</f>
        <v/>
      </c>
      <c r="DQ435" s="56">
        <f>$BD435-$BD436</f>
        <v/>
      </c>
      <c r="DR435" s="56">
        <f>$BE435-$BE436</f>
        <v/>
      </c>
      <c r="DS435" s="56">
        <f>$BF435-$BF436</f>
        <v/>
      </c>
      <c r="DT435" s="56">
        <f>$BG435-$BG436</f>
        <v/>
      </c>
      <c r="DU435" s="56">
        <f>$BH435-$BH436</f>
        <v/>
      </c>
      <c r="DV435" s="56">
        <f>$BI435-$BI436</f>
        <v/>
      </c>
      <c r="DW435" s="56">
        <f>$BJ435-$BJ436</f>
        <v/>
      </c>
      <c r="DX435" s="56">
        <f>$BK435-$BK436</f>
        <v/>
      </c>
      <c r="DY435" s="56">
        <f>$BL435-$BL436</f>
        <v/>
      </c>
      <c r="DZ435" s="56">
        <f>$BM435-$BM436</f>
        <v/>
      </c>
      <c r="EA435" s="56">
        <f>$BN435-$BN436</f>
        <v/>
      </c>
      <c r="EB435" s="56">
        <f>$BO435-$BO436</f>
        <v/>
      </c>
      <c r="EC435" s="56">
        <f>$BP435-$BP436</f>
        <v/>
      </c>
      <c r="ED435" s="56">
        <f>$BQ435-$BQ436</f>
        <v/>
      </c>
      <c r="EE435" s="56">
        <f>$BR435-$BR436</f>
        <v/>
      </c>
      <c r="EF435" s="56">
        <f>$BS435-$BS436</f>
        <v/>
      </c>
      <c r="EG435" s="56">
        <f>$BT435-$BT436</f>
        <v/>
      </c>
      <c r="EH435" s="56">
        <f>$BU435-$BU436</f>
        <v/>
      </c>
    </row>
    <row r="436">
      <c r="BV436" s="56">
        <f>($D436-$D437)*100</f>
        <v/>
      </c>
      <c r="BW436" s="56">
        <f>($C436-$C437)*100</f>
        <v/>
      </c>
      <c r="BX436" s="57">
        <f>IFERROR($I436/$I437-1,"")</f>
        <v/>
      </c>
      <c r="BY436" s="56">
        <f>($AF436-$AF437)*100</f>
        <v/>
      </c>
      <c r="BZ436" s="56">
        <f>($AG436-$AG437)*100</f>
        <v/>
      </c>
      <c r="CA436" s="56">
        <f>($AH436-$AH437)*100</f>
        <v/>
      </c>
      <c r="CB436" s="56">
        <f>($AI436-$AI437)*100</f>
        <v/>
      </c>
      <c r="CC436" s="56">
        <f>($AJ436-$AJ437)*100</f>
        <v/>
      </c>
      <c r="CD436" s="56">
        <f>($AK436-$AK437)*100</f>
        <v/>
      </c>
      <c r="CE436" s="56">
        <f>($AL436-$AL437)*100</f>
        <v/>
      </c>
      <c r="CF436" s="56">
        <f>($AM436-$AM437)*100</f>
        <v/>
      </c>
      <c r="CG436" s="56">
        <f>($AN436-$AN437)*100</f>
        <v/>
      </c>
      <c r="CH436" s="56">
        <f>($AO436-$AO437)*100</f>
        <v/>
      </c>
      <c r="CI436" s="56">
        <f>($AP436-$AP437)*100</f>
        <v/>
      </c>
      <c r="CJ436" s="56">
        <f>($AQ436-$AQ437)*100</f>
        <v/>
      </c>
      <c r="CK436" s="56">
        <f>($AR436-$AR437)*100</f>
        <v/>
      </c>
      <c r="CL436" s="56">
        <f>($AS436-$AS437)*100</f>
        <v/>
      </c>
      <c r="CM436" s="56">
        <f>($AT436-$AT437)*100</f>
        <v/>
      </c>
      <c r="CN436" s="56">
        <f>($AU436-$AU437)*100</f>
        <v/>
      </c>
      <c r="CO436" s="56">
        <f>($AV436-$AV437)*100</f>
        <v/>
      </c>
      <c r="CP436" s="56">
        <f>($AW436-$AW437)*100</f>
        <v/>
      </c>
      <c r="CQ436" s="56">
        <f>($AX436-$AX437)*100</f>
        <v/>
      </c>
      <c r="CR436" s="56">
        <f>($AY436-$AY437)*100</f>
        <v/>
      </c>
      <c r="CS436" s="57">
        <f>IFERROR($L437/$L436-1,"")</f>
        <v/>
      </c>
      <c r="CT436" s="57">
        <f>IFERROR($M437/$M436-1,"")</f>
        <v/>
      </c>
      <c r="CU436" s="57">
        <f>IFERROR($N437/$N436-1,"")</f>
        <v/>
      </c>
      <c r="CV436" s="57">
        <f>IFERROR($O437/$O436-1,"")</f>
        <v/>
      </c>
      <c r="CW436" s="57">
        <f>IFERROR($P437/$P436-1,"")</f>
        <v/>
      </c>
      <c r="CX436" s="57">
        <f>IFERROR($Q437/$Q436-1,"")</f>
        <v/>
      </c>
      <c r="CY436" s="57">
        <f>IFERROR($R437/$R436-1,"")</f>
        <v/>
      </c>
      <c r="CZ436" s="57">
        <f>IFERROR($S437/$S436-1,"")</f>
        <v/>
      </c>
      <c r="DA436" s="57">
        <f>IFERROR($T437/$T436-1,"")</f>
        <v/>
      </c>
      <c r="DB436" s="57">
        <f>IFERROR($U437/$U436-1,"")</f>
        <v/>
      </c>
      <c r="DC436" s="57">
        <f>IFERROR($V437/$V436-1,"")</f>
        <v/>
      </c>
      <c r="DD436" s="57">
        <f>IFERROR($W437/$W436-1,"")</f>
        <v/>
      </c>
      <c r="DE436" s="57">
        <f>IFERROR($X437/$X436-1,"")</f>
        <v/>
      </c>
      <c r="DF436" s="57">
        <f>IFERROR($Y437/$Y436-1,"")</f>
        <v/>
      </c>
      <c r="DG436" s="57">
        <f>IFERROR($Z437/$Z436-1,"")</f>
        <v/>
      </c>
      <c r="DH436" s="57">
        <f>IFERROR($AA437/$AA436-1,"")</f>
        <v/>
      </c>
      <c r="DI436" s="57">
        <f>IFERROR($AB437/$AB436-1,"")</f>
        <v/>
      </c>
      <c r="DJ436" s="57">
        <f>IFERROR($AC437/$AC436-1,"")</f>
        <v/>
      </c>
      <c r="DK436" s="57">
        <f>IFERROR($AD437/$AD436-1,"")</f>
        <v/>
      </c>
      <c r="DL436" s="57">
        <f>IFERROR($AE437/$AE436-1,"")</f>
        <v/>
      </c>
      <c r="DM436" s="56">
        <f>$AZ436-$AZ437</f>
        <v/>
      </c>
      <c r="DN436" s="56">
        <f>$BA436-$BA437</f>
        <v/>
      </c>
      <c r="DO436" s="56">
        <f>$BB436-$BB437</f>
        <v/>
      </c>
      <c r="DP436" s="56">
        <f>$BC436-$BC437</f>
        <v/>
      </c>
      <c r="DQ436" s="56">
        <f>$BD436-$BD437</f>
        <v/>
      </c>
      <c r="DR436" s="56">
        <f>$BE436-$BE437</f>
        <v/>
      </c>
      <c r="DS436" s="56">
        <f>$BF436-$BF437</f>
        <v/>
      </c>
      <c r="DT436" s="56">
        <f>$BG436-$BG437</f>
        <v/>
      </c>
      <c r="DU436" s="56">
        <f>$BH436-$BH437</f>
        <v/>
      </c>
      <c r="DV436" s="56">
        <f>$BI436-$BI437</f>
        <v/>
      </c>
      <c r="DW436" s="56">
        <f>$BJ436-$BJ437</f>
        <v/>
      </c>
      <c r="DX436" s="56">
        <f>$BK436-$BK437</f>
        <v/>
      </c>
      <c r="DY436" s="56">
        <f>$BL436-$BL437</f>
        <v/>
      </c>
      <c r="DZ436" s="56">
        <f>$BM436-$BM437</f>
        <v/>
      </c>
      <c r="EA436" s="56">
        <f>$BN436-$BN437</f>
        <v/>
      </c>
      <c r="EB436" s="56">
        <f>$BO436-$BO437</f>
        <v/>
      </c>
      <c r="EC436" s="56">
        <f>$BP436-$BP437</f>
        <v/>
      </c>
      <c r="ED436" s="56">
        <f>$BQ436-$BQ437</f>
        <v/>
      </c>
      <c r="EE436" s="56">
        <f>$BR436-$BR437</f>
        <v/>
      </c>
      <c r="EF436" s="56">
        <f>$BS436-$BS437</f>
        <v/>
      </c>
      <c r="EG436" s="56">
        <f>$BT436-$BT437</f>
        <v/>
      </c>
      <c r="EH436" s="56">
        <f>$BU436-$BU437</f>
        <v/>
      </c>
    </row>
    <row r="437">
      <c r="BV437" s="56">
        <f>($D437-$D438)*100</f>
        <v/>
      </c>
      <c r="BW437" s="56">
        <f>($C437-$C438)*100</f>
        <v/>
      </c>
      <c r="BX437" s="57">
        <f>IFERROR($I437/$I438-1,"")</f>
        <v/>
      </c>
      <c r="BY437" s="56">
        <f>($AF437-$AF438)*100</f>
        <v/>
      </c>
      <c r="BZ437" s="56">
        <f>($AG437-$AG438)*100</f>
        <v/>
      </c>
      <c r="CA437" s="56">
        <f>($AH437-$AH438)*100</f>
        <v/>
      </c>
      <c r="CB437" s="56">
        <f>($AI437-$AI438)*100</f>
        <v/>
      </c>
      <c r="CC437" s="56">
        <f>($AJ437-$AJ438)*100</f>
        <v/>
      </c>
      <c r="CD437" s="56">
        <f>($AK437-$AK438)*100</f>
        <v/>
      </c>
      <c r="CE437" s="56">
        <f>($AL437-$AL438)*100</f>
        <v/>
      </c>
      <c r="CF437" s="56">
        <f>($AM437-$AM438)*100</f>
        <v/>
      </c>
      <c r="CG437" s="56">
        <f>($AN437-$AN438)*100</f>
        <v/>
      </c>
      <c r="CH437" s="56">
        <f>($AO437-$AO438)*100</f>
        <v/>
      </c>
      <c r="CI437" s="56">
        <f>($AP437-$AP438)*100</f>
        <v/>
      </c>
      <c r="CJ437" s="56">
        <f>($AQ437-$AQ438)*100</f>
        <v/>
      </c>
      <c r="CK437" s="56">
        <f>($AR437-$AR438)*100</f>
        <v/>
      </c>
      <c r="CL437" s="56">
        <f>($AS437-$AS438)*100</f>
        <v/>
      </c>
      <c r="CM437" s="56">
        <f>($AT437-$AT438)*100</f>
        <v/>
      </c>
      <c r="CN437" s="56">
        <f>($AU437-$AU438)*100</f>
        <v/>
      </c>
      <c r="CO437" s="56">
        <f>($AV437-$AV438)*100</f>
        <v/>
      </c>
      <c r="CP437" s="56">
        <f>($AW437-$AW438)*100</f>
        <v/>
      </c>
      <c r="CQ437" s="56">
        <f>($AX437-$AX438)*100</f>
        <v/>
      </c>
      <c r="CR437" s="56">
        <f>($AY437-$AY438)*100</f>
        <v/>
      </c>
      <c r="CS437" s="57">
        <f>IFERROR($L438/$L437-1,"")</f>
        <v/>
      </c>
      <c r="CT437" s="57">
        <f>IFERROR($M438/$M437-1,"")</f>
        <v/>
      </c>
      <c r="CU437" s="57">
        <f>IFERROR($N438/$N437-1,"")</f>
        <v/>
      </c>
      <c r="CV437" s="57">
        <f>IFERROR($O438/$O437-1,"")</f>
        <v/>
      </c>
      <c r="CW437" s="57">
        <f>IFERROR($P438/$P437-1,"")</f>
        <v/>
      </c>
      <c r="CX437" s="57">
        <f>IFERROR($Q438/$Q437-1,"")</f>
        <v/>
      </c>
      <c r="CY437" s="57">
        <f>IFERROR($R438/$R437-1,"")</f>
        <v/>
      </c>
      <c r="CZ437" s="57">
        <f>IFERROR($S438/$S437-1,"")</f>
        <v/>
      </c>
      <c r="DA437" s="57">
        <f>IFERROR($T438/$T437-1,"")</f>
        <v/>
      </c>
      <c r="DB437" s="57">
        <f>IFERROR($U438/$U437-1,"")</f>
        <v/>
      </c>
      <c r="DC437" s="57">
        <f>IFERROR($V438/$V437-1,"")</f>
        <v/>
      </c>
      <c r="DD437" s="57">
        <f>IFERROR($W438/$W437-1,"")</f>
        <v/>
      </c>
      <c r="DE437" s="57">
        <f>IFERROR($X438/$X437-1,"")</f>
        <v/>
      </c>
      <c r="DF437" s="57">
        <f>IFERROR($Y438/$Y437-1,"")</f>
        <v/>
      </c>
      <c r="DG437" s="57">
        <f>IFERROR($Z438/$Z437-1,"")</f>
        <v/>
      </c>
      <c r="DH437" s="57">
        <f>IFERROR($AA438/$AA437-1,"")</f>
        <v/>
      </c>
      <c r="DI437" s="57">
        <f>IFERROR($AB438/$AB437-1,"")</f>
        <v/>
      </c>
      <c r="DJ437" s="57">
        <f>IFERROR($AC438/$AC437-1,"")</f>
        <v/>
      </c>
      <c r="DK437" s="57">
        <f>IFERROR($AD438/$AD437-1,"")</f>
        <v/>
      </c>
      <c r="DL437" s="57">
        <f>IFERROR($AE438/$AE437-1,"")</f>
        <v/>
      </c>
      <c r="DM437" s="56">
        <f>$AZ437-$AZ438</f>
        <v/>
      </c>
      <c r="DN437" s="56">
        <f>$BA437-$BA438</f>
        <v/>
      </c>
      <c r="DO437" s="56">
        <f>$BB437-$BB438</f>
        <v/>
      </c>
      <c r="DP437" s="56">
        <f>$BC437-$BC438</f>
        <v/>
      </c>
      <c r="DQ437" s="56">
        <f>$BD437-$BD438</f>
        <v/>
      </c>
      <c r="DR437" s="56">
        <f>$BE437-$BE438</f>
        <v/>
      </c>
      <c r="DS437" s="56">
        <f>$BF437-$BF438</f>
        <v/>
      </c>
      <c r="DT437" s="56">
        <f>$BG437-$BG438</f>
        <v/>
      </c>
      <c r="DU437" s="56">
        <f>$BH437-$BH438</f>
        <v/>
      </c>
      <c r="DV437" s="56">
        <f>$BI437-$BI438</f>
        <v/>
      </c>
      <c r="DW437" s="56">
        <f>$BJ437-$BJ438</f>
        <v/>
      </c>
      <c r="DX437" s="56">
        <f>$BK437-$BK438</f>
        <v/>
      </c>
      <c r="DY437" s="56">
        <f>$BL437-$BL438</f>
        <v/>
      </c>
      <c r="DZ437" s="56">
        <f>$BM437-$BM438</f>
        <v/>
      </c>
      <c r="EA437" s="56">
        <f>$BN437-$BN438</f>
        <v/>
      </c>
      <c r="EB437" s="56">
        <f>$BO437-$BO438</f>
        <v/>
      </c>
      <c r="EC437" s="56">
        <f>$BP437-$BP438</f>
        <v/>
      </c>
      <c r="ED437" s="56">
        <f>$BQ437-$BQ438</f>
        <v/>
      </c>
      <c r="EE437" s="56">
        <f>$BR437-$BR438</f>
        <v/>
      </c>
      <c r="EF437" s="56">
        <f>$BS437-$BS438</f>
        <v/>
      </c>
      <c r="EG437" s="56">
        <f>$BT437-$BT438</f>
        <v/>
      </c>
      <c r="EH437" s="56">
        <f>$BU437-$BU438</f>
        <v/>
      </c>
    </row>
    <row r="438">
      <c r="BV438" s="56">
        <f>($D438-$D439)*100</f>
        <v/>
      </c>
      <c r="BW438" s="56">
        <f>($C438-$C439)*100</f>
        <v/>
      </c>
      <c r="BX438" s="57">
        <f>IFERROR($I438/$I439-1,"")</f>
        <v/>
      </c>
      <c r="BY438" s="56">
        <f>($AF438-$AF439)*100</f>
        <v/>
      </c>
      <c r="BZ438" s="56">
        <f>($AG438-$AG439)*100</f>
        <v/>
      </c>
      <c r="CA438" s="56">
        <f>($AH438-$AH439)*100</f>
        <v/>
      </c>
      <c r="CB438" s="56">
        <f>($AI438-$AI439)*100</f>
        <v/>
      </c>
      <c r="CC438" s="56">
        <f>($AJ438-$AJ439)*100</f>
        <v/>
      </c>
      <c r="CD438" s="56">
        <f>($AK438-$AK439)*100</f>
        <v/>
      </c>
      <c r="CE438" s="56">
        <f>($AL438-$AL439)*100</f>
        <v/>
      </c>
      <c r="CF438" s="56">
        <f>($AM438-$AM439)*100</f>
        <v/>
      </c>
      <c r="CG438" s="56">
        <f>($AN438-$AN439)*100</f>
        <v/>
      </c>
      <c r="CH438" s="56">
        <f>($AO438-$AO439)*100</f>
        <v/>
      </c>
      <c r="CI438" s="56">
        <f>($AP438-$AP439)*100</f>
        <v/>
      </c>
      <c r="CJ438" s="56">
        <f>($AQ438-$AQ439)*100</f>
        <v/>
      </c>
      <c r="CK438" s="56">
        <f>($AR438-$AR439)*100</f>
        <v/>
      </c>
      <c r="CL438" s="56">
        <f>($AS438-$AS439)*100</f>
        <v/>
      </c>
      <c r="CM438" s="56">
        <f>($AT438-$AT439)*100</f>
        <v/>
      </c>
      <c r="CN438" s="56">
        <f>($AU438-$AU439)*100</f>
        <v/>
      </c>
      <c r="CO438" s="56">
        <f>($AV438-$AV439)*100</f>
        <v/>
      </c>
      <c r="CP438" s="56">
        <f>($AW438-$AW439)*100</f>
        <v/>
      </c>
      <c r="CQ438" s="56">
        <f>($AX438-$AX439)*100</f>
        <v/>
      </c>
      <c r="CR438" s="56">
        <f>($AY438-$AY439)*100</f>
        <v/>
      </c>
      <c r="CS438" s="57">
        <f>IFERROR($L439/$L438-1,"")</f>
        <v/>
      </c>
      <c r="CT438" s="57">
        <f>IFERROR($M439/$M438-1,"")</f>
        <v/>
      </c>
      <c r="CU438" s="57">
        <f>IFERROR($N439/$N438-1,"")</f>
        <v/>
      </c>
      <c r="CV438" s="57">
        <f>IFERROR($O439/$O438-1,"")</f>
        <v/>
      </c>
      <c r="CW438" s="57">
        <f>IFERROR($P439/$P438-1,"")</f>
        <v/>
      </c>
      <c r="CX438" s="57">
        <f>IFERROR($Q439/$Q438-1,"")</f>
        <v/>
      </c>
      <c r="CY438" s="57">
        <f>IFERROR($R439/$R438-1,"")</f>
        <v/>
      </c>
      <c r="CZ438" s="57">
        <f>IFERROR($S439/$S438-1,"")</f>
        <v/>
      </c>
      <c r="DA438" s="57">
        <f>IFERROR($T439/$T438-1,"")</f>
        <v/>
      </c>
      <c r="DB438" s="57">
        <f>IFERROR($U439/$U438-1,"")</f>
        <v/>
      </c>
      <c r="DC438" s="57">
        <f>IFERROR($V439/$V438-1,"")</f>
        <v/>
      </c>
      <c r="DD438" s="57">
        <f>IFERROR($W439/$W438-1,"")</f>
        <v/>
      </c>
      <c r="DE438" s="57">
        <f>IFERROR($X439/$X438-1,"")</f>
        <v/>
      </c>
      <c r="DF438" s="57">
        <f>IFERROR($Y439/$Y438-1,"")</f>
        <v/>
      </c>
      <c r="DG438" s="57">
        <f>IFERROR($Z439/$Z438-1,"")</f>
        <v/>
      </c>
      <c r="DH438" s="57">
        <f>IFERROR($AA439/$AA438-1,"")</f>
        <v/>
      </c>
      <c r="DI438" s="57">
        <f>IFERROR($AB439/$AB438-1,"")</f>
        <v/>
      </c>
      <c r="DJ438" s="57">
        <f>IFERROR($AC439/$AC438-1,"")</f>
        <v/>
      </c>
      <c r="DK438" s="57">
        <f>IFERROR($AD439/$AD438-1,"")</f>
        <v/>
      </c>
      <c r="DL438" s="57">
        <f>IFERROR($AE439/$AE438-1,"")</f>
        <v/>
      </c>
      <c r="DM438" s="56">
        <f>$AZ438-$AZ439</f>
        <v/>
      </c>
      <c r="DN438" s="56">
        <f>$BA438-$BA439</f>
        <v/>
      </c>
      <c r="DO438" s="56">
        <f>$BB438-$BB439</f>
        <v/>
      </c>
      <c r="DP438" s="56">
        <f>$BC438-$BC439</f>
        <v/>
      </c>
      <c r="DQ438" s="56">
        <f>$BD438-$BD439</f>
        <v/>
      </c>
      <c r="DR438" s="56">
        <f>$BE438-$BE439</f>
        <v/>
      </c>
      <c r="DS438" s="56">
        <f>$BF438-$BF439</f>
        <v/>
      </c>
      <c r="DT438" s="56">
        <f>$BG438-$BG439</f>
        <v/>
      </c>
      <c r="DU438" s="56">
        <f>$BH438-$BH439</f>
        <v/>
      </c>
      <c r="DV438" s="56">
        <f>$BI438-$BI439</f>
        <v/>
      </c>
      <c r="DW438" s="56">
        <f>$BJ438-$BJ439</f>
        <v/>
      </c>
      <c r="DX438" s="56">
        <f>$BK438-$BK439</f>
        <v/>
      </c>
      <c r="DY438" s="56">
        <f>$BL438-$BL439</f>
        <v/>
      </c>
      <c r="DZ438" s="56">
        <f>$BM438-$BM439</f>
        <v/>
      </c>
      <c r="EA438" s="56">
        <f>$BN438-$BN439</f>
        <v/>
      </c>
      <c r="EB438" s="56">
        <f>$BO438-$BO439</f>
        <v/>
      </c>
      <c r="EC438" s="56">
        <f>$BP438-$BP439</f>
        <v/>
      </c>
      <c r="ED438" s="56">
        <f>$BQ438-$BQ439</f>
        <v/>
      </c>
      <c r="EE438" s="56">
        <f>$BR438-$BR439</f>
        <v/>
      </c>
      <c r="EF438" s="56">
        <f>$BS438-$BS439</f>
        <v/>
      </c>
      <c r="EG438" s="56">
        <f>$BT438-$BT439</f>
        <v/>
      </c>
      <c r="EH438" s="56">
        <f>$BU438-$BU439</f>
        <v/>
      </c>
    </row>
    <row r="439">
      <c r="BV439" s="56">
        <f>($D439-$D440)*100</f>
        <v/>
      </c>
      <c r="BW439" s="56">
        <f>($C439-$C440)*100</f>
        <v/>
      </c>
      <c r="BX439" s="57">
        <f>IFERROR($I439/$I440-1,"")</f>
        <v/>
      </c>
      <c r="BY439" s="56">
        <f>($AF439-$AF440)*100</f>
        <v/>
      </c>
      <c r="BZ439" s="56">
        <f>($AG439-$AG440)*100</f>
        <v/>
      </c>
      <c r="CA439" s="56">
        <f>($AH439-$AH440)*100</f>
        <v/>
      </c>
      <c r="CB439" s="56">
        <f>($AI439-$AI440)*100</f>
        <v/>
      </c>
      <c r="CC439" s="56">
        <f>($AJ439-$AJ440)*100</f>
        <v/>
      </c>
      <c r="CD439" s="56">
        <f>($AK439-$AK440)*100</f>
        <v/>
      </c>
      <c r="CE439" s="56">
        <f>($AL439-$AL440)*100</f>
        <v/>
      </c>
      <c r="CF439" s="56">
        <f>($AM439-$AM440)*100</f>
        <v/>
      </c>
      <c r="CG439" s="56">
        <f>($AN439-$AN440)*100</f>
        <v/>
      </c>
      <c r="CH439" s="56">
        <f>($AO439-$AO440)*100</f>
        <v/>
      </c>
      <c r="CI439" s="56">
        <f>($AP439-$AP440)*100</f>
        <v/>
      </c>
      <c r="CJ439" s="56">
        <f>($AQ439-$AQ440)*100</f>
        <v/>
      </c>
      <c r="CK439" s="56">
        <f>($AR439-$AR440)*100</f>
        <v/>
      </c>
      <c r="CL439" s="56">
        <f>($AS439-$AS440)*100</f>
        <v/>
      </c>
      <c r="CM439" s="56">
        <f>($AT439-$AT440)*100</f>
        <v/>
      </c>
      <c r="CN439" s="56">
        <f>($AU439-$AU440)*100</f>
        <v/>
      </c>
      <c r="CO439" s="56">
        <f>($AV439-$AV440)*100</f>
        <v/>
      </c>
      <c r="CP439" s="56">
        <f>($AW439-$AW440)*100</f>
        <v/>
      </c>
      <c r="CQ439" s="56">
        <f>($AX439-$AX440)*100</f>
        <v/>
      </c>
      <c r="CR439" s="56">
        <f>($AY439-$AY440)*100</f>
        <v/>
      </c>
      <c r="CS439" s="57">
        <f>IFERROR($L440/$L439-1,"")</f>
        <v/>
      </c>
      <c r="CT439" s="57">
        <f>IFERROR($M440/$M439-1,"")</f>
        <v/>
      </c>
      <c r="CU439" s="57">
        <f>IFERROR($N440/$N439-1,"")</f>
        <v/>
      </c>
      <c r="CV439" s="57">
        <f>IFERROR($O440/$O439-1,"")</f>
        <v/>
      </c>
      <c r="CW439" s="57">
        <f>IFERROR($P440/$P439-1,"")</f>
        <v/>
      </c>
      <c r="CX439" s="57">
        <f>IFERROR($Q440/$Q439-1,"")</f>
        <v/>
      </c>
      <c r="CY439" s="57">
        <f>IFERROR($R440/$R439-1,"")</f>
        <v/>
      </c>
      <c r="CZ439" s="57">
        <f>IFERROR($S440/$S439-1,"")</f>
        <v/>
      </c>
      <c r="DA439" s="57">
        <f>IFERROR($T440/$T439-1,"")</f>
        <v/>
      </c>
      <c r="DB439" s="57">
        <f>IFERROR($U440/$U439-1,"")</f>
        <v/>
      </c>
      <c r="DC439" s="57">
        <f>IFERROR($V440/$V439-1,"")</f>
        <v/>
      </c>
      <c r="DD439" s="57">
        <f>IFERROR($W440/$W439-1,"")</f>
        <v/>
      </c>
      <c r="DE439" s="57">
        <f>IFERROR($X440/$X439-1,"")</f>
        <v/>
      </c>
      <c r="DF439" s="57">
        <f>IFERROR($Y440/$Y439-1,"")</f>
        <v/>
      </c>
      <c r="DG439" s="57">
        <f>IFERROR($Z440/$Z439-1,"")</f>
        <v/>
      </c>
      <c r="DH439" s="57">
        <f>IFERROR($AA440/$AA439-1,"")</f>
        <v/>
      </c>
      <c r="DI439" s="57">
        <f>IFERROR($AB440/$AB439-1,"")</f>
        <v/>
      </c>
      <c r="DJ439" s="57">
        <f>IFERROR($AC440/$AC439-1,"")</f>
        <v/>
      </c>
      <c r="DK439" s="57">
        <f>IFERROR($AD440/$AD439-1,"")</f>
        <v/>
      </c>
      <c r="DL439" s="57">
        <f>IFERROR($AE440/$AE439-1,"")</f>
        <v/>
      </c>
      <c r="DM439" s="56">
        <f>$AZ439-$AZ440</f>
        <v/>
      </c>
      <c r="DN439" s="56">
        <f>$BA439-$BA440</f>
        <v/>
      </c>
      <c r="DO439" s="56">
        <f>$BB439-$BB440</f>
        <v/>
      </c>
      <c r="DP439" s="56">
        <f>$BC439-$BC440</f>
        <v/>
      </c>
      <c r="DQ439" s="56">
        <f>$BD439-$BD440</f>
        <v/>
      </c>
      <c r="DR439" s="56">
        <f>$BE439-$BE440</f>
        <v/>
      </c>
      <c r="DS439" s="56">
        <f>$BF439-$BF440</f>
        <v/>
      </c>
      <c r="DT439" s="56">
        <f>$BG439-$BG440</f>
        <v/>
      </c>
      <c r="DU439" s="56">
        <f>$BH439-$BH440</f>
        <v/>
      </c>
      <c r="DV439" s="56">
        <f>$BI439-$BI440</f>
        <v/>
      </c>
      <c r="DW439" s="56">
        <f>$BJ439-$BJ440</f>
        <v/>
      </c>
      <c r="DX439" s="56">
        <f>$BK439-$BK440</f>
        <v/>
      </c>
      <c r="DY439" s="56">
        <f>$BL439-$BL440</f>
        <v/>
      </c>
      <c r="DZ439" s="56">
        <f>$BM439-$BM440</f>
        <v/>
      </c>
      <c r="EA439" s="56">
        <f>$BN439-$BN440</f>
        <v/>
      </c>
      <c r="EB439" s="56">
        <f>$BO439-$BO440</f>
        <v/>
      </c>
      <c r="EC439" s="56">
        <f>$BP439-$BP440</f>
        <v/>
      </c>
      <c r="ED439" s="56">
        <f>$BQ439-$BQ440</f>
        <v/>
      </c>
      <c r="EE439" s="56">
        <f>$BR439-$BR440</f>
        <v/>
      </c>
      <c r="EF439" s="56">
        <f>$BS439-$BS440</f>
        <v/>
      </c>
      <c r="EG439" s="56">
        <f>$BT439-$BT440</f>
        <v/>
      </c>
      <c r="EH439" s="56">
        <f>$BU439-$BU440</f>
        <v/>
      </c>
    </row>
    <row r="440">
      <c r="BV440" s="56">
        <f>($D440-$D441)*100</f>
        <v/>
      </c>
      <c r="BW440" s="56">
        <f>($C440-$C441)*100</f>
        <v/>
      </c>
      <c r="BX440" s="57">
        <f>IFERROR($I440/$I441-1,"")</f>
        <v/>
      </c>
      <c r="BY440" s="56">
        <f>($AF440-$AF441)*100</f>
        <v/>
      </c>
      <c r="BZ440" s="56">
        <f>($AG440-$AG441)*100</f>
        <v/>
      </c>
      <c r="CA440" s="56">
        <f>($AH440-$AH441)*100</f>
        <v/>
      </c>
      <c r="CB440" s="56">
        <f>($AI440-$AI441)*100</f>
        <v/>
      </c>
      <c r="CC440" s="56">
        <f>($AJ440-$AJ441)*100</f>
        <v/>
      </c>
      <c r="CD440" s="56">
        <f>($AK440-$AK441)*100</f>
        <v/>
      </c>
      <c r="CE440" s="56">
        <f>($AL440-$AL441)*100</f>
        <v/>
      </c>
      <c r="CF440" s="56">
        <f>($AM440-$AM441)*100</f>
        <v/>
      </c>
      <c r="CG440" s="56">
        <f>($AN440-$AN441)*100</f>
        <v/>
      </c>
      <c r="CH440" s="56">
        <f>($AO440-$AO441)*100</f>
        <v/>
      </c>
      <c r="CI440" s="56">
        <f>($AP440-$AP441)*100</f>
        <v/>
      </c>
      <c r="CJ440" s="56">
        <f>($AQ440-$AQ441)*100</f>
        <v/>
      </c>
      <c r="CK440" s="56">
        <f>($AR440-$AR441)*100</f>
        <v/>
      </c>
      <c r="CL440" s="56">
        <f>($AS440-$AS441)*100</f>
        <v/>
      </c>
      <c r="CM440" s="56">
        <f>($AT440-$AT441)*100</f>
        <v/>
      </c>
      <c r="CN440" s="56">
        <f>($AU440-$AU441)*100</f>
        <v/>
      </c>
      <c r="CO440" s="56">
        <f>($AV440-$AV441)*100</f>
        <v/>
      </c>
      <c r="CP440" s="56">
        <f>($AW440-$AW441)*100</f>
        <v/>
      </c>
      <c r="CQ440" s="56">
        <f>($AX440-$AX441)*100</f>
        <v/>
      </c>
      <c r="CR440" s="56">
        <f>($AY440-$AY441)*100</f>
        <v/>
      </c>
      <c r="CS440" s="57">
        <f>IFERROR($L441/$L440-1,"")</f>
        <v/>
      </c>
      <c r="CT440" s="57">
        <f>IFERROR($M441/$M440-1,"")</f>
        <v/>
      </c>
      <c r="CU440" s="57">
        <f>IFERROR($N441/$N440-1,"")</f>
        <v/>
      </c>
      <c r="CV440" s="57">
        <f>IFERROR($O441/$O440-1,"")</f>
        <v/>
      </c>
      <c r="CW440" s="57">
        <f>IFERROR($P441/$P440-1,"")</f>
        <v/>
      </c>
      <c r="CX440" s="57">
        <f>IFERROR($Q441/$Q440-1,"")</f>
        <v/>
      </c>
      <c r="CY440" s="57">
        <f>IFERROR($R441/$R440-1,"")</f>
        <v/>
      </c>
      <c r="CZ440" s="57">
        <f>IFERROR($S441/$S440-1,"")</f>
        <v/>
      </c>
      <c r="DA440" s="57">
        <f>IFERROR($T441/$T440-1,"")</f>
        <v/>
      </c>
      <c r="DB440" s="57">
        <f>IFERROR($U441/$U440-1,"")</f>
        <v/>
      </c>
      <c r="DC440" s="57">
        <f>IFERROR($V441/$V440-1,"")</f>
        <v/>
      </c>
      <c r="DD440" s="57">
        <f>IFERROR($W441/$W440-1,"")</f>
        <v/>
      </c>
      <c r="DE440" s="57">
        <f>IFERROR($X441/$X440-1,"")</f>
        <v/>
      </c>
      <c r="DF440" s="57">
        <f>IFERROR($Y441/$Y440-1,"")</f>
        <v/>
      </c>
      <c r="DG440" s="57">
        <f>IFERROR($Z441/$Z440-1,"")</f>
        <v/>
      </c>
      <c r="DH440" s="57">
        <f>IFERROR($AA441/$AA440-1,"")</f>
        <v/>
      </c>
      <c r="DI440" s="57">
        <f>IFERROR($AB441/$AB440-1,"")</f>
        <v/>
      </c>
      <c r="DJ440" s="57">
        <f>IFERROR($AC441/$AC440-1,"")</f>
        <v/>
      </c>
      <c r="DK440" s="57">
        <f>IFERROR($AD441/$AD440-1,"")</f>
        <v/>
      </c>
      <c r="DL440" s="57">
        <f>IFERROR($AE441/$AE440-1,"")</f>
        <v/>
      </c>
      <c r="DM440" s="56">
        <f>$AZ440-$AZ441</f>
        <v/>
      </c>
      <c r="DN440" s="56">
        <f>$BA440-$BA441</f>
        <v/>
      </c>
      <c r="DO440" s="56">
        <f>$BB440-$BB441</f>
        <v/>
      </c>
      <c r="DP440" s="56">
        <f>$BC440-$BC441</f>
        <v/>
      </c>
      <c r="DQ440" s="56">
        <f>$BD440-$BD441</f>
        <v/>
      </c>
      <c r="DR440" s="56">
        <f>$BE440-$BE441</f>
        <v/>
      </c>
      <c r="DS440" s="56">
        <f>$BF440-$BF441</f>
        <v/>
      </c>
      <c r="DT440" s="56">
        <f>$BG440-$BG441</f>
        <v/>
      </c>
      <c r="DU440" s="56">
        <f>$BH440-$BH441</f>
        <v/>
      </c>
      <c r="DV440" s="56">
        <f>$BI440-$BI441</f>
        <v/>
      </c>
      <c r="DW440" s="56">
        <f>$BJ440-$BJ441</f>
        <v/>
      </c>
      <c r="DX440" s="56">
        <f>$BK440-$BK441</f>
        <v/>
      </c>
      <c r="DY440" s="56">
        <f>$BL440-$BL441</f>
        <v/>
      </c>
      <c r="DZ440" s="56">
        <f>$BM440-$BM441</f>
        <v/>
      </c>
      <c r="EA440" s="56">
        <f>$BN440-$BN441</f>
        <v/>
      </c>
      <c r="EB440" s="56">
        <f>$BO440-$BO441</f>
        <v/>
      </c>
      <c r="EC440" s="56">
        <f>$BP440-$BP441</f>
        <v/>
      </c>
      <c r="ED440" s="56">
        <f>$BQ440-$BQ441</f>
        <v/>
      </c>
      <c r="EE440" s="56">
        <f>$BR440-$BR441</f>
        <v/>
      </c>
      <c r="EF440" s="56">
        <f>$BS440-$BS441</f>
        <v/>
      </c>
      <c r="EG440" s="56">
        <f>$BT440-$BT441</f>
        <v/>
      </c>
      <c r="EH440" s="56">
        <f>$BU440-$BU441</f>
        <v/>
      </c>
    </row>
    <row r="441">
      <c r="BV441" s="56">
        <f>($D441-$D442)*100</f>
        <v/>
      </c>
      <c r="BW441" s="56">
        <f>($C441-$C442)*100</f>
        <v/>
      </c>
      <c r="BX441" s="57">
        <f>IFERROR($I441/$I442-1,"")</f>
        <v/>
      </c>
      <c r="BY441" s="56">
        <f>($AF441-$AF442)*100</f>
        <v/>
      </c>
      <c r="BZ441" s="56">
        <f>($AG441-$AG442)*100</f>
        <v/>
      </c>
      <c r="CA441" s="56">
        <f>($AH441-$AH442)*100</f>
        <v/>
      </c>
      <c r="CB441" s="56">
        <f>($AI441-$AI442)*100</f>
        <v/>
      </c>
      <c r="CC441" s="56">
        <f>($AJ441-$AJ442)*100</f>
        <v/>
      </c>
      <c r="CD441" s="56">
        <f>($AK441-$AK442)*100</f>
        <v/>
      </c>
      <c r="CE441" s="56">
        <f>($AL441-$AL442)*100</f>
        <v/>
      </c>
      <c r="CF441" s="56">
        <f>($AM441-$AM442)*100</f>
        <v/>
      </c>
      <c r="CG441" s="56">
        <f>($AN441-$AN442)*100</f>
        <v/>
      </c>
      <c r="CH441" s="56">
        <f>($AO441-$AO442)*100</f>
        <v/>
      </c>
      <c r="CI441" s="56">
        <f>($AP441-$AP442)*100</f>
        <v/>
      </c>
      <c r="CJ441" s="56">
        <f>($AQ441-$AQ442)*100</f>
        <v/>
      </c>
      <c r="CK441" s="56">
        <f>($AR441-$AR442)*100</f>
        <v/>
      </c>
      <c r="CL441" s="56">
        <f>($AS441-$AS442)*100</f>
        <v/>
      </c>
      <c r="CM441" s="56">
        <f>($AT441-$AT442)*100</f>
        <v/>
      </c>
      <c r="CN441" s="56">
        <f>($AU441-$AU442)*100</f>
        <v/>
      </c>
      <c r="CO441" s="56">
        <f>($AV441-$AV442)*100</f>
        <v/>
      </c>
      <c r="CP441" s="56">
        <f>($AW441-$AW442)*100</f>
        <v/>
      </c>
      <c r="CQ441" s="56">
        <f>($AX441-$AX442)*100</f>
        <v/>
      </c>
      <c r="CR441" s="56">
        <f>($AY441-$AY442)*100</f>
        <v/>
      </c>
      <c r="CS441" s="57">
        <f>IFERROR($L442/$L441-1,"")</f>
        <v/>
      </c>
      <c r="CT441" s="57">
        <f>IFERROR($M442/$M441-1,"")</f>
        <v/>
      </c>
      <c r="CU441" s="57">
        <f>IFERROR($N442/$N441-1,"")</f>
        <v/>
      </c>
      <c r="CV441" s="57">
        <f>IFERROR($O442/$O441-1,"")</f>
        <v/>
      </c>
      <c r="CW441" s="57">
        <f>IFERROR($P442/$P441-1,"")</f>
        <v/>
      </c>
      <c r="CX441" s="57">
        <f>IFERROR($Q442/$Q441-1,"")</f>
        <v/>
      </c>
      <c r="CY441" s="57">
        <f>IFERROR($R442/$R441-1,"")</f>
        <v/>
      </c>
      <c r="CZ441" s="57">
        <f>IFERROR($S442/$S441-1,"")</f>
        <v/>
      </c>
      <c r="DA441" s="57">
        <f>IFERROR($T442/$T441-1,"")</f>
        <v/>
      </c>
      <c r="DB441" s="57">
        <f>IFERROR($U442/$U441-1,"")</f>
        <v/>
      </c>
      <c r="DC441" s="57">
        <f>IFERROR($V442/$V441-1,"")</f>
        <v/>
      </c>
      <c r="DD441" s="57">
        <f>IFERROR($W442/$W441-1,"")</f>
        <v/>
      </c>
      <c r="DE441" s="57">
        <f>IFERROR($X442/$X441-1,"")</f>
        <v/>
      </c>
      <c r="DF441" s="57">
        <f>IFERROR($Y442/$Y441-1,"")</f>
        <v/>
      </c>
      <c r="DG441" s="57">
        <f>IFERROR($Z442/$Z441-1,"")</f>
        <v/>
      </c>
      <c r="DH441" s="57">
        <f>IFERROR($AA442/$AA441-1,"")</f>
        <v/>
      </c>
      <c r="DI441" s="57">
        <f>IFERROR($AB442/$AB441-1,"")</f>
        <v/>
      </c>
      <c r="DJ441" s="57">
        <f>IFERROR($AC442/$AC441-1,"")</f>
        <v/>
      </c>
      <c r="DK441" s="57">
        <f>IFERROR($AD442/$AD441-1,"")</f>
        <v/>
      </c>
      <c r="DL441" s="57">
        <f>IFERROR($AE442/$AE441-1,"")</f>
        <v/>
      </c>
      <c r="DM441" s="56">
        <f>$AZ441-$AZ442</f>
        <v/>
      </c>
      <c r="DN441" s="56">
        <f>$BA441-$BA442</f>
        <v/>
      </c>
      <c r="DO441" s="56">
        <f>$BB441-$BB442</f>
        <v/>
      </c>
      <c r="DP441" s="56">
        <f>$BC441-$BC442</f>
        <v/>
      </c>
      <c r="DQ441" s="56">
        <f>$BD441-$BD442</f>
        <v/>
      </c>
      <c r="DR441" s="56">
        <f>$BE441-$BE442</f>
        <v/>
      </c>
      <c r="DS441" s="56">
        <f>$BF441-$BF442</f>
        <v/>
      </c>
      <c r="DT441" s="56">
        <f>$BG441-$BG442</f>
        <v/>
      </c>
      <c r="DU441" s="56">
        <f>$BH441-$BH442</f>
        <v/>
      </c>
      <c r="DV441" s="56">
        <f>$BI441-$BI442</f>
        <v/>
      </c>
      <c r="DW441" s="56">
        <f>$BJ441-$BJ442</f>
        <v/>
      </c>
      <c r="DX441" s="56">
        <f>$BK441-$BK442</f>
        <v/>
      </c>
      <c r="DY441" s="56">
        <f>$BL441-$BL442</f>
        <v/>
      </c>
      <c r="DZ441" s="56">
        <f>$BM441-$BM442</f>
        <v/>
      </c>
      <c r="EA441" s="56">
        <f>$BN441-$BN442</f>
        <v/>
      </c>
      <c r="EB441" s="56">
        <f>$BO441-$BO442</f>
        <v/>
      </c>
      <c r="EC441" s="56">
        <f>$BP441-$BP442</f>
        <v/>
      </c>
      <c r="ED441" s="56">
        <f>$BQ441-$BQ442</f>
        <v/>
      </c>
      <c r="EE441" s="56">
        <f>$BR441-$BR442</f>
        <v/>
      </c>
      <c r="EF441" s="56">
        <f>$BS441-$BS442</f>
        <v/>
      </c>
      <c r="EG441" s="56">
        <f>$BT441-$BT442</f>
        <v/>
      </c>
      <c r="EH441" s="56">
        <f>$BU441-$BU442</f>
        <v/>
      </c>
    </row>
    <row r="442">
      <c r="BV442" s="56">
        <f>($D442-$D443)*100</f>
        <v/>
      </c>
      <c r="BW442" s="56">
        <f>($C442-$C443)*100</f>
        <v/>
      </c>
      <c r="BX442" s="57">
        <f>IFERROR($I442/$I443-1,"")</f>
        <v/>
      </c>
      <c r="BY442" s="56">
        <f>($AF442-$AF443)*100</f>
        <v/>
      </c>
      <c r="BZ442" s="56">
        <f>($AG442-$AG443)*100</f>
        <v/>
      </c>
      <c r="CA442" s="56">
        <f>($AH442-$AH443)*100</f>
        <v/>
      </c>
      <c r="CB442" s="56">
        <f>($AI442-$AI443)*100</f>
        <v/>
      </c>
      <c r="CC442" s="56">
        <f>($AJ442-$AJ443)*100</f>
        <v/>
      </c>
      <c r="CD442" s="56">
        <f>($AK442-$AK443)*100</f>
        <v/>
      </c>
      <c r="CE442" s="56">
        <f>($AL442-$AL443)*100</f>
        <v/>
      </c>
      <c r="CF442" s="56">
        <f>($AM442-$AM443)*100</f>
        <v/>
      </c>
      <c r="CG442" s="56">
        <f>($AN442-$AN443)*100</f>
        <v/>
      </c>
      <c r="CH442" s="56">
        <f>($AO442-$AO443)*100</f>
        <v/>
      </c>
      <c r="CI442" s="56">
        <f>($AP442-$AP443)*100</f>
        <v/>
      </c>
      <c r="CJ442" s="56">
        <f>($AQ442-$AQ443)*100</f>
        <v/>
      </c>
      <c r="CK442" s="56">
        <f>($AR442-$AR443)*100</f>
        <v/>
      </c>
      <c r="CL442" s="56">
        <f>($AS442-$AS443)*100</f>
        <v/>
      </c>
      <c r="CM442" s="56">
        <f>($AT442-$AT443)*100</f>
        <v/>
      </c>
      <c r="CN442" s="56">
        <f>($AU442-$AU443)*100</f>
        <v/>
      </c>
      <c r="CO442" s="56">
        <f>($AV442-$AV443)*100</f>
        <v/>
      </c>
      <c r="CP442" s="56">
        <f>($AW442-$AW443)*100</f>
        <v/>
      </c>
      <c r="CQ442" s="56">
        <f>($AX442-$AX443)*100</f>
        <v/>
      </c>
      <c r="CR442" s="56">
        <f>($AY442-$AY443)*100</f>
        <v/>
      </c>
      <c r="CS442" s="57">
        <f>IFERROR($L443/$L442-1,"")</f>
        <v/>
      </c>
      <c r="CT442" s="57">
        <f>IFERROR($M443/$M442-1,"")</f>
        <v/>
      </c>
      <c r="CU442" s="57">
        <f>IFERROR($N443/$N442-1,"")</f>
        <v/>
      </c>
      <c r="CV442" s="57">
        <f>IFERROR($O443/$O442-1,"")</f>
        <v/>
      </c>
      <c r="CW442" s="57">
        <f>IFERROR($P443/$P442-1,"")</f>
        <v/>
      </c>
      <c r="CX442" s="57">
        <f>IFERROR($Q443/$Q442-1,"")</f>
        <v/>
      </c>
      <c r="CY442" s="57">
        <f>IFERROR($R443/$R442-1,"")</f>
        <v/>
      </c>
      <c r="CZ442" s="57">
        <f>IFERROR($S443/$S442-1,"")</f>
        <v/>
      </c>
      <c r="DA442" s="57">
        <f>IFERROR($T443/$T442-1,"")</f>
        <v/>
      </c>
      <c r="DB442" s="57">
        <f>IFERROR($U443/$U442-1,"")</f>
        <v/>
      </c>
      <c r="DC442" s="57">
        <f>IFERROR($V443/$V442-1,"")</f>
        <v/>
      </c>
      <c r="DD442" s="57">
        <f>IFERROR($W443/$W442-1,"")</f>
        <v/>
      </c>
      <c r="DE442" s="57">
        <f>IFERROR($X443/$X442-1,"")</f>
        <v/>
      </c>
      <c r="DF442" s="57">
        <f>IFERROR($Y443/$Y442-1,"")</f>
        <v/>
      </c>
      <c r="DG442" s="57">
        <f>IFERROR($Z443/$Z442-1,"")</f>
        <v/>
      </c>
      <c r="DH442" s="57">
        <f>IFERROR($AA443/$AA442-1,"")</f>
        <v/>
      </c>
      <c r="DI442" s="57">
        <f>IFERROR($AB443/$AB442-1,"")</f>
        <v/>
      </c>
      <c r="DJ442" s="57">
        <f>IFERROR($AC443/$AC442-1,"")</f>
        <v/>
      </c>
      <c r="DK442" s="57">
        <f>IFERROR($AD443/$AD442-1,"")</f>
        <v/>
      </c>
      <c r="DL442" s="57">
        <f>IFERROR($AE443/$AE442-1,"")</f>
        <v/>
      </c>
      <c r="DM442" s="56">
        <f>$AZ442-$AZ443</f>
        <v/>
      </c>
      <c r="DN442" s="56">
        <f>$BA442-$BA443</f>
        <v/>
      </c>
      <c r="DO442" s="56">
        <f>$BB442-$BB443</f>
        <v/>
      </c>
      <c r="DP442" s="56">
        <f>$BC442-$BC443</f>
        <v/>
      </c>
      <c r="DQ442" s="56">
        <f>$BD442-$BD443</f>
        <v/>
      </c>
      <c r="DR442" s="56">
        <f>$BE442-$BE443</f>
        <v/>
      </c>
      <c r="DS442" s="56">
        <f>$BF442-$BF443</f>
        <v/>
      </c>
      <c r="DT442" s="56">
        <f>$BG442-$BG443</f>
        <v/>
      </c>
      <c r="DU442" s="56">
        <f>$BH442-$BH443</f>
        <v/>
      </c>
      <c r="DV442" s="56">
        <f>$BI442-$BI443</f>
        <v/>
      </c>
      <c r="DW442" s="56">
        <f>$BJ442-$BJ443</f>
        <v/>
      </c>
      <c r="DX442" s="56">
        <f>$BK442-$BK443</f>
        <v/>
      </c>
      <c r="DY442" s="56">
        <f>$BL442-$BL443</f>
        <v/>
      </c>
      <c r="DZ442" s="56">
        <f>$BM442-$BM443</f>
        <v/>
      </c>
      <c r="EA442" s="56">
        <f>$BN442-$BN443</f>
        <v/>
      </c>
      <c r="EB442" s="56">
        <f>$BO442-$BO443</f>
        <v/>
      </c>
      <c r="EC442" s="56">
        <f>$BP442-$BP443</f>
        <v/>
      </c>
      <c r="ED442" s="56">
        <f>$BQ442-$BQ443</f>
        <v/>
      </c>
      <c r="EE442" s="56">
        <f>$BR442-$BR443</f>
        <v/>
      </c>
      <c r="EF442" s="56">
        <f>$BS442-$BS443</f>
        <v/>
      </c>
      <c r="EG442" s="56">
        <f>$BT442-$BT443</f>
        <v/>
      </c>
      <c r="EH442" s="56">
        <f>$BU442-$BU443</f>
        <v/>
      </c>
    </row>
    <row r="443">
      <c r="BV443" s="56">
        <f>($D443-$D444)*100</f>
        <v/>
      </c>
      <c r="BW443" s="56">
        <f>($C443-$C444)*100</f>
        <v/>
      </c>
      <c r="BX443" s="57">
        <f>IFERROR($I443/$I444-1,"")</f>
        <v/>
      </c>
      <c r="BY443" s="56">
        <f>($AF443-$AF444)*100</f>
        <v/>
      </c>
      <c r="BZ443" s="56">
        <f>($AG443-$AG444)*100</f>
        <v/>
      </c>
      <c r="CA443" s="56">
        <f>($AH443-$AH444)*100</f>
        <v/>
      </c>
      <c r="CB443" s="56">
        <f>($AI443-$AI444)*100</f>
        <v/>
      </c>
      <c r="CC443" s="56">
        <f>($AJ443-$AJ444)*100</f>
        <v/>
      </c>
      <c r="CD443" s="56">
        <f>($AK443-$AK444)*100</f>
        <v/>
      </c>
      <c r="CE443" s="56">
        <f>($AL443-$AL444)*100</f>
        <v/>
      </c>
      <c r="CF443" s="56">
        <f>($AM443-$AM444)*100</f>
        <v/>
      </c>
      <c r="CG443" s="56">
        <f>($AN443-$AN444)*100</f>
        <v/>
      </c>
      <c r="CH443" s="56">
        <f>($AO443-$AO444)*100</f>
        <v/>
      </c>
      <c r="CI443" s="56">
        <f>($AP443-$AP444)*100</f>
        <v/>
      </c>
      <c r="CJ443" s="56">
        <f>($AQ443-$AQ444)*100</f>
        <v/>
      </c>
      <c r="CK443" s="56">
        <f>($AR443-$AR444)*100</f>
        <v/>
      </c>
      <c r="CL443" s="56">
        <f>($AS443-$AS444)*100</f>
        <v/>
      </c>
      <c r="CM443" s="56">
        <f>($AT443-$AT444)*100</f>
        <v/>
      </c>
      <c r="CN443" s="56">
        <f>($AU443-$AU444)*100</f>
        <v/>
      </c>
      <c r="CO443" s="56">
        <f>($AV443-$AV444)*100</f>
        <v/>
      </c>
      <c r="CP443" s="56">
        <f>($AW443-$AW444)*100</f>
        <v/>
      </c>
      <c r="CQ443" s="56">
        <f>($AX443-$AX444)*100</f>
        <v/>
      </c>
      <c r="CR443" s="56">
        <f>($AY443-$AY444)*100</f>
        <v/>
      </c>
      <c r="CS443" s="57">
        <f>IFERROR($L444/$L443-1,"")</f>
        <v/>
      </c>
      <c r="CT443" s="57">
        <f>IFERROR($M444/$M443-1,"")</f>
        <v/>
      </c>
      <c r="CU443" s="57">
        <f>IFERROR($N444/$N443-1,"")</f>
        <v/>
      </c>
      <c r="CV443" s="57">
        <f>IFERROR($O444/$O443-1,"")</f>
        <v/>
      </c>
      <c r="CW443" s="57">
        <f>IFERROR($P444/$P443-1,"")</f>
        <v/>
      </c>
      <c r="CX443" s="57">
        <f>IFERROR($Q444/$Q443-1,"")</f>
        <v/>
      </c>
      <c r="CY443" s="57">
        <f>IFERROR($R444/$R443-1,"")</f>
        <v/>
      </c>
      <c r="CZ443" s="57">
        <f>IFERROR($S444/$S443-1,"")</f>
        <v/>
      </c>
      <c r="DA443" s="57">
        <f>IFERROR($T444/$T443-1,"")</f>
        <v/>
      </c>
      <c r="DB443" s="57">
        <f>IFERROR($U444/$U443-1,"")</f>
        <v/>
      </c>
      <c r="DC443" s="57">
        <f>IFERROR($V444/$V443-1,"")</f>
        <v/>
      </c>
      <c r="DD443" s="57">
        <f>IFERROR($W444/$W443-1,"")</f>
        <v/>
      </c>
      <c r="DE443" s="57">
        <f>IFERROR($X444/$X443-1,"")</f>
        <v/>
      </c>
      <c r="DF443" s="57">
        <f>IFERROR($Y444/$Y443-1,"")</f>
        <v/>
      </c>
      <c r="DG443" s="57">
        <f>IFERROR($Z444/$Z443-1,"")</f>
        <v/>
      </c>
      <c r="DH443" s="57">
        <f>IFERROR($AA444/$AA443-1,"")</f>
        <v/>
      </c>
      <c r="DI443" s="57">
        <f>IFERROR($AB444/$AB443-1,"")</f>
        <v/>
      </c>
      <c r="DJ443" s="57">
        <f>IFERROR($AC444/$AC443-1,"")</f>
        <v/>
      </c>
      <c r="DK443" s="57">
        <f>IFERROR($AD444/$AD443-1,"")</f>
        <v/>
      </c>
      <c r="DL443" s="57">
        <f>IFERROR($AE444/$AE443-1,"")</f>
        <v/>
      </c>
      <c r="DM443" s="56">
        <f>$AZ443-$AZ444</f>
        <v/>
      </c>
      <c r="DN443" s="56">
        <f>$BA443-$BA444</f>
        <v/>
      </c>
      <c r="DO443" s="56">
        <f>$BB443-$BB444</f>
        <v/>
      </c>
      <c r="DP443" s="56">
        <f>$BC443-$BC444</f>
        <v/>
      </c>
      <c r="DQ443" s="56">
        <f>$BD443-$BD444</f>
        <v/>
      </c>
      <c r="DR443" s="56">
        <f>$BE443-$BE444</f>
        <v/>
      </c>
      <c r="DS443" s="56">
        <f>$BF443-$BF444</f>
        <v/>
      </c>
      <c r="DT443" s="56">
        <f>$BG443-$BG444</f>
        <v/>
      </c>
      <c r="DU443" s="56">
        <f>$BH443-$BH444</f>
        <v/>
      </c>
      <c r="DV443" s="56">
        <f>$BI443-$BI444</f>
        <v/>
      </c>
      <c r="DW443" s="56">
        <f>$BJ443-$BJ444</f>
        <v/>
      </c>
      <c r="DX443" s="56">
        <f>$BK443-$BK444</f>
        <v/>
      </c>
      <c r="DY443" s="56">
        <f>$BL443-$BL444</f>
        <v/>
      </c>
      <c r="DZ443" s="56">
        <f>$BM443-$BM444</f>
        <v/>
      </c>
      <c r="EA443" s="56">
        <f>$BN443-$BN444</f>
        <v/>
      </c>
      <c r="EB443" s="56">
        <f>$BO443-$BO444</f>
        <v/>
      </c>
      <c r="EC443" s="56">
        <f>$BP443-$BP444</f>
        <v/>
      </c>
      <c r="ED443" s="56">
        <f>$BQ443-$BQ444</f>
        <v/>
      </c>
      <c r="EE443" s="56">
        <f>$BR443-$BR444</f>
        <v/>
      </c>
      <c r="EF443" s="56">
        <f>$BS443-$BS444</f>
        <v/>
      </c>
      <c r="EG443" s="56">
        <f>$BT443-$BT444</f>
        <v/>
      </c>
      <c r="EH443" s="56">
        <f>$BU443-$BU444</f>
        <v/>
      </c>
    </row>
    <row r="444">
      <c r="BV444" s="56">
        <f>($D444-$D445)*100</f>
        <v/>
      </c>
      <c r="BW444" s="56">
        <f>($C444-$C445)*100</f>
        <v/>
      </c>
      <c r="BX444" s="57">
        <f>IFERROR($I444/$I445-1,"")</f>
        <v/>
      </c>
      <c r="BY444" s="56">
        <f>($AF444-$AF445)*100</f>
        <v/>
      </c>
      <c r="BZ444" s="56">
        <f>($AG444-$AG445)*100</f>
        <v/>
      </c>
      <c r="CA444" s="56">
        <f>($AH444-$AH445)*100</f>
        <v/>
      </c>
      <c r="CB444" s="56">
        <f>($AI444-$AI445)*100</f>
        <v/>
      </c>
      <c r="CC444" s="56">
        <f>($AJ444-$AJ445)*100</f>
        <v/>
      </c>
      <c r="CD444" s="56">
        <f>($AK444-$AK445)*100</f>
        <v/>
      </c>
      <c r="CE444" s="56">
        <f>($AL444-$AL445)*100</f>
        <v/>
      </c>
      <c r="CF444" s="56">
        <f>($AM444-$AM445)*100</f>
        <v/>
      </c>
      <c r="CG444" s="56">
        <f>($AN444-$AN445)*100</f>
        <v/>
      </c>
      <c r="CH444" s="56">
        <f>($AO444-$AO445)*100</f>
        <v/>
      </c>
      <c r="CI444" s="56">
        <f>($AP444-$AP445)*100</f>
        <v/>
      </c>
      <c r="CJ444" s="56">
        <f>($AQ444-$AQ445)*100</f>
        <v/>
      </c>
      <c r="CK444" s="56">
        <f>($AR444-$AR445)*100</f>
        <v/>
      </c>
      <c r="CL444" s="56">
        <f>($AS444-$AS445)*100</f>
        <v/>
      </c>
      <c r="CM444" s="56">
        <f>($AT444-$AT445)*100</f>
        <v/>
      </c>
      <c r="CN444" s="56">
        <f>($AU444-$AU445)*100</f>
        <v/>
      </c>
      <c r="CO444" s="56">
        <f>($AV444-$AV445)*100</f>
        <v/>
      </c>
      <c r="CP444" s="56">
        <f>($AW444-$AW445)*100</f>
        <v/>
      </c>
      <c r="CQ444" s="56">
        <f>($AX444-$AX445)*100</f>
        <v/>
      </c>
      <c r="CR444" s="56">
        <f>($AY444-$AY445)*100</f>
        <v/>
      </c>
      <c r="CS444" s="57">
        <f>IFERROR($L445/$L444-1,"")</f>
        <v/>
      </c>
      <c r="CT444" s="57">
        <f>IFERROR($M445/$M444-1,"")</f>
        <v/>
      </c>
      <c r="CU444" s="57">
        <f>IFERROR($N445/$N444-1,"")</f>
        <v/>
      </c>
      <c r="CV444" s="57">
        <f>IFERROR($O445/$O444-1,"")</f>
        <v/>
      </c>
      <c r="CW444" s="57">
        <f>IFERROR($P445/$P444-1,"")</f>
        <v/>
      </c>
      <c r="CX444" s="57">
        <f>IFERROR($Q445/$Q444-1,"")</f>
        <v/>
      </c>
      <c r="CY444" s="57">
        <f>IFERROR($R445/$R444-1,"")</f>
        <v/>
      </c>
      <c r="CZ444" s="57">
        <f>IFERROR($S445/$S444-1,"")</f>
        <v/>
      </c>
      <c r="DA444" s="57">
        <f>IFERROR($T445/$T444-1,"")</f>
        <v/>
      </c>
      <c r="DB444" s="57">
        <f>IFERROR($U445/$U444-1,"")</f>
        <v/>
      </c>
      <c r="DC444" s="57">
        <f>IFERROR($V445/$V444-1,"")</f>
        <v/>
      </c>
      <c r="DD444" s="57">
        <f>IFERROR($W445/$W444-1,"")</f>
        <v/>
      </c>
      <c r="DE444" s="57">
        <f>IFERROR($X445/$X444-1,"")</f>
        <v/>
      </c>
      <c r="DF444" s="57">
        <f>IFERROR($Y445/$Y444-1,"")</f>
        <v/>
      </c>
      <c r="DG444" s="57">
        <f>IFERROR($Z445/$Z444-1,"")</f>
        <v/>
      </c>
      <c r="DH444" s="57">
        <f>IFERROR($AA445/$AA444-1,"")</f>
        <v/>
      </c>
      <c r="DI444" s="57">
        <f>IFERROR($AB445/$AB444-1,"")</f>
        <v/>
      </c>
      <c r="DJ444" s="57">
        <f>IFERROR($AC445/$AC444-1,"")</f>
        <v/>
      </c>
      <c r="DK444" s="57">
        <f>IFERROR($AD445/$AD444-1,"")</f>
        <v/>
      </c>
      <c r="DL444" s="57">
        <f>IFERROR($AE445/$AE444-1,"")</f>
        <v/>
      </c>
      <c r="DM444" s="56">
        <f>$AZ444-$AZ445</f>
        <v/>
      </c>
      <c r="DN444" s="56">
        <f>$BA444-$BA445</f>
        <v/>
      </c>
      <c r="DO444" s="56">
        <f>$BB444-$BB445</f>
        <v/>
      </c>
      <c r="DP444" s="56">
        <f>$BC444-$BC445</f>
        <v/>
      </c>
      <c r="DQ444" s="56">
        <f>$BD444-$BD445</f>
        <v/>
      </c>
      <c r="DR444" s="56">
        <f>$BE444-$BE445</f>
        <v/>
      </c>
      <c r="DS444" s="56">
        <f>$BF444-$BF445</f>
        <v/>
      </c>
      <c r="DT444" s="56">
        <f>$BG444-$BG445</f>
        <v/>
      </c>
      <c r="DU444" s="56">
        <f>$BH444-$BH445</f>
        <v/>
      </c>
      <c r="DV444" s="56">
        <f>$BI444-$BI445</f>
        <v/>
      </c>
      <c r="DW444" s="56">
        <f>$BJ444-$BJ445</f>
        <v/>
      </c>
      <c r="DX444" s="56">
        <f>$BK444-$BK445</f>
        <v/>
      </c>
      <c r="DY444" s="56">
        <f>$BL444-$BL445</f>
        <v/>
      </c>
      <c r="DZ444" s="56">
        <f>$BM444-$BM445</f>
        <v/>
      </c>
      <c r="EA444" s="56">
        <f>$BN444-$BN445</f>
        <v/>
      </c>
      <c r="EB444" s="56">
        <f>$BO444-$BO445</f>
        <v/>
      </c>
      <c r="EC444" s="56">
        <f>$BP444-$BP445</f>
        <v/>
      </c>
      <c r="ED444" s="56">
        <f>$BQ444-$BQ445</f>
        <v/>
      </c>
      <c r="EE444" s="56">
        <f>$BR444-$BR445</f>
        <v/>
      </c>
      <c r="EF444" s="56">
        <f>$BS444-$BS445</f>
        <v/>
      </c>
      <c r="EG444" s="56">
        <f>$BT444-$BT445</f>
        <v/>
      </c>
      <c r="EH444" s="56">
        <f>$BU444-$BU445</f>
        <v/>
      </c>
    </row>
    <row r="445">
      <c r="BV445" s="56">
        <f>($D445-$D446)*100</f>
        <v/>
      </c>
      <c r="BW445" s="56">
        <f>($C445-$C446)*100</f>
        <v/>
      </c>
      <c r="BX445" s="57">
        <f>IFERROR($I445/$I446-1,"")</f>
        <v/>
      </c>
      <c r="BY445" s="56">
        <f>($AF445-$AF446)*100</f>
        <v/>
      </c>
      <c r="BZ445" s="56">
        <f>($AG445-$AG446)*100</f>
        <v/>
      </c>
      <c r="CA445" s="56">
        <f>($AH445-$AH446)*100</f>
        <v/>
      </c>
      <c r="CB445" s="56">
        <f>($AI445-$AI446)*100</f>
        <v/>
      </c>
      <c r="CC445" s="56">
        <f>($AJ445-$AJ446)*100</f>
        <v/>
      </c>
      <c r="CD445" s="56">
        <f>($AK445-$AK446)*100</f>
        <v/>
      </c>
      <c r="CE445" s="56">
        <f>($AL445-$AL446)*100</f>
        <v/>
      </c>
      <c r="CF445" s="56">
        <f>($AM445-$AM446)*100</f>
        <v/>
      </c>
      <c r="CG445" s="56">
        <f>($AN445-$AN446)*100</f>
        <v/>
      </c>
      <c r="CH445" s="56">
        <f>($AO445-$AO446)*100</f>
        <v/>
      </c>
      <c r="CI445" s="56">
        <f>($AP445-$AP446)*100</f>
        <v/>
      </c>
      <c r="CJ445" s="56">
        <f>($AQ445-$AQ446)*100</f>
        <v/>
      </c>
      <c r="CK445" s="56">
        <f>($AR445-$AR446)*100</f>
        <v/>
      </c>
      <c r="CL445" s="56">
        <f>($AS445-$AS446)*100</f>
        <v/>
      </c>
      <c r="CM445" s="56">
        <f>($AT445-$AT446)*100</f>
        <v/>
      </c>
      <c r="CN445" s="56">
        <f>($AU445-$AU446)*100</f>
        <v/>
      </c>
      <c r="CO445" s="56">
        <f>($AV445-$AV446)*100</f>
        <v/>
      </c>
      <c r="CP445" s="56">
        <f>($AW445-$AW446)*100</f>
        <v/>
      </c>
      <c r="CQ445" s="56">
        <f>($AX445-$AX446)*100</f>
        <v/>
      </c>
      <c r="CR445" s="56">
        <f>($AY445-$AY446)*100</f>
        <v/>
      </c>
      <c r="CS445" s="57">
        <f>IFERROR($L446/$L445-1,"")</f>
        <v/>
      </c>
      <c r="CT445" s="57">
        <f>IFERROR($M446/$M445-1,"")</f>
        <v/>
      </c>
      <c r="CU445" s="57">
        <f>IFERROR($N446/$N445-1,"")</f>
        <v/>
      </c>
      <c r="CV445" s="57">
        <f>IFERROR($O446/$O445-1,"")</f>
        <v/>
      </c>
      <c r="CW445" s="57">
        <f>IFERROR($P446/$P445-1,"")</f>
        <v/>
      </c>
      <c r="CX445" s="57">
        <f>IFERROR($Q446/$Q445-1,"")</f>
        <v/>
      </c>
      <c r="CY445" s="57">
        <f>IFERROR($R446/$R445-1,"")</f>
        <v/>
      </c>
      <c r="CZ445" s="57">
        <f>IFERROR($S446/$S445-1,"")</f>
        <v/>
      </c>
      <c r="DA445" s="57">
        <f>IFERROR($T446/$T445-1,"")</f>
        <v/>
      </c>
      <c r="DB445" s="57">
        <f>IFERROR($U446/$U445-1,"")</f>
        <v/>
      </c>
      <c r="DC445" s="57">
        <f>IFERROR($V446/$V445-1,"")</f>
        <v/>
      </c>
      <c r="DD445" s="57">
        <f>IFERROR($W446/$W445-1,"")</f>
        <v/>
      </c>
      <c r="DE445" s="57">
        <f>IFERROR($X446/$X445-1,"")</f>
        <v/>
      </c>
      <c r="DF445" s="57">
        <f>IFERROR($Y446/$Y445-1,"")</f>
        <v/>
      </c>
      <c r="DG445" s="57">
        <f>IFERROR($Z446/$Z445-1,"")</f>
        <v/>
      </c>
      <c r="DH445" s="57">
        <f>IFERROR($AA446/$AA445-1,"")</f>
        <v/>
      </c>
      <c r="DI445" s="57">
        <f>IFERROR($AB446/$AB445-1,"")</f>
        <v/>
      </c>
      <c r="DJ445" s="57">
        <f>IFERROR($AC446/$AC445-1,"")</f>
        <v/>
      </c>
      <c r="DK445" s="57">
        <f>IFERROR($AD446/$AD445-1,"")</f>
        <v/>
      </c>
      <c r="DL445" s="57">
        <f>IFERROR($AE446/$AE445-1,"")</f>
        <v/>
      </c>
      <c r="DM445" s="56">
        <f>$AZ445-$AZ446</f>
        <v/>
      </c>
      <c r="DN445" s="56">
        <f>$BA445-$BA446</f>
        <v/>
      </c>
      <c r="DO445" s="56">
        <f>$BB445-$BB446</f>
        <v/>
      </c>
      <c r="DP445" s="56">
        <f>$BC445-$BC446</f>
        <v/>
      </c>
      <c r="DQ445" s="56">
        <f>$BD445-$BD446</f>
        <v/>
      </c>
      <c r="DR445" s="56">
        <f>$BE445-$BE446</f>
        <v/>
      </c>
      <c r="DS445" s="56">
        <f>$BF445-$BF446</f>
        <v/>
      </c>
      <c r="DT445" s="56">
        <f>$BG445-$BG446</f>
        <v/>
      </c>
      <c r="DU445" s="56">
        <f>$BH445-$BH446</f>
        <v/>
      </c>
      <c r="DV445" s="56">
        <f>$BI445-$BI446</f>
        <v/>
      </c>
      <c r="DW445" s="56">
        <f>$BJ445-$BJ446</f>
        <v/>
      </c>
      <c r="DX445" s="56">
        <f>$BK445-$BK446</f>
        <v/>
      </c>
      <c r="DY445" s="56">
        <f>$BL445-$BL446</f>
        <v/>
      </c>
      <c r="DZ445" s="56">
        <f>$BM445-$BM446</f>
        <v/>
      </c>
      <c r="EA445" s="56">
        <f>$BN445-$BN446</f>
        <v/>
      </c>
      <c r="EB445" s="56">
        <f>$BO445-$BO446</f>
        <v/>
      </c>
      <c r="EC445" s="56">
        <f>$BP445-$BP446</f>
        <v/>
      </c>
      <c r="ED445" s="56">
        <f>$BQ445-$BQ446</f>
        <v/>
      </c>
      <c r="EE445" s="56">
        <f>$BR445-$BR446</f>
        <v/>
      </c>
      <c r="EF445" s="56">
        <f>$BS445-$BS446</f>
        <v/>
      </c>
      <c r="EG445" s="56">
        <f>$BT445-$BT446</f>
        <v/>
      </c>
      <c r="EH445" s="56">
        <f>$BU445-$BU446</f>
        <v/>
      </c>
    </row>
    <row r="446">
      <c r="BV446" s="56">
        <f>($D446-$D447)*100</f>
        <v/>
      </c>
      <c r="BW446" s="56">
        <f>($C446-$C447)*100</f>
        <v/>
      </c>
      <c r="BX446" s="57">
        <f>IFERROR($I446/$I447-1,"")</f>
        <v/>
      </c>
      <c r="BY446" s="56">
        <f>($AF446-$AF447)*100</f>
        <v/>
      </c>
      <c r="BZ446" s="56">
        <f>($AG446-$AG447)*100</f>
        <v/>
      </c>
      <c r="CA446" s="56">
        <f>($AH446-$AH447)*100</f>
        <v/>
      </c>
      <c r="CB446" s="56">
        <f>($AI446-$AI447)*100</f>
        <v/>
      </c>
      <c r="CC446" s="56">
        <f>($AJ446-$AJ447)*100</f>
        <v/>
      </c>
      <c r="CD446" s="56">
        <f>($AK446-$AK447)*100</f>
        <v/>
      </c>
      <c r="CE446" s="56">
        <f>($AL446-$AL447)*100</f>
        <v/>
      </c>
      <c r="CF446" s="56">
        <f>($AM446-$AM447)*100</f>
        <v/>
      </c>
      <c r="CG446" s="56">
        <f>($AN446-$AN447)*100</f>
        <v/>
      </c>
      <c r="CH446" s="56">
        <f>($AO446-$AO447)*100</f>
        <v/>
      </c>
      <c r="CI446" s="56">
        <f>($AP446-$AP447)*100</f>
        <v/>
      </c>
      <c r="CJ446" s="56">
        <f>($AQ446-$AQ447)*100</f>
        <v/>
      </c>
      <c r="CK446" s="56">
        <f>($AR446-$AR447)*100</f>
        <v/>
      </c>
      <c r="CL446" s="56">
        <f>($AS446-$AS447)*100</f>
        <v/>
      </c>
      <c r="CM446" s="56">
        <f>($AT446-$AT447)*100</f>
        <v/>
      </c>
      <c r="CN446" s="56">
        <f>($AU446-$AU447)*100</f>
        <v/>
      </c>
      <c r="CO446" s="56">
        <f>($AV446-$AV447)*100</f>
        <v/>
      </c>
      <c r="CP446" s="56">
        <f>($AW446-$AW447)*100</f>
        <v/>
      </c>
      <c r="CQ446" s="56">
        <f>($AX446-$AX447)*100</f>
        <v/>
      </c>
      <c r="CR446" s="56">
        <f>($AY446-$AY447)*100</f>
        <v/>
      </c>
      <c r="CS446" s="57">
        <f>IFERROR($L447/$L446-1,"")</f>
        <v/>
      </c>
      <c r="CT446" s="57">
        <f>IFERROR($M447/$M446-1,"")</f>
        <v/>
      </c>
      <c r="CU446" s="57">
        <f>IFERROR($N447/$N446-1,"")</f>
        <v/>
      </c>
      <c r="CV446" s="57">
        <f>IFERROR($O447/$O446-1,"")</f>
        <v/>
      </c>
      <c r="CW446" s="57">
        <f>IFERROR($P447/$P446-1,"")</f>
        <v/>
      </c>
      <c r="CX446" s="57">
        <f>IFERROR($Q447/$Q446-1,"")</f>
        <v/>
      </c>
      <c r="CY446" s="57">
        <f>IFERROR($R447/$R446-1,"")</f>
        <v/>
      </c>
      <c r="CZ446" s="57">
        <f>IFERROR($S447/$S446-1,"")</f>
        <v/>
      </c>
      <c r="DA446" s="57">
        <f>IFERROR($T447/$T446-1,"")</f>
        <v/>
      </c>
      <c r="DB446" s="57">
        <f>IFERROR($U447/$U446-1,"")</f>
        <v/>
      </c>
      <c r="DC446" s="57">
        <f>IFERROR($V447/$V446-1,"")</f>
        <v/>
      </c>
      <c r="DD446" s="57">
        <f>IFERROR($W447/$W446-1,"")</f>
        <v/>
      </c>
      <c r="DE446" s="57">
        <f>IFERROR($X447/$X446-1,"")</f>
        <v/>
      </c>
      <c r="DF446" s="57">
        <f>IFERROR($Y447/$Y446-1,"")</f>
        <v/>
      </c>
      <c r="DG446" s="57">
        <f>IFERROR($Z447/$Z446-1,"")</f>
        <v/>
      </c>
      <c r="DH446" s="57">
        <f>IFERROR($AA447/$AA446-1,"")</f>
        <v/>
      </c>
      <c r="DI446" s="57">
        <f>IFERROR($AB447/$AB446-1,"")</f>
        <v/>
      </c>
      <c r="DJ446" s="57">
        <f>IFERROR($AC447/$AC446-1,"")</f>
        <v/>
      </c>
      <c r="DK446" s="57">
        <f>IFERROR($AD447/$AD446-1,"")</f>
        <v/>
      </c>
      <c r="DL446" s="57">
        <f>IFERROR($AE447/$AE446-1,"")</f>
        <v/>
      </c>
      <c r="DM446" s="56">
        <f>$AZ446-$AZ447</f>
        <v/>
      </c>
      <c r="DN446" s="56">
        <f>$BA446-$BA447</f>
        <v/>
      </c>
      <c r="DO446" s="56">
        <f>$BB446-$BB447</f>
        <v/>
      </c>
      <c r="DP446" s="56">
        <f>$BC446-$BC447</f>
        <v/>
      </c>
      <c r="DQ446" s="56">
        <f>$BD446-$BD447</f>
        <v/>
      </c>
      <c r="DR446" s="56">
        <f>$BE446-$BE447</f>
        <v/>
      </c>
      <c r="DS446" s="56">
        <f>$BF446-$BF447</f>
        <v/>
      </c>
      <c r="DT446" s="56">
        <f>$BG446-$BG447</f>
        <v/>
      </c>
      <c r="DU446" s="56">
        <f>$BH446-$BH447</f>
        <v/>
      </c>
      <c r="DV446" s="56">
        <f>$BI446-$BI447</f>
        <v/>
      </c>
      <c r="DW446" s="56">
        <f>$BJ446-$BJ447</f>
        <v/>
      </c>
      <c r="DX446" s="56">
        <f>$BK446-$BK447</f>
        <v/>
      </c>
      <c r="DY446" s="56">
        <f>$BL446-$BL447</f>
        <v/>
      </c>
      <c r="DZ446" s="56">
        <f>$BM446-$BM447</f>
        <v/>
      </c>
      <c r="EA446" s="56">
        <f>$BN446-$BN447</f>
        <v/>
      </c>
      <c r="EB446" s="56">
        <f>$BO446-$BO447</f>
        <v/>
      </c>
      <c r="EC446" s="56">
        <f>$BP446-$BP447</f>
        <v/>
      </c>
      <c r="ED446" s="56">
        <f>$BQ446-$BQ447</f>
        <v/>
      </c>
      <c r="EE446" s="56">
        <f>$BR446-$BR447</f>
        <v/>
      </c>
      <c r="EF446" s="56">
        <f>$BS446-$BS447</f>
        <v/>
      </c>
      <c r="EG446" s="56">
        <f>$BT446-$BT447</f>
        <v/>
      </c>
      <c r="EH446" s="56">
        <f>$BU446-$BU447</f>
        <v/>
      </c>
    </row>
    <row r="447">
      <c r="BV447" s="56">
        <f>($D447-$D448)*100</f>
        <v/>
      </c>
      <c r="BW447" s="56">
        <f>($C447-$C448)*100</f>
        <v/>
      </c>
      <c r="BX447" s="57">
        <f>IFERROR($I447/$I448-1,"")</f>
        <v/>
      </c>
      <c r="BY447" s="56">
        <f>($AF447-$AF448)*100</f>
        <v/>
      </c>
      <c r="BZ447" s="56">
        <f>($AG447-$AG448)*100</f>
        <v/>
      </c>
      <c r="CA447" s="56">
        <f>($AH447-$AH448)*100</f>
        <v/>
      </c>
      <c r="CB447" s="56">
        <f>($AI447-$AI448)*100</f>
        <v/>
      </c>
      <c r="CC447" s="56">
        <f>($AJ447-$AJ448)*100</f>
        <v/>
      </c>
      <c r="CD447" s="56">
        <f>($AK447-$AK448)*100</f>
        <v/>
      </c>
      <c r="CE447" s="56">
        <f>($AL447-$AL448)*100</f>
        <v/>
      </c>
      <c r="CF447" s="56">
        <f>($AM447-$AM448)*100</f>
        <v/>
      </c>
      <c r="CG447" s="56">
        <f>($AN447-$AN448)*100</f>
        <v/>
      </c>
      <c r="CH447" s="56">
        <f>($AO447-$AO448)*100</f>
        <v/>
      </c>
      <c r="CI447" s="56">
        <f>($AP447-$AP448)*100</f>
        <v/>
      </c>
      <c r="CJ447" s="56">
        <f>($AQ447-$AQ448)*100</f>
        <v/>
      </c>
      <c r="CK447" s="56">
        <f>($AR447-$AR448)*100</f>
        <v/>
      </c>
      <c r="CL447" s="56">
        <f>($AS447-$AS448)*100</f>
        <v/>
      </c>
      <c r="CM447" s="56">
        <f>($AT447-$AT448)*100</f>
        <v/>
      </c>
      <c r="CN447" s="56">
        <f>($AU447-$AU448)*100</f>
        <v/>
      </c>
      <c r="CO447" s="56">
        <f>($AV447-$AV448)*100</f>
        <v/>
      </c>
      <c r="CP447" s="56">
        <f>($AW447-$AW448)*100</f>
        <v/>
      </c>
      <c r="CQ447" s="56">
        <f>($AX447-$AX448)*100</f>
        <v/>
      </c>
      <c r="CR447" s="56">
        <f>($AY447-$AY448)*100</f>
        <v/>
      </c>
      <c r="CS447" s="57">
        <f>IFERROR($L448/$L447-1,"")</f>
        <v/>
      </c>
      <c r="CT447" s="57">
        <f>IFERROR($M448/$M447-1,"")</f>
        <v/>
      </c>
      <c r="CU447" s="57">
        <f>IFERROR($N448/$N447-1,"")</f>
        <v/>
      </c>
      <c r="CV447" s="57">
        <f>IFERROR($O448/$O447-1,"")</f>
        <v/>
      </c>
      <c r="CW447" s="57">
        <f>IFERROR($P448/$P447-1,"")</f>
        <v/>
      </c>
      <c r="CX447" s="57">
        <f>IFERROR($Q448/$Q447-1,"")</f>
        <v/>
      </c>
      <c r="CY447" s="57">
        <f>IFERROR($R448/$R447-1,"")</f>
        <v/>
      </c>
      <c r="CZ447" s="57">
        <f>IFERROR($S448/$S447-1,"")</f>
        <v/>
      </c>
      <c r="DA447" s="57">
        <f>IFERROR($T448/$T447-1,"")</f>
        <v/>
      </c>
      <c r="DB447" s="57">
        <f>IFERROR($U448/$U447-1,"")</f>
        <v/>
      </c>
      <c r="DC447" s="57">
        <f>IFERROR($V448/$V447-1,"")</f>
        <v/>
      </c>
      <c r="DD447" s="57">
        <f>IFERROR($W448/$W447-1,"")</f>
        <v/>
      </c>
      <c r="DE447" s="57">
        <f>IFERROR($X448/$X447-1,"")</f>
        <v/>
      </c>
      <c r="DF447" s="57">
        <f>IFERROR($Y448/$Y447-1,"")</f>
        <v/>
      </c>
      <c r="DG447" s="57">
        <f>IFERROR($Z448/$Z447-1,"")</f>
        <v/>
      </c>
      <c r="DH447" s="57">
        <f>IFERROR($AA448/$AA447-1,"")</f>
        <v/>
      </c>
      <c r="DI447" s="57">
        <f>IFERROR($AB448/$AB447-1,"")</f>
        <v/>
      </c>
      <c r="DJ447" s="57">
        <f>IFERROR($AC448/$AC447-1,"")</f>
        <v/>
      </c>
      <c r="DK447" s="57">
        <f>IFERROR($AD448/$AD447-1,"")</f>
        <v/>
      </c>
      <c r="DL447" s="57">
        <f>IFERROR($AE448/$AE447-1,"")</f>
        <v/>
      </c>
      <c r="DM447" s="56">
        <f>$AZ447-$AZ448</f>
        <v/>
      </c>
      <c r="DN447" s="56">
        <f>$BA447-$BA448</f>
        <v/>
      </c>
      <c r="DO447" s="56">
        <f>$BB447-$BB448</f>
        <v/>
      </c>
      <c r="DP447" s="56">
        <f>$BC447-$BC448</f>
        <v/>
      </c>
      <c r="DQ447" s="56">
        <f>$BD447-$BD448</f>
        <v/>
      </c>
      <c r="DR447" s="56">
        <f>$BE447-$BE448</f>
        <v/>
      </c>
      <c r="DS447" s="56">
        <f>$BF447-$BF448</f>
        <v/>
      </c>
      <c r="DT447" s="56">
        <f>$BG447-$BG448</f>
        <v/>
      </c>
      <c r="DU447" s="56">
        <f>$BH447-$BH448</f>
        <v/>
      </c>
      <c r="DV447" s="56">
        <f>$BI447-$BI448</f>
        <v/>
      </c>
      <c r="DW447" s="56">
        <f>$BJ447-$BJ448</f>
        <v/>
      </c>
      <c r="DX447" s="56">
        <f>$BK447-$BK448</f>
        <v/>
      </c>
      <c r="DY447" s="56">
        <f>$BL447-$BL448</f>
        <v/>
      </c>
      <c r="DZ447" s="56">
        <f>$BM447-$BM448</f>
        <v/>
      </c>
      <c r="EA447" s="56">
        <f>$BN447-$BN448</f>
        <v/>
      </c>
      <c r="EB447" s="56">
        <f>$BO447-$BO448</f>
        <v/>
      </c>
      <c r="EC447" s="56">
        <f>$BP447-$BP448</f>
        <v/>
      </c>
      <c r="ED447" s="56">
        <f>$BQ447-$BQ448</f>
        <v/>
      </c>
      <c r="EE447" s="56">
        <f>$BR447-$BR448</f>
        <v/>
      </c>
      <c r="EF447" s="56">
        <f>$BS447-$BS448</f>
        <v/>
      </c>
      <c r="EG447" s="56">
        <f>$BT447-$BT448</f>
        <v/>
      </c>
      <c r="EH447" s="56">
        <f>$BU447-$BU448</f>
        <v/>
      </c>
    </row>
    <row r="448">
      <c r="BV448" s="56">
        <f>($D448-$D449)*100</f>
        <v/>
      </c>
      <c r="BW448" s="56">
        <f>($C448-$C449)*100</f>
        <v/>
      </c>
      <c r="BX448" s="57">
        <f>IFERROR($I448/$I449-1,"")</f>
        <v/>
      </c>
      <c r="BY448" s="56">
        <f>($AF448-$AF449)*100</f>
        <v/>
      </c>
      <c r="BZ448" s="56">
        <f>($AG448-$AG449)*100</f>
        <v/>
      </c>
      <c r="CA448" s="56">
        <f>($AH448-$AH449)*100</f>
        <v/>
      </c>
      <c r="CB448" s="56">
        <f>($AI448-$AI449)*100</f>
        <v/>
      </c>
      <c r="CC448" s="56">
        <f>($AJ448-$AJ449)*100</f>
        <v/>
      </c>
      <c r="CD448" s="56">
        <f>($AK448-$AK449)*100</f>
        <v/>
      </c>
      <c r="CE448" s="56">
        <f>($AL448-$AL449)*100</f>
        <v/>
      </c>
      <c r="CF448" s="56">
        <f>($AM448-$AM449)*100</f>
        <v/>
      </c>
      <c r="CG448" s="56">
        <f>($AN448-$AN449)*100</f>
        <v/>
      </c>
      <c r="CH448" s="56">
        <f>($AO448-$AO449)*100</f>
        <v/>
      </c>
      <c r="CI448" s="56">
        <f>($AP448-$AP449)*100</f>
        <v/>
      </c>
      <c r="CJ448" s="56">
        <f>($AQ448-$AQ449)*100</f>
        <v/>
      </c>
      <c r="CK448" s="56">
        <f>($AR448-$AR449)*100</f>
        <v/>
      </c>
      <c r="CL448" s="56">
        <f>($AS448-$AS449)*100</f>
        <v/>
      </c>
      <c r="CM448" s="56">
        <f>($AT448-$AT449)*100</f>
        <v/>
      </c>
      <c r="CN448" s="56">
        <f>($AU448-$AU449)*100</f>
        <v/>
      </c>
      <c r="CO448" s="56">
        <f>($AV448-$AV449)*100</f>
        <v/>
      </c>
      <c r="CP448" s="56">
        <f>($AW448-$AW449)*100</f>
        <v/>
      </c>
      <c r="CQ448" s="56">
        <f>($AX448-$AX449)*100</f>
        <v/>
      </c>
      <c r="CR448" s="56">
        <f>($AY448-$AY449)*100</f>
        <v/>
      </c>
      <c r="CS448" s="57">
        <f>IFERROR($L449/$L448-1,"")</f>
        <v/>
      </c>
      <c r="CT448" s="57">
        <f>IFERROR($M449/$M448-1,"")</f>
        <v/>
      </c>
      <c r="CU448" s="57">
        <f>IFERROR($N449/$N448-1,"")</f>
        <v/>
      </c>
      <c r="CV448" s="57">
        <f>IFERROR($O449/$O448-1,"")</f>
        <v/>
      </c>
      <c r="CW448" s="57">
        <f>IFERROR($P449/$P448-1,"")</f>
        <v/>
      </c>
      <c r="CX448" s="57">
        <f>IFERROR($Q449/$Q448-1,"")</f>
        <v/>
      </c>
      <c r="CY448" s="57">
        <f>IFERROR($R449/$R448-1,"")</f>
        <v/>
      </c>
      <c r="CZ448" s="57">
        <f>IFERROR($S449/$S448-1,"")</f>
        <v/>
      </c>
      <c r="DA448" s="57">
        <f>IFERROR($T449/$T448-1,"")</f>
        <v/>
      </c>
      <c r="DB448" s="57">
        <f>IFERROR($U449/$U448-1,"")</f>
        <v/>
      </c>
      <c r="DC448" s="57">
        <f>IFERROR($V449/$V448-1,"")</f>
        <v/>
      </c>
      <c r="DD448" s="57">
        <f>IFERROR($W449/$W448-1,"")</f>
        <v/>
      </c>
      <c r="DE448" s="57">
        <f>IFERROR($X449/$X448-1,"")</f>
        <v/>
      </c>
      <c r="DF448" s="57">
        <f>IFERROR($Y449/$Y448-1,"")</f>
        <v/>
      </c>
      <c r="DG448" s="57">
        <f>IFERROR($Z449/$Z448-1,"")</f>
        <v/>
      </c>
      <c r="DH448" s="57">
        <f>IFERROR($AA449/$AA448-1,"")</f>
        <v/>
      </c>
      <c r="DI448" s="57">
        <f>IFERROR($AB449/$AB448-1,"")</f>
        <v/>
      </c>
      <c r="DJ448" s="57">
        <f>IFERROR($AC449/$AC448-1,"")</f>
        <v/>
      </c>
      <c r="DK448" s="57">
        <f>IFERROR($AD449/$AD448-1,"")</f>
        <v/>
      </c>
      <c r="DL448" s="57">
        <f>IFERROR($AE449/$AE448-1,"")</f>
        <v/>
      </c>
      <c r="DM448" s="56">
        <f>$AZ448-$AZ449</f>
        <v/>
      </c>
      <c r="DN448" s="56">
        <f>$BA448-$BA449</f>
        <v/>
      </c>
      <c r="DO448" s="56">
        <f>$BB448-$BB449</f>
        <v/>
      </c>
      <c r="DP448" s="56">
        <f>$BC448-$BC449</f>
        <v/>
      </c>
      <c r="DQ448" s="56">
        <f>$BD448-$BD449</f>
        <v/>
      </c>
      <c r="DR448" s="56">
        <f>$BE448-$BE449</f>
        <v/>
      </c>
      <c r="DS448" s="56">
        <f>$BF448-$BF449</f>
        <v/>
      </c>
      <c r="DT448" s="56">
        <f>$BG448-$BG449</f>
        <v/>
      </c>
      <c r="DU448" s="56">
        <f>$BH448-$BH449</f>
        <v/>
      </c>
      <c r="DV448" s="56">
        <f>$BI448-$BI449</f>
        <v/>
      </c>
      <c r="DW448" s="56">
        <f>$BJ448-$BJ449</f>
        <v/>
      </c>
      <c r="DX448" s="56">
        <f>$BK448-$BK449</f>
        <v/>
      </c>
      <c r="DY448" s="56">
        <f>$BL448-$BL449</f>
        <v/>
      </c>
      <c r="DZ448" s="56">
        <f>$BM448-$BM449</f>
        <v/>
      </c>
      <c r="EA448" s="56">
        <f>$BN448-$BN449</f>
        <v/>
      </c>
      <c r="EB448" s="56">
        <f>$BO448-$BO449</f>
        <v/>
      </c>
      <c r="EC448" s="56">
        <f>$BP448-$BP449</f>
        <v/>
      </c>
      <c r="ED448" s="56">
        <f>$BQ448-$BQ449</f>
        <v/>
      </c>
      <c r="EE448" s="56">
        <f>$BR448-$BR449</f>
        <v/>
      </c>
      <c r="EF448" s="56">
        <f>$BS448-$BS449</f>
        <v/>
      </c>
      <c r="EG448" s="56">
        <f>$BT448-$BT449</f>
        <v/>
      </c>
      <c r="EH448" s="56">
        <f>$BU448-$BU449</f>
        <v/>
      </c>
    </row>
    <row r="449">
      <c r="BV449" s="56">
        <f>($D449-$D450)*100</f>
        <v/>
      </c>
      <c r="BW449" s="56">
        <f>($C449-$C450)*100</f>
        <v/>
      </c>
      <c r="BX449" s="57">
        <f>IFERROR($I449/$I450-1,"")</f>
        <v/>
      </c>
      <c r="BY449" s="56">
        <f>($AF449-$AF450)*100</f>
        <v/>
      </c>
      <c r="BZ449" s="56">
        <f>($AG449-$AG450)*100</f>
        <v/>
      </c>
      <c r="CA449" s="56">
        <f>($AH449-$AH450)*100</f>
        <v/>
      </c>
      <c r="CB449" s="56">
        <f>($AI449-$AI450)*100</f>
        <v/>
      </c>
      <c r="CC449" s="56">
        <f>($AJ449-$AJ450)*100</f>
        <v/>
      </c>
      <c r="CD449" s="56">
        <f>($AK449-$AK450)*100</f>
        <v/>
      </c>
      <c r="CE449" s="56">
        <f>($AL449-$AL450)*100</f>
        <v/>
      </c>
      <c r="CF449" s="56">
        <f>($AM449-$AM450)*100</f>
        <v/>
      </c>
      <c r="CG449" s="56">
        <f>($AN449-$AN450)*100</f>
        <v/>
      </c>
      <c r="CH449" s="56">
        <f>($AO449-$AO450)*100</f>
        <v/>
      </c>
      <c r="CI449" s="56">
        <f>($AP449-$AP450)*100</f>
        <v/>
      </c>
      <c r="CJ449" s="56">
        <f>($AQ449-$AQ450)*100</f>
        <v/>
      </c>
      <c r="CK449" s="56">
        <f>($AR449-$AR450)*100</f>
        <v/>
      </c>
      <c r="CL449" s="56">
        <f>($AS449-$AS450)*100</f>
        <v/>
      </c>
      <c r="CM449" s="56">
        <f>($AT449-$AT450)*100</f>
        <v/>
      </c>
      <c r="CN449" s="56">
        <f>($AU449-$AU450)*100</f>
        <v/>
      </c>
      <c r="CO449" s="56">
        <f>($AV449-$AV450)*100</f>
        <v/>
      </c>
      <c r="CP449" s="56">
        <f>($AW449-$AW450)*100</f>
        <v/>
      </c>
      <c r="CQ449" s="56">
        <f>($AX449-$AX450)*100</f>
        <v/>
      </c>
      <c r="CR449" s="56">
        <f>($AY449-$AY450)*100</f>
        <v/>
      </c>
      <c r="CS449" s="57">
        <f>IFERROR($L450/$L449-1,"")</f>
        <v/>
      </c>
      <c r="CT449" s="57">
        <f>IFERROR($M450/$M449-1,"")</f>
        <v/>
      </c>
      <c r="CU449" s="57">
        <f>IFERROR($N450/$N449-1,"")</f>
        <v/>
      </c>
      <c r="CV449" s="57">
        <f>IFERROR($O450/$O449-1,"")</f>
        <v/>
      </c>
      <c r="CW449" s="57">
        <f>IFERROR($P450/$P449-1,"")</f>
        <v/>
      </c>
      <c r="CX449" s="57">
        <f>IFERROR($Q450/$Q449-1,"")</f>
        <v/>
      </c>
      <c r="CY449" s="57">
        <f>IFERROR($R450/$R449-1,"")</f>
        <v/>
      </c>
      <c r="CZ449" s="57">
        <f>IFERROR($S450/$S449-1,"")</f>
        <v/>
      </c>
      <c r="DA449" s="57">
        <f>IFERROR($T450/$T449-1,"")</f>
        <v/>
      </c>
      <c r="DB449" s="57">
        <f>IFERROR($U450/$U449-1,"")</f>
        <v/>
      </c>
      <c r="DC449" s="57">
        <f>IFERROR($V450/$V449-1,"")</f>
        <v/>
      </c>
      <c r="DD449" s="57">
        <f>IFERROR($W450/$W449-1,"")</f>
        <v/>
      </c>
      <c r="DE449" s="57">
        <f>IFERROR($X450/$X449-1,"")</f>
        <v/>
      </c>
      <c r="DF449" s="57">
        <f>IFERROR($Y450/$Y449-1,"")</f>
        <v/>
      </c>
      <c r="DG449" s="57">
        <f>IFERROR($Z450/$Z449-1,"")</f>
        <v/>
      </c>
      <c r="DH449" s="57">
        <f>IFERROR($AA450/$AA449-1,"")</f>
        <v/>
      </c>
      <c r="DI449" s="57">
        <f>IFERROR($AB450/$AB449-1,"")</f>
        <v/>
      </c>
      <c r="DJ449" s="57">
        <f>IFERROR($AC450/$AC449-1,"")</f>
        <v/>
      </c>
      <c r="DK449" s="57">
        <f>IFERROR($AD450/$AD449-1,"")</f>
        <v/>
      </c>
      <c r="DL449" s="57">
        <f>IFERROR($AE450/$AE449-1,"")</f>
        <v/>
      </c>
      <c r="DM449" s="56">
        <f>$AZ449-$AZ450</f>
        <v/>
      </c>
      <c r="DN449" s="56">
        <f>$BA449-$BA450</f>
        <v/>
      </c>
      <c r="DO449" s="56">
        <f>$BB449-$BB450</f>
        <v/>
      </c>
      <c r="DP449" s="56">
        <f>$BC449-$BC450</f>
        <v/>
      </c>
      <c r="DQ449" s="56">
        <f>$BD449-$BD450</f>
        <v/>
      </c>
      <c r="DR449" s="56">
        <f>$BE449-$BE450</f>
        <v/>
      </c>
      <c r="DS449" s="56">
        <f>$BF449-$BF450</f>
        <v/>
      </c>
      <c r="DT449" s="56">
        <f>$BG449-$BG450</f>
        <v/>
      </c>
      <c r="DU449" s="56">
        <f>$BH449-$BH450</f>
        <v/>
      </c>
      <c r="DV449" s="56">
        <f>$BI449-$BI450</f>
        <v/>
      </c>
      <c r="DW449" s="56">
        <f>$BJ449-$BJ450</f>
        <v/>
      </c>
      <c r="DX449" s="56">
        <f>$BK449-$BK450</f>
        <v/>
      </c>
      <c r="DY449" s="56">
        <f>$BL449-$BL450</f>
        <v/>
      </c>
      <c r="DZ449" s="56">
        <f>$BM449-$BM450</f>
        <v/>
      </c>
      <c r="EA449" s="56">
        <f>$BN449-$BN450</f>
        <v/>
      </c>
      <c r="EB449" s="56">
        <f>$BO449-$BO450</f>
        <v/>
      </c>
      <c r="EC449" s="56">
        <f>$BP449-$BP450</f>
        <v/>
      </c>
      <c r="ED449" s="56">
        <f>$BQ449-$BQ450</f>
        <v/>
      </c>
      <c r="EE449" s="56">
        <f>$BR449-$BR450</f>
        <v/>
      </c>
      <c r="EF449" s="56">
        <f>$BS449-$BS450</f>
        <v/>
      </c>
      <c r="EG449" s="56">
        <f>$BT449-$BT450</f>
        <v/>
      </c>
      <c r="EH449" s="56">
        <f>$BU449-$BU450</f>
        <v/>
      </c>
    </row>
    <row r="450">
      <c r="BV450" s="56">
        <f>($D450-$D451)*100</f>
        <v/>
      </c>
      <c r="BW450" s="56">
        <f>($C450-$C451)*100</f>
        <v/>
      </c>
      <c r="BX450" s="57">
        <f>IFERROR($I450/$I451-1,"")</f>
        <v/>
      </c>
      <c r="BY450" s="56">
        <f>($AF450-$AF451)*100</f>
        <v/>
      </c>
      <c r="BZ450" s="56">
        <f>($AG450-$AG451)*100</f>
        <v/>
      </c>
      <c r="CA450" s="56">
        <f>($AH450-$AH451)*100</f>
        <v/>
      </c>
      <c r="CB450" s="56">
        <f>($AI450-$AI451)*100</f>
        <v/>
      </c>
      <c r="CC450" s="56">
        <f>($AJ450-$AJ451)*100</f>
        <v/>
      </c>
      <c r="CD450" s="56">
        <f>($AK450-$AK451)*100</f>
        <v/>
      </c>
      <c r="CE450" s="56">
        <f>($AL450-$AL451)*100</f>
        <v/>
      </c>
      <c r="CF450" s="56">
        <f>($AM450-$AM451)*100</f>
        <v/>
      </c>
      <c r="CG450" s="56">
        <f>($AN450-$AN451)*100</f>
        <v/>
      </c>
      <c r="CH450" s="56">
        <f>($AO450-$AO451)*100</f>
        <v/>
      </c>
      <c r="CI450" s="56">
        <f>($AP450-$AP451)*100</f>
        <v/>
      </c>
      <c r="CJ450" s="56">
        <f>($AQ450-$AQ451)*100</f>
        <v/>
      </c>
      <c r="CK450" s="56">
        <f>($AR450-$AR451)*100</f>
        <v/>
      </c>
      <c r="CL450" s="56">
        <f>($AS450-$AS451)*100</f>
        <v/>
      </c>
      <c r="CM450" s="56">
        <f>($AT450-$AT451)*100</f>
        <v/>
      </c>
      <c r="CN450" s="56">
        <f>($AU450-$AU451)*100</f>
        <v/>
      </c>
      <c r="CO450" s="56">
        <f>($AV450-$AV451)*100</f>
        <v/>
      </c>
      <c r="CP450" s="56">
        <f>($AW450-$AW451)*100</f>
        <v/>
      </c>
      <c r="CQ450" s="56">
        <f>($AX450-$AX451)*100</f>
        <v/>
      </c>
      <c r="CR450" s="56">
        <f>($AY450-$AY451)*100</f>
        <v/>
      </c>
      <c r="CS450" s="57">
        <f>IFERROR($L451/$L450-1,"")</f>
        <v/>
      </c>
      <c r="CT450" s="57">
        <f>IFERROR($M451/$M450-1,"")</f>
        <v/>
      </c>
      <c r="CU450" s="57">
        <f>IFERROR($N451/$N450-1,"")</f>
        <v/>
      </c>
      <c r="CV450" s="57">
        <f>IFERROR($O451/$O450-1,"")</f>
        <v/>
      </c>
      <c r="CW450" s="57">
        <f>IFERROR($P451/$P450-1,"")</f>
        <v/>
      </c>
      <c r="CX450" s="57">
        <f>IFERROR($Q451/$Q450-1,"")</f>
        <v/>
      </c>
      <c r="CY450" s="57">
        <f>IFERROR($R451/$R450-1,"")</f>
        <v/>
      </c>
      <c r="CZ450" s="57">
        <f>IFERROR($S451/$S450-1,"")</f>
        <v/>
      </c>
      <c r="DA450" s="57">
        <f>IFERROR($T451/$T450-1,"")</f>
        <v/>
      </c>
      <c r="DB450" s="57">
        <f>IFERROR($U451/$U450-1,"")</f>
        <v/>
      </c>
      <c r="DC450" s="57">
        <f>IFERROR($V451/$V450-1,"")</f>
        <v/>
      </c>
      <c r="DD450" s="57">
        <f>IFERROR($W451/$W450-1,"")</f>
        <v/>
      </c>
      <c r="DE450" s="57">
        <f>IFERROR($X451/$X450-1,"")</f>
        <v/>
      </c>
      <c r="DF450" s="57">
        <f>IFERROR($Y451/$Y450-1,"")</f>
        <v/>
      </c>
      <c r="DG450" s="57">
        <f>IFERROR($Z451/$Z450-1,"")</f>
        <v/>
      </c>
      <c r="DH450" s="57">
        <f>IFERROR($AA451/$AA450-1,"")</f>
        <v/>
      </c>
      <c r="DI450" s="57">
        <f>IFERROR($AB451/$AB450-1,"")</f>
        <v/>
      </c>
      <c r="DJ450" s="57">
        <f>IFERROR($AC451/$AC450-1,"")</f>
        <v/>
      </c>
      <c r="DK450" s="57">
        <f>IFERROR($AD451/$AD450-1,"")</f>
        <v/>
      </c>
      <c r="DL450" s="57">
        <f>IFERROR($AE451/$AE450-1,"")</f>
        <v/>
      </c>
      <c r="DM450" s="56">
        <f>$AZ450-$AZ451</f>
        <v/>
      </c>
      <c r="DN450" s="56">
        <f>$BA450-$BA451</f>
        <v/>
      </c>
      <c r="DO450" s="56">
        <f>$BB450-$BB451</f>
        <v/>
      </c>
      <c r="DP450" s="56">
        <f>$BC450-$BC451</f>
        <v/>
      </c>
      <c r="DQ450" s="56">
        <f>$BD450-$BD451</f>
        <v/>
      </c>
      <c r="DR450" s="56">
        <f>$BE450-$BE451</f>
        <v/>
      </c>
      <c r="DS450" s="56">
        <f>$BF450-$BF451</f>
        <v/>
      </c>
      <c r="DT450" s="56">
        <f>$BG450-$BG451</f>
        <v/>
      </c>
      <c r="DU450" s="56">
        <f>$BH450-$BH451</f>
        <v/>
      </c>
      <c r="DV450" s="56">
        <f>$BI450-$BI451</f>
        <v/>
      </c>
      <c r="DW450" s="56">
        <f>$BJ450-$BJ451</f>
        <v/>
      </c>
      <c r="DX450" s="56">
        <f>$BK450-$BK451</f>
        <v/>
      </c>
      <c r="DY450" s="56">
        <f>$BL450-$BL451</f>
        <v/>
      </c>
      <c r="DZ450" s="56">
        <f>$BM450-$BM451</f>
        <v/>
      </c>
      <c r="EA450" s="56">
        <f>$BN450-$BN451</f>
        <v/>
      </c>
      <c r="EB450" s="56">
        <f>$BO450-$BO451</f>
        <v/>
      </c>
      <c r="EC450" s="56">
        <f>$BP450-$BP451</f>
        <v/>
      </c>
      <c r="ED450" s="56">
        <f>$BQ450-$BQ451</f>
        <v/>
      </c>
      <c r="EE450" s="56">
        <f>$BR450-$BR451</f>
        <v/>
      </c>
      <c r="EF450" s="56">
        <f>$BS450-$BS451</f>
        <v/>
      </c>
      <c r="EG450" s="56">
        <f>$BT450-$BT451</f>
        <v/>
      </c>
      <c r="EH450" s="56">
        <f>$BU450-$BU451</f>
        <v/>
      </c>
    </row>
    <row r="451">
      <c r="BV451" s="56">
        <f>($D451-$D452)*100</f>
        <v/>
      </c>
      <c r="BW451" s="56">
        <f>($C451-$C452)*100</f>
        <v/>
      </c>
      <c r="BX451" s="57">
        <f>IFERROR($I451/$I452-1,"")</f>
        <v/>
      </c>
      <c r="BY451" s="56">
        <f>($AF451-$AF452)*100</f>
        <v/>
      </c>
      <c r="BZ451" s="56">
        <f>($AG451-$AG452)*100</f>
        <v/>
      </c>
      <c r="CA451" s="56">
        <f>($AH451-$AH452)*100</f>
        <v/>
      </c>
      <c r="CB451" s="56">
        <f>($AI451-$AI452)*100</f>
        <v/>
      </c>
      <c r="CC451" s="56">
        <f>($AJ451-$AJ452)*100</f>
        <v/>
      </c>
      <c r="CD451" s="56">
        <f>($AK451-$AK452)*100</f>
        <v/>
      </c>
      <c r="CE451" s="56">
        <f>($AL451-$AL452)*100</f>
        <v/>
      </c>
      <c r="CF451" s="56">
        <f>($AM451-$AM452)*100</f>
        <v/>
      </c>
      <c r="CG451" s="56">
        <f>($AN451-$AN452)*100</f>
        <v/>
      </c>
      <c r="CH451" s="56">
        <f>($AO451-$AO452)*100</f>
        <v/>
      </c>
      <c r="CI451" s="56">
        <f>($AP451-$AP452)*100</f>
        <v/>
      </c>
      <c r="CJ451" s="56">
        <f>($AQ451-$AQ452)*100</f>
        <v/>
      </c>
      <c r="CK451" s="56">
        <f>($AR451-$AR452)*100</f>
        <v/>
      </c>
      <c r="CL451" s="56">
        <f>($AS451-$AS452)*100</f>
        <v/>
      </c>
      <c r="CM451" s="56">
        <f>($AT451-$AT452)*100</f>
        <v/>
      </c>
      <c r="CN451" s="56">
        <f>($AU451-$AU452)*100</f>
        <v/>
      </c>
      <c r="CO451" s="56">
        <f>($AV451-$AV452)*100</f>
        <v/>
      </c>
      <c r="CP451" s="56">
        <f>($AW451-$AW452)*100</f>
        <v/>
      </c>
      <c r="CQ451" s="56">
        <f>($AX451-$AX452)*100</f>
        <v/>
      </c>
      <c r="CR451" s="56">
        <f>($AY451-$AY452)*100</f>
        <v/>
      </c>
      <c r="CS451" s="57">
        <f>IFERROR($L452/$L451-1,"")</f>
        <v/>
      </c>
      <c r="CT451" s="57">
        <f>IFERROR($M452/$M451-1,"")</f>
        <v/>
      </c>
      <c r="CU451" s="57">
        <f>IFERROR($N452/$N451-1,"")</f>
        <v/>
      </c>
      <c r="CV451" s="57">
        <f>IFERROR($O452/$O451-1,"")</f>
        <v/>
      </c>
      <c r="CW451" s="57">
        <f>IFERROR($P452/$P451-1,"")</f>
        <v/>
      </c>
      <c r="CX451" s="57">
        <f>IFERROR($Q452/$Q451-1,"")</f>
        <v/>
      </c>
      <c r="CY451" s="57">
        <f>IFERROR($R452/$R451-1,"")</f>
        <v/>
      </c>
      <c r="CZ451" s="57">
        <f>IFERROR($S452/$S451-1,"")</f>
        <v/>
      </c>
      <c r="DA451" s="57">
        <f>IFERROR($T452/$T451-1,"")</f>
        <v/>
      </c>
      <c r="DB451" s="57">
        <f>IFERROR($U452/$U451-1,"")</f>
        <v/>
      </c>
      <c r="DC451" s="57">
        <f>IFERROR($V452/$V451-1,"")</f>
        <v/>
      </c>
      <c r="DD451" s="57">
        <f>IFERROR($W452/$W451-1,"")</f>
        <v/>
      </c>
      <c r="DE451" s="57">
        <f>IFERROR($X452/$X451-1,"")</f>
        <v/>
      </c>
      <c r="DF451" s="57">
        <f>IFERROR($Y452/$Y451-1,"")</f>
        <v/>
      </c>
      <c r="DG451" s="57">
        <f>IFERROR($Z452/$Z451-1,"")</f>
        <v/>
      </c>
      <c r="DH451" s="57">
        <f>IFERROR($AA452/$AA451-1,"")</f>
        <v/>
      </c>
      <c r="DI451" s="57">
        <f>IFERROR($AB452/$AB451-1,"")</f>
        <v/>
      </c>
      <c r="DJ451" s="57">
        <f>IFERROR($AC452/$AC451-1,"")</f>
        <v/>
      </c>
      <c r="DK451" s="57">
        <f>IFERROR($AD452/$AD451-1,"")</f>
        <v/>
      </c>
      <c r="DL451" s="57">
        <f>IFERROR($AE452/$AE451-1,"")</f>
        <v/>
      </c>
      <c r="DM451" s="56">
        <f>$AZ451-$AZ452</f>
        <v/>
      </c>
      <c r="DN451" s="56">
        <f>$BA451-$BA452</f>
        <v/>
      </c>
      <c r="DO451" s="56">
        <f>$BB451-$BB452</f>
        <v/>
      </c>
      <c r="DP451" s="56">
        <f>$BC451-$BC452</f>
        <v/>
      </c>
      <c r="DQ451" s="56">
        <f>$BD451-$BD452</f>
        <v/>
      </c>
      <c r="DR451" s="56">
        <f>$BE451-$BE452</f>
        <v/>
      </c>
      <c r="DS451" s="56">
        <f>$BF451-$BF452</f>
        <v/>
      </c>
      <c r="DT451" s="56">
        <f>$BG451-$BG452</f>
        <v/>
      </c>
      <c r="DU451" s="56">
        <f>$BH451-$BH452</f>
        <v/>
      </c>
      <c r="DV451" s="56">
        <f>$BI451-$BI452</f>
        <v/>
      </c>
      <c r="DW451" s="56">
        <f>$BJ451-$BJ452</f>
        <v/>
      </c>
      <c r="DX451" s="56">
        <f>$BK451-$BK452</f>
        <v/>
      </c>
      <c r="DY451" s="56">
        <f>$BL451-$BL452</f>
        <v/>
      </c>
      <c r="DZ451" s="56">
        <f>$BM451-$BM452</f>
        <v/>
      </c>
      <c r="EA451" s="56">
        <f>$BN451-$BN452</f>
        <v/>
      </c>
      <c r="EB451" s="56">
        <f>$BO451-$BO452</f>
        <v/>
      </c>
      <c r="EC451" s="56">
        <f>$BP451-$BP452</f>
        <v/>
      </c>
      <c r="ED451" s="56">
        <f>$BQ451-$BQ452</f>
        <v/>
      </c>
      <c r="EE451" s="56">
        <f>$BR451-$BR452</f>
        <v/>
      </c>
      <c r="EF451" s="56">
        <f>$BS451-$BS452</f>
        <v/>
      </c>
      <c r="EG451" s="56">
        <f>$BT451-$BT452</f>
        <v/>
      </c>
      <c r="EH451" s="56">
        <f>$BU451-$BU452</f>
        <v/>
      </c>
    </row>
    <row r="452">
      <c r="BV452" s="56">
        <f>($D452-$D453)*100</f>
        <v/>
      </c>
      <c r="BW452" s="56">
        <f>($C452-$C453)*100</f>
        <v/>
      </c>
      <c r="BX452" s="57">
        <f>IFERROR($I452/$I453-1,"")</f>
        <v/>
      </c>
      <c r="BY452" s="56">
        <f>($AF452-$AF453)*100</f>
        <v/>
      </c>
      <c r="BZ452" s="56">
        <f>($AG452-$AG453)*100</f>
        <v/>
      </c>
      <c r="CA452" s="56">
        <f>($AH452-$AH453)*100</f>
        <v/>
      </c>
      <c r="CB452" s="56">
        <f>($AI452-$AI453)*100</f>
        <v/>
      </c>
      <c r="CC452" s="56">
        <f>($AJ452-$AJ453)*100</f>
        <v/>
      </c>
      <c r="CD452" s="56">
        <f>($AK452-$AK453)*100</f>
        <v/>
      </c>
      <c r="CE452" s="56">
        <f>($AL452-$AL453)*100</f>
        <v/>
      </c>
      <c r="CF452" s="56">
        <f>($AM452-$AM453)*100</f>
        <v/>
      </c>
      <c r="CG452" s="56">
        <f>($AN452-$AN453)*100</f>
        <v/>
      </c>
      <c r="CH452" s="56">
        <f>($AO452-$AO453)*100</f>
        <v/>
      </c>
      <c r="CI452" s="56">
        <f>($AP452-$AP453)*100</f>
        <v/>
      </c>
      <c r="CJ452" s="56">
        <f>($AQ452-$AQ453)*100</f>
        <v/>
      </c>
      <c r="CK452" s="56">
        <f>($AR452-$AR453)*100</f>
        <v/>
      </c>
      <c r="CL452" s="56">
        <f>($AS452-$AS453)*100</f>
        <v/>
      </c>
      <c r="CM452" s="56">
        <f>($AT452-$AT453)*100</f>
        <v/>
      </c>
      <c r="CN452" s="56">
        <f>($AU452-$AU453)*100</f>
        <v/>
      </c>
      <c r="CO452" s="56">
        <f>($AV452-$AV453)*100</f>
        <v/>
      </c>
      <c r="CP452" s="56">
        <f>($AW452-$AW453)*100</f>
        <v/>
      </c>
      <c r="CQ452" s="56">
        <f>($AX452-$AX453)*100</f>
        <v/>
      </c>
      <c r="CR452" s="56">
        <f>($AY452-$AY453)*100</f>
        <v/>
      </c>
      <c r="CS452" s="57">
        <f>IFERROR($L453/$L452-1,"")</f>
        <v/>
      </c>
      <c r="CT452" s="57">
        <f>IFERROR($M453/$M452-1,"")</f>
        <v/>
      </c>
      <c r="CU452" s="57">
        <f>IFERROR($N453/$N452-1,"")</f>
        <v/>
      </c>
      <c r="CV452" s="57">
        <f>IFERROR($O453/$O452-1,"")</f>
        <v/>
      </c>
      <c r="CW452" s="57">
        <f>IFERROR($P453/$P452-1,"")</f>
        <v/>
      </c>
      <c r="CX452" s="57">
        <f>IFERROR($Q453/$Q452-1,"")</f>
        <v/>
      </c>
      <c r="CY452" s="57">
        <f>IFERROR($R453/$R452-1,"")</f>
        <v/>
      </c>
      <c r="CZ452" s="57">
        <f>IFERROR($S453/$S452-1,"")</f>
        <v/>
      </c>
      <c r="DA452" s="57">
        <f>IFERROR($T453/$T452-1,"")</f>
        <v/>
      </c>
      <c r="DB452" s="57">
        <f>IFERROR($U453/$U452-1,"")</f>
        <v/>
      </c>
      <c r="DC452" s="57">
        <f>IFERROR($V453/$V452-1,"")</f>
        <v/>
      </c>
      <c r="DD452" s="57">
        <f>IFERROR($W453/$W452-1,"")</f>
        <v/>
      </c>
      <c r="DE452" s="57">
        <f>IFERROR($X453/$X452-1,"")</f>
        <v/>
      </c>
      <c r="DF452" s="57">
        <f>IFERROR($Y453/$Y452-1,"")</f>
        <v/>
      </c>
      <c r="DG452" s="57">
        <f>IFERROR($Z453/$Z452-1,"")</f>
        <v/>
      </c>
      <c r="DH452" s="57">
        <f>IFERROR($AA453/$AA452-1,"")</f>
        <v/>
      </c>
      <c r="DI452" s="57">
        <f>IFERROR($AB453/$AB452-1,"")</f>
        <v/>
      </c>
      <c r="DJ452" s="57">
        <f>IFERROR($AC453/$AC452-1,"")</f>
        <v/>
      </c>
      <c r="DK452" s="57">
        <f>IFERROR($AD453/$AD452-1,"")</f>
        <v/>
      </c>
      <c r="DL452" s="57">
        <f>IFERROR($AE453/$AE452-1,"")</f>
        <v/>
      </c>
      <c r="DM452" s="56">
        <f>$AZ452-$AZ453</f>
        <v/>
      </c>
      <c r="DN452" s="56">
        <f>$BA452-$BA453</f>
        <v/>
      </c>
      <c r="DO452" s="56">
        <f>$BB452-$BB453</f>
        <v/>
      </c>
      <c r="DP452" s="56">
        <f>$BC452-$BC453</f>
        <v/>
      </c>
      <c r="DQ452" s="56">
        <f>$BD452-$BD453</f>
        <v/>
      </c>
      <c r="DR452" s="56">
        <f>$BE452-$BE453</f>
        <v/>
      </c>
      <c r="DS452" s="56">
        <f>$BF452-$BF453</f>
        <v/>
      </c>
      <c r="DT452" s="56">
        <f>$BG452-$BG453</f>
        <v/>
      </c>
      <c r="DU452" s="56">
        <f>$BH452-$BH453</f>
        <v/>
      </c>
      <c r="DV452" s="56">
        <f>$BI452-$BI453</f>
        <v/>
      </c>
      <c r="DW452" s="56">
        <f>$BJ452-$BJ453</f>
        <v/>
      </c>
      <c r="DX452" s="56">
        <f>$BK452-$BK453</f>
        <v/>
      </c>
      <c r="DY452" s="56">
        <f>$BL452-$BL453</f>
        <v/>
      </c>
      <c r="DZ452" s="56">
        <f>$BM452-$BM453</f>
        <v/>
      </c>
      <c r="EA452" s="56">
        <f>$BN452-$BN453</f>
        <v/>
      </c>
      <c r="EB452" s="56">
        <f>$BO452-$BO453</f>
        <v/>
      </c>
      <c r="EC452" s="56">
        <f>$BP452-$BP453</f>
        <v/>
      </c>
      <c r="ED452" s="56">
        <f>$BQ452-$BQ453</f>
        <v/>
      </c>
      <c r="EE452" s="56">
        <f>$BR452-$BR453</f>
        <v/>
      </c>
      <c r="EF452" s="56">
        <f>$BS452-$BS453</f>
        <v/>
      </c>
      <c r="EG452" s="56">
        <f>$BT452-$BT453</f>
        <v/>
      </c>
      <c r="EH452" s="56">
        <f>$BU452-$BU453</f>
        <v/>
      </c>
    </row>
    <row r="453">
      <c r="BV453" s="56">
        <f>($D453-$D454)*100</f>
        <v/>
      </c>
      <c r="BW453" s="56">
        <f>($C453-$C454)*100</f>
        <v/>
      </c>
      <c r="BX453" s="57">
        <f>IFERROR($I453/$I454-1,"")</f>
        <v/>
      </c>
      <c r="BY453" s="56">
        <f>($AF453-$AF454)*100</f>
        <v/>
      </c>
      <c r="BZ453" s="56">
        <f>($AG453-$AG454)*100</f>
        <v/>
      </c>
      <c r="CA453" s="56">
        <f>($AH453-$AH454)*100</f>
        <v/>
      </c>
      <c r="CB453" s="56">
        <f>($AI453-$AI454)*100</f>
        <v/>
      </c>
      <c r="CC453" s="56">
        <f>($AJ453-$AJ454)*100</f>
        <v/>
      </c>
      <c r="CD453" s="56">
        <f>($AK453-$AK454)*100</f>
        <v/>
      </c>
      <c r="CE453" s="56">
        <f>($AL453-$AL454)*100</f>
        <v/>
      </c>
      <c r="CF453" s="56">
        <f>($AM453-$AM454)*100</f>
        <v/>
      </c>
      <c r="CG453" s="56">
        <f>($AN453-$AN454)*100</f>
        <v/>
      </c>
      <c r="CH453" s="56">
        <f>($AO453-$AO454)*100</f>
        <v/>
      </c>
      <c r="CI453" s="56">
        <f>($AP453-$AP454)*100</f>
        <v/>
      </c>
      <c r="CJ453" s="56">
        <f>($AQ453-$AQ454)*100</f>
        <v/>
      </c>
      <c r="CK453" s="56">
        <f>($AR453-$AR454)*100</f>
        <v/>
      </c>
      <c r="CL453" s="56">
        <f>($AS453-$AS454)*100</f>
        <v/>
      </c>
      <c r="CM453" s="56">
        <f>($AT453-$AT454)*100</f>
        <v/>
      </c>
      <c r="CN453" s="56">
        <f>($AU453-$AU454)*100</f>
        <v/>
      </c>
      <c r="CO453" s="56">
        <f>($AV453-$AV454)*100</f>
        <v/>
      </c>
      <c r="CP453" s="56">
        <f>($AW453-$AW454)*100</f>
        <v/>
      </c>
      <c r="CQ453" s="56">
        <f>($AX453-$AX454)*100</f>
        <v/>
      </c>
      <c r="CR453" s="56">
        <f>($AY453-$AY454)*100</f>
        <v/>
      </c>
      <c r="CS453" s="57">
        <f>IFERROR($L454/$L453-1,"")</f>
        <v/>
      </c>
      <c r="CT453" s="57">
        <f>IFERROR($M454/$M453-1,"")</f>
        <v/>
      </c>
      <c r="CU453" s="57">
        <f>IFERROR($N454/$N453-1,"")</f>
        <v/>
      </c>
      <c r="CV453" s="57">
        <f>IFERROR($O454/$O453-1,"")</f>
        <v/>
      </c>
      <c r="CW453" s="57">
        <f>IFERROR($P454/$P453-1,"")</f>
        <v/>
      </c>
      <c r="CX453" s="57">
        <f>IFERROR($Q454/$Q453-1,"")</f>
        <v/>
      </c>
      <c r="CY453" s="57">
        <f>IFERROR($R454/$R453-1,"")</f>
        <v/>
      </c>
      <c r="CZ453" s="57">
        <f>IFERROR($S454/$S453-1,"")</f>
        <v/>
      </c>
      <c r="DA453" s="57">
        <f>IFERROR($T454/$T453-1,"")</f>
        <v/>
      </c>
      <c r="DB453" s="57">
        <f>IFERROR($U454/$U453-1,"")</f>
        <v/>
      </c>
      <c r="DC453" s="57">
        <f>IFERROR($V454/$V453-1,"")</f>
        <v/>
      </c>
      <c r="DD453" s="57">
        <f>IFERROR($W454/$W453-1,"")</f>
        <v/>
      </c>
      <c r="DE453" s="57">
        <f>IFERROR($X454/$X453-1,"")</f>
        <v/>
      </c>
      <c r="DF453" s="57">
        <f>IFERROR($Y454/$Y453-1,"")</f>
        <v/>
      </c>
      <c r="DG453" s="57">
        <f>IFERROR($Z454/$Z453-1,"")</f>
        <v/>
      </c>
      <c r="DH453" s="57">
        <f>IFERROR($AA454/$AA453-1,"")</f>
        <v/>
      </c>
      <c r="DI453" s="57">
        <f>IFERROR($AB454/$AB453-1,"")</f>
        <v/>
      </c>
      <c r="DJ453" s="57">
        <f>IFERROR($AC454/$AC453-1,"")</f>
        <v/>
      </c>
      <c r="DK453" s="57">
        <f>IFERROR($AD454/$AD453-1,"")</f>
        <v/>
      </c>
      <c r="DL453" s="57">
        <f>IFERROR($AE454/$AE453-1,"")</f>
        <v/>
      </c>
      <c r="DM453" s="56">
        <f>$AZ453-$AZ454</f>
        <v/>
      </c>
      <c r="DN453" s="56">
        <f>$BA453-$BA454</f>
        <v/>
      </c>
      <c r="DO453" s="56">
        <f>$BB453-$BB454</f>
        <v/>
      </c>
      <c r="DP453" s="56">
        <f>$BC453-$BC454</f>
        <v/>
      </c>
      <c r="DQ453" s="56">
        <f>$BD453-$BD454</f>
        <v/>
      </c>
      <c r="DR453" s="56">
        <f>$BE453-$BE454</f>
        <v/>
      </c>
      <c r="DS453" s="56">
        <f>$BF453-$BF454</f>
        <v/>
      </c>
      <c r="DT453" s="56">
        <f>$BG453-$BG454</f>
        <v/>
      </c>
      <c r="DU453" s="56">
        <f>$BH453-$BH454</f>
        <v/>
      </c>
      <c r="DV453" s="56">
        <f>$BI453-$BI454</f>
        <v/>
      </c>
      <c r="DW453" s="56">
        <f>$BJ453-$BJ454</f>
        <v/>
      </c>
      <c r="DX453" s="56">
        <f>$BK453-$BK454</f>
        <v/>
      </c>
      <c r="DY453" s="56">
        <f>$BL453-$BL454</f>
        <v/>
      </c>
      <c r="DZ453" s="56">
        <f>$BM453-$BM454</f>
        <v/>
      </c>
      <c r="EA453" s="56">
        <f>$BN453-$BN454</f>
        <v/>
      </c>
      <c r="EB453" s="56">
        <f>$BO453-$BO454</f>
        <v/>
      </c>
      <c r="EC453" s="56">
        <f>$BP453-$BP454</f>
        <v/>
      </c>
      <c r="ED453" s="56">
        <f>$BQ453-$BQ454</f>
        <v/>
      </c>
      <c r="EE453" s="56">
        <f>$BR453-$BR454</f>
        <v/>
      </c>
      <c r="EF453" s="56">
        <f>$BS453-$BS454</f>
        <v/>
      </c>
      <c r="EG453" s="56">
        <f>$BT453-$BT454</f>
        <v/>
      </c>
      <c r="EH453" s="56">
        <f>$BU453-$BU454</f>
        <v/>
      </c>
    </row>
    <row r="454">
      <c r="BV454" s="56">
        <f>($D454-$D455)*100</f>
        <v/>
      </c>
      <c r="BW454" s="56">
        <f>($C454-$C455)*100</f>
        <v/>
      </c>
      <c r="BX454" s="57">
        <f>IFERROR($I454/$I455-1,"")</f>
        <v/>
      </c>
      <c r="BY454" s="56">
        <f>($AF454-$AF455)*100</f>
        <v/>
      </c>
      <c r="BZ454" s="56">
        <f>($AG454-$AG455)*100</f>
        <v/>
      </c>
      <c r="CA454" s="56">
        <f>($AH454-$AH455)*100</f>
        <v/>
      </c>
      <c r="CB454" s="56">
        <f>($AI454-$AI455)*100</f>
        <v/>
      </c>
      <c r="CC454" s="56">
        <f>($AJ454-$AJ455)*100</f>
        <v/>
      </c>
      <c r="CD454" s="56">
        <f>($AK454-$AK455)*100</f>
        <v/>
      </c>
      <c r="CE454" s="56">
        <f>($AL454-$AL455)*100</f>
        <v/>
      </c>
      <c r="CF454" s="56">
        <f>($AM454-$AM455)*100</f>
        <v/>
      </c>
      <c r="CG454" s="56">
        <f>($AN454-$AN455)*100</f>
        <v/>
      </c>
      <c r="CH454" s="56">
        <f>($AO454-$AO455)*100</f>
        <v/>
      </c>
      <c r="CI454" s="56">
        <f>($AP454-$AP455)*100</f>
        <v/>
      </c>
      <c r="CJ454" s="56">
        <f>($AQ454-$AQ455)*100</f>
        <v/>
      </c>
      <c r="CK454" s="56">
        <f>($AR454-$AR455)*100</f>
        <v/>
      </c>
      <c r="CL454" s="56">
        <f>($AS454-$AS455)*100</f>
        <v/>
      </c>
      <c r="CM454" s="56">
        <f>($AT454-$AT455)*100</f>
        <v/>
      </c>
      <c r="CN454" s="56">
        <f>($AU454-$AU455)*100</f>
        <v/>
      </c>
      <c r="CO454" s="56">
        <f>($AV454-$AV455)*100</f>
        <v/>
      </c>
      <c r="CP454" s="56">
        <f>($AW454-$AW455)*100</f>
        <v/>
      </c>
      <c r="CQ454" s="56">
        <f>($AX454-$AX455)*100</f>
        <v/>
      </c>
      <c r="CR454" s="56">
        <f>($AY454-$AY455)*100</f>
        <v/>
      </c>
      <c r="CS454" s="57">
        <f>IFERROR($L455/$L454-1,"")</f>
        <v/>
      </c>
      <c r="CT454" s="57">
        <f>IFERROR($M455/$M454-1,"")</f>
        <v/>
      </c>
      <c r="CU454" s="57">
        <f>IFERROR($N455/$N454-1,"")</f>
        <v/>
      </c>
      <c r="CV454" s="57">
        <f>IFERROR($O455/$O454-1,"")</f>
        <v/>
      </c>
      <c r="CW454" s="57">
        <f>IFERROR($P455/$P454-1,"")</f>
        <v/>
      </c>
      <c r="CX454" s="57">
        <f>IFERROR($Q455/$Q454-1,"")</f>
        <v/>
      </c>
      <c r="CY454" s="57">
        <f>IFERROR($R455/$R454-1,"")</f>
        <v/>
      </c>
      <c r="CZ454" s="57">
        <f>IFERROR($S455/$S454-1,"")</f>
        <v/>
      </c>
      <c r="DA454" s="57">
        <f>IFERROR($T455/$T454-1,"")</f>
        <v/>
      </c>
      <c r="DB454" s="57">
        <f>IFERROR($U455/$U454-1,"")</f>
        <v/>
      </c>
      <c r="DC454" s="57">
        <f>IFERROR($V455/$V454-1,"")</f>
        <v/>
      </c>
      <c r="DD454" s="57">
        <f>IFERROR($W455/$W454-1,"")</f>
        <v/>
      </c>
      <c r="DE454" s="57">
        <f>IFERROR($X455/$X454-1,"")</f>
        <v/>
      </c>
      <c r="DF454" s="57">
        <f>IFERROR($Y455/$Y454-1,"")</f>
        <v/>
      </c>
      <c r="DG454" s="57">
        <f>IFERROR($Z455/$Z454-1,"")</f>
        <v/>
      </c>
      <c r="DH454" s="57">
        <f>IFERROR($AA455/$AA454-1,"")</f>
        <v/>
      </c>
      <c r="DI454" s="57">
        <f>IFERROR($AB455/$AB454-1,"")</f>
        <v/>
      </c>
      <c r="DJ454" s="57">
        <f>IFERROR($AC455/$AC454-1,"")</f>
        <v/>
      </c>
      <c r="DK454" s="57">
        <f>IFERROR($AD455/$AD454-1,"")</f>
        <v/>
      </c>
      <c r="DL454" s="57">
        <f>IFERROR($AE455/$AE454-1,"")</f>
        <v/>
      </c>
      <c r="DM454" s="56">
        <f>$AZ454-$AZ455</f>
        <v/>
      </c>
      <c r="DN454" s="56">
        <f>$BA454-$BA455</f>
        <v/>
      </c>
      <c r="DO454" s="56">
        <f>$BB454-$BB455</f>
        <v/>
      </c>
      <c r="DP454" s="56">
        <f>$BC454-$BC455</f>
        <v/>
      </c>
      <c r="DQ454" s="56">
        <f>$BD454-$BD455</f>
        <v/>
      </c>
      <c r="DR454" s="56">
        <f>$BE454-$BE455</f>
        <v/>
      </c>
      <c r="DS454" s="56">
        <f>$BF454-$BF455</f>
        <v/>
      </c>
      <c r="DT454" s="56">
        <f>$BG454-$BG455</f>
        <v/>
      </c>
      <c r="DU454" s="56">
        <f>$BH454-$BH455</f>
        <v/>
      </c>
      <c r="DV454" s="56">
        <f>$BI454-$BI455</f>
        <v/>
      </c>
      <c r="DW454" s="56">
        <f>$BJ454-$BJ455</f>
        <v/>
      </c>
      <c r="DX454" s="56">
        <f>$BK454-$BK455</f>
        <v/>
      </c>
      <c r="DY454" s="56">
        <f>$BL454-$BL455</f>
        <v/>
      </c>
      <c r="DZ454" s="56">
        <f>$BM454-$BM455</f>
        <v/>
      </c>
      <c r="EA454" s="56">
        <f>$BN454-$BN455</f>
        <v/>
      </c>
      <c r="EB454" s="56">
        <f>$BO454-$BO455</f>
        <v/>
      </c>
      <c r="EC454" s="56">
        <f>$BP454-$BP455</f>
        <v/>
      </c>
      <c r="ED454" s="56">
        <f>$BQ454-$BQ455</f>
        <v/>
      </c>
      <c r="EE454" s="56">
        <f>$BR454-$BR455</f>
        <v/>
      </c>
      <c r="EF454" s="56">
        <f>$BS454-$BS455</f>
        <v/>
      </c>
      <c r="EG454" s="56">
        <f>$BT454-$BT455</f>
        <v/>
      </c>
      <c r="EH454" s="56">
        <f>$BU454-$BU455</f>
        <v/>
      </c>
    </row>
    <row r="455">
      <c r="BV455" s="56">
        <f>($D455-$D456)*100</f>
        <v/>
      </c>
      <c r="BW455" s="56">
        <f>($C455-$C456)*100</f>
        <v/>
      </c>
      <c r="BX455" s="57">
        <f>IFERROR($I455/$I456-1,"")</f>
        <v/>
      </c>
      <c r="BY455" s="56">
        <f>($AF455-$AF456)*100</f>
        <v/>
      </c>
      <c r="BZ455" s="56">
        <f>($AG455-$AG456)*100</f>
        <v/>
      </c>
      <c r="CA455" s="56">
        <f>($AH455-$AH456)*100</f>
        <v/>
      </c>
      <c r="CB455" s="56">
        <f>($AI455-$AI456)*100</f>
        <v/>
      </c>
      <c r="CC455" s="56">
        <f>($AJ455-$AJ456)*100</f>
        <v/>
      </c>
      <c r="CD455" s="56">
        <f>($AK455-$AK456)*100</f>
        <v/>
      </c>
      <c r="CE455" s="56">
        <f>($AL455-$AL456)*100</f>
        <v/>
      </c>
      <c r="CF455" s="56">
        <f>($AM455-$AM456)*100</f>
        <v/>
      </c>
      <c r="CG455" s="56">
        <f>($AN455-$AN456)*100</f>
        <v/>
      </c>
      <c r="CH455" s="56">
        <f>($AO455-$AO456)*100</f>
        <v/>
      </c>
      <c r="CI455" s="56">
        <f>($AP455-$AP456)*100</f>
        <v/>
      </c>
      <c r="CJ455" s="56">
        <f>($AQ455-$AQ456)*100</f>
        <v/>
      </c>
      <c r="CK455" s="56">
        <f>($AR455-$AR456)*100</f>
        <v/>
      </c>
      <c r="CL455" s="56">
        <f>($AS455-$AS456)*100</f>
        <v/>
      </c>
      <c r="CM455" s="56">
        <f>($AT455-$AT456)*100</f>
        <v/>
      </c>
      <c r="CN455" s="56">
        <f>($AU455-$AU456)*100</f>
        <v/>
      </c>
      <c r="CO455" s="56">
        <f>($AV455-$AV456)*100</f>
        <v/>
      </c>
      <c r="CP455" s="56">
        <f>($AW455-$AW456)*100</f>
        <v/>
      </c>
      <c r="CQ455" s="56">
        <f>($AX455-$AX456)*100</f>
        <v/>
      </c>
      <c r="CR455" s="56">
        <f>($AY455-$AY456)*100</f>
        <v/>
      </c>
      <c r="CS455" s="57">
        <f>IFERROR($L456/$L455-1,"")</f>
        <v/>
      </c>
      <c r="CT455" s="57">
        <f>IFERROR($M456/$M455-1,"")</f>
        <v/>
      </c>
      <c r="CU455" s="57">
        <f>IFERROR($N456/$N455-1,"")</f>
        <v/>
      </c>
      <c r="CV455" s="57">
        <f>IFERROR($O456/$O455-1,"")</f>
        <v/>
      </c>
      <c r="CW455" s="57">
        <f>IFERROR($P456/$P455-1,"")</f>
        <v/>
      </c>
      <c r="CX455" s="57">
        <f>IFERROR($Q456/$Q455-1,"")</f>
        <v/>
      </c>
      <c r="CY455" s="57">
        <f>IFERROR($R456/$R455-1,"")</f>
        <v/>
      </c>
      <c r="CZ455" s="57">
        <f>IFERROR($S456/$S455-1,"")</f>
        <v/>
      </c>
      <c r="DA455" s="57">
        <f>IFERROR($T456/$T455-1,"")</f>
        <v/>
      </c>
      <c r="DB455" s="57">
        <f>IFERROR($U456/$U455-1,"")</f>
        <v/>
      </c>
      <c r="DC455" s="57">
        <f>IFERROR($V456/$V455-1,"")</f>
        <v/>
      </c>
      <c r="DD455" s="57">
        <f>IFERROR($W456/$W455-1,"")</f>
        <v/>
      </c>
      <c r="DE455" s="57">
        <f>IFERROR($X456/$X455-1,"")</f>
        <v/>
      </c>
      <c r="DF455" s="57">
        <f>IFERROR($Y456/$Y455-1,"")</f>
        <v/>
      </c>
      <c r="DG455" s="57">
        <f>IFERROR($Z456/$Z455-1,"")</f>
        <v/>
      </c>
      <c r="DH455" s="57">
        <f>IFERROR($AA456/$AA455-1,"")</f>
        <v/>
      </c>
      <c r="DI455" s="57">
        <f>IFERROR($AB456/$AB455-1,"")</f>
        <v/>
      </c>
      <c r="DJ455" s="57">
        <f>IFERROR($AC456/$AC455-1,"")</f>
        <v/>
      </c>
      <c r="DK455" s="57">
        <f>IFERROR($AD456/$AD455-1,"")</f>
        <v/>
      </c>
      <c r="DL455" s="57">
        <f>IFERROR($AE456/$AE455-1,"")</f>
        <v/>
      </c>
      <c r="DM455" s="56">
        <f>$AZ455-$AZ456</f>
        <v/>
      </c>
      <c r="DN455" s="56">
        <f>$BA455-$BA456</f>
        <v/>
      </c>
      <c r="DO455" s="56">
        <f>$BB455-$BB456</f>
        <v/>
      </c>
      <c r="DP455" s="56">
        <f>$BC455-$BC456</f>
        <v/>
      </c>
      <c r="DQ455" s="56">
        <f>$BD455-$BD456</f>
        <v/>
      </c>
      <c r="DR455" s="56">
        <f>$BE455-$BE456</f>
        <v/>
      </c>
      <c r="DS455" s="56">
        <f>$BF455-$BF456</f>
        <v/>
      </c>
      <c r="DT455" s="56">
        <f>$BG455-$BG456</f>
        <v/>
      </c>
      <c r="DU455" s="56">
        <f>$BH455-$BH456</f>
        <v/>
      </c>
      <c r="DV455" s="56">
        <f>$BI455-$BI456</f>
        <v/>
      </c>
      <c r="DW455" s="56">
        <f>$BJ455-$BJ456</f>
        <v/>
      </c>
      <c r="DX455" s="56">
        <f>$BK455-$BK456</f>
        <v/>
      </c>
      <c r="DY455" s="56">
        <f>$BL455-$BL456</f>
        <v/>
      </c>
      <c r="DZ455" s="56">
        <f>$BM455-$BM456</f>
        <v/>
      </c>
      <c r="EA455" s="56">
        <f>$BN455-$BN456</f>
        <v/>
      </c>
      <c r="EB455" s="56">
        <f>$BO455-$BO456</f>
        <v/>
      </c>
      <c r="EC455" s="56">
        <f>$BP455-$BP456</f>
        <v/>
      </c>
      <c r="ED455" s="56">
        <f>$BQ455-$BQ456</f>
        <v/>
      </c>
      <c r="EE455" s="56">
        <f>$BR455-$BR456</f>
        <v/>
      </c>
      <c r="EF455" s="56">
        <f>$BS455-$BS456</f>
        <v/>
      </c>
      <c r="EG455" s="56">
        <f>$BT455-$BT456</f>
        <v/>
      </c>
      <c r="EH455" s="56">
        <f>$BU455-$BU456</f>
        <v/>
      </c>
    </row>
    <row r="456">
      <c r="BV456" s="56">
        <f>($D456-$D457)*100</f>
        <v/>
      </c>
      <c r="BW456" s="56">
        <f>($C456-$C457)*100</f>
        <v/>
      </c>
      <c r="BX456" s="57">
        <f>IFERROR($I456/$I457-1,"")</f>
        <v/>
      </c>
      <c r="BY456" s="56">
        <f>($AF456-$AF457)*100</f>
        <v/>
      </c>
      <c r="BZ456" s="56">
        <f>($AG456-$AG457)*100</f>
        <v/>
      </c>
      <c r="CA456" s="56">
        <f>($AH456-$AH457)*100</f>
        <v/>
      </c>
      <c r="CB456" s="56">
        <f>($AI456-$AI457)*100</f>
        <v/>
      </c>
      <c r="CC456" s="56">
        <f>($AJ456-$AJ457)*100</f>
        <v/>
      </c>
      <c r="CD456" s="56">
        <f>($AK456-$AK457)*100</f>
        <v/>
      </c>
      <c r="CE456" s="56">
        <f>($AL456-$AL457)*100</f>
        <v/>
      </c>
      <c r="CF456" s="56">
        <f>($AM456-$AM457)*100</f>
        <v/>
      </c>
      <c r="CG456" s="56">
        <f>($AN456-$AN457)*100</f>
        <v/>
      </c>
      <c r="CH456" s="56">
        <f>($AO456-$AO457)*100</f>
        <v/>
      </c>
      <c r="CI456" s="56">
        <f>($AP456-$AP457)*100</f>
        <v/>
      </c>
      <c r="CJ456" s="56">
        <f>($AQ456-$AQ457)*100</f>
        <v/>
      </c>
      <c r="CK456" s="56">
        <f>($AR456-$AR457)*100</f>
        <v/>
      </c>
      <c r="CL456" s="56">
        <f>($AS456-$AS457)*100</f>
        <v/>
      </c>
      <c r="CM456" s="56">
        <f>($AT456-$AT457)*100</f>
        <v/>
      </c>
      <c r="CN456" s="56">
        <f>($AU456-$AU457)*100</f>
        <v/>
      </c>
      <c r="CO456" s="56">
        <f>($AV456-$AV457)*100</f>
        <v/>
      </c>
      <c r="CP456" s="56">
        <f>($AW456-$AW457)*100</f>
        <v/>
      </c>
      <c r="CQ456" s="56">
        <f>($AX456-$AX457)*100</f>
        <v/>
      </c>
      <c r="CR456" s="56">
        <f>($AY456-$AY457)*100</f>
        <v/>
      </c>
      <c r="CS456" s="57">
        <f>IFERROR($L457/$L456-1,"")</f>
        <v/>
      </c>
      <c r="CT456" s="57">
        <f>IFERROR($M457/$M456-1,"")</f>
        <v/>
      </c>
      <c r="CU456" s="57">
        <f>IFERROR($N457/$N456-1,"")</f>
        <v/>
      </c>
      <c r="CV456" s="57">
        <f>IFERROR($O457/$O456-1,"")</f>
        <v/>
      </c>
      <c r="CW456" s="57">
        <f>IFERROR($P457/$P456-1,"")</f>
        <v/>
      </c>
      <c r="CX456" s="57">
        <f>IFERROR($Q457/$Q456-1,"")</f>
        <v/>
      </c>
      <c r="CY456" s="57">
        <f>IFERROR($R457/$R456-1,"")</f>
        <v/>
      </c>
      <c r="CZ456" s="57">
        <f>IFERROR($S457/$S456-1,"")</f>
        <v/>
      </c>
      <c r="DA456" s="57">
        <f>IFERROR($T457/$T456-1,"")</f>
        <v/>
      </c>
      <c r="DB456" s="57">
        <f>IFERROR($U457/$U456-1,"")</f>
        <v/>
      </c>
      <c r="DC456" s="57">
        <f>IFERROR($V457/$V456-1,"")</f>
        <v/>
      </c>
      <c r="DD456" s="57">
        <f>IFERROR($W457/$W456-1,"")</f>
        <v/>
      </c>
      <c r="DE456" s="57">
        <f>IFERROR($X457/$X456-1,"")</f>
        <v/>
      </c>
      <c r="DF456" s="57">
        <f>IFERROR($Y457/$Y456-1,"")</f>
        <v/>
      </c>
      <c r="DG456" s="57">
        <f>IFERROR($Z457/$Z456-1,"")</f>
        <v/>
      </c>
      <c r="DH456" s="57">
        <f>IFERROR($AA457/$AA456-1,"")</f>
        <v/>
      </c>
      <c r="DI456" s="57">
        <f>IFERROR($AB457/$AB456-1,"")</f>
        <v/>
      </c>
      <c r="DJ456" s="57">
        <f>IFERROR($AC457/$AC456-1,"")</f>
        <v/>
      </c>
      <c r="DK456" s="57">
        <f>IFERROR($AD457/$AD456-1,"")</f>
        <v/>
      </c>
      <c r="DL456" s="57">
        <f>IFERROR($AE457/$AE456-1,"")</f>
        <v/>
      </c>
      <c r="DM456" s="56">
        <f>$AZ456-$AZ457</f>
        <v/>
      </c>
      <c r="DN456" s="56">
        <f>$BA456-$BA457</f>
        <v/>
      </c>
      <c r="DO456" s="56">
        <f>$BB456-$BB457</f>
        <v/>
      </c>
      <c r="DP456" s="56">
        <f>$BC456-$BC457</f>
        <v/>
      </c>
      <c r="DQ456" s="56">
        <f>$BD456-$BD457</f>
        <v/>
      </c>
      <c r="DR456" s="56">
        <f>$BE456-$BE457</f>
        <v/>
      </c>
      <c r="DS456" s="56">
        <f>$BF456-$BF457</f>
        <v/>
      </c>
      <c r="DT456" s="56">
        <f>$BG456-$BG457</f>
        <v/>
      </c>
      <c r="DU456" s="56">
        <f>$BH456-$BH457</f>
        <v/>
      </c>
      <c r="DV456" s="56">
        <f>$BI456-$BI457</f>
        <v/>
      </c>
      <c r="DW456" s="56">
        <f>$BJ456-$BJ457</f>
        <v/>
      </c>
      <c r="DX456" s="56">
        <f>$BK456-$BK457</f>
        <v/>
      </c>
      <c r="DY456" s="56">
        <f>$BL456-$BL457</f>
        <v/>
      </c>
      <c r="DZ456" s="56">
        <f>$BM456-$BM457</f>
        <v/>
      </c>
      <c r="EA456" s="56">
        <f>$BN456-$BN457</f>
        <v/>
      </c>
      <c r="EB456" s="56">
        <f>$BO456-$BO457</f>
        <v/>
      </c>
      <c r="EC456" s="56">
        <f>$BP456-$BP457</f>
        <v/>
      </c>
      <c r="ED456" s="56">
        <f>$BQ456-$BQ457</f>
        <v/>
      </c>
      <c r="EE456" s="56">
        <f>$BR456-$BR457</f>
        <v/>
      </c>
      <c r="EF456" s="56">
        <f>$BS456-$BS457</f>
        <v/>
      </c>
      <c r="EG456" s="56">
        <f>$BT456-$BT457</f>
        <v/>
      </c>
      <c r="EH456" s="56">
        <f>$BU456-$BU457</f>
        <v/>
      </c>
    </row>
    <row r="457">
      <c r="BV457" s="56">
        <f>($D457-$D458)*100</f>
        <v/>
      </c>
      <c r="BW457" s="56">
        <f>($C457-$C458)*100</f>
        <v/>
      </c>
      <c r="BX457" s="57">
        <f>IFERROR($I457/$I458-1,"")</f>
        <v/>
      </c>
      <c r="BY457" s="56">
        <f>($AF457-$AF458)*100</f>
        <v/>
      </c>
      <c r="BZ457" s="56">
        <f>($AG457-$AG458)*100</f>
        <v/>
      </c>
      <c r="CA457" s="56">
        <f>($AH457-$AH458)*100</f>
        <v/>
      </c>
      <c r="CB457" s="56">
        <f>($AI457-$AI458)*100</f>
        <v/>
      </c>
      <c r="CC457" s="56">
        <f>($AJ457-$AJ458)*100</f>
        <v/>
      </c>
      <c r="CD457" s="56">
        <f>($AK457-$AK458)*100</f>
        <v/>
      </c>
      <c r="CE457" s="56">
        <f>($AL457-$AL458)*100</f>
        <v/>
      </c>
      <c r="CF457" s="56">
        <f>($AM457-$AM458)*100</f>
        <v/>
      </c>
      <c r="CG457" s="56">
        <f>($AN457-$AN458)*100</f>
        <v/>
      </c>
      <c r="CH457" s="56">
        <f>($AO457-$AO458)*100</f>
        <v/>
      </c>
      <c r="CI457" s="56">
        <f>($AP457-$AP458)*100</f>
        <v/>
      </c>
      <c r="CJ457" s="56">
        <f>($AQ457-$AQ458)*100</f>
        <v/>
      </c>
      <c r="CK457" s="56">
        <f>($AR457-$AR458)*100</f>
        <v/>
      </c>
      <c r="CL457" s="56">
        <f>($AS457-$AS458)*100</f>
        <v/>
      </c>
      <c r="CM457" s="56">
        <f>($AT457-$AT458)*100</f>
        <v/>
      </c>
      <c r="CN457" s="56">
        <f>($AU457-$AU458)*100</f>
        <v/>
      </c>
      <c r="CO457" s="56">
        <f>($AV457-$AV458)*100</f>
        <v/>
      </c>
      <c r="CP457" s="56">
        <f>($AW457-$AW458)*100</f>
        <v/>
      </c>
      <c r="CQ457" s="56">
        <f>($AX457-$AX458)*100</f>
        <v/>
      </c>
      <c r="CR457" s="56">
        <f>($AY457-$AY458)*100</f>
        <v/>
      </c>
      <c r="CS457" s="57">
        <f>IFERROR($L458/$L457-1,"")</f>
        <v/>
      </c>
      <c r="CT457" s="57">
        <f>IFERROR($M458/$M457-1,"")</f>
        <v/>
      </c>
      <c r="CU457" s="57">
        <f>IFERROR($N458/$N457-1,"")</f>
        <v/>
      </c>
      <c r="CV457" s="57">
        <f>IFERROR($O458/$O457-1,"")</f>
        <v/>
      </c>
      <c r="CW457" s="57">
        <f>IFERROR($P458/$P457-1,"")</f>
        <v/>
      </c>
      <c r="CX457" s="57">
        <f>IFERROR($Q458/$Q457-1,"")</f>
        <v/>
      </c>
      <c r="CY457" s="57">
        <f>IFERROR($R458/$R457-1,"")</f>
        <v/>
      </c>
      <c r="CZ457" s="57">
        <f>IFERROR($S458/$S457-1,"")</f>
        <v/>
      </c>
      <c r="DA457" s="57">
        <f>IFERROR($T458/$T457-1,"")</f>
        <v/>
      </c>
      <c r="DB457" s="57">
        <f>IFERROR($U458/$U457-1,"")</f>
        <v/>
      </c>
      <c r="DC457" s="57">
        <f>IFERROR($V458/$V457-1,"")</f>
        <v/>
      </c>
      <c r="DD457" s="57">
        <f>IFERROR($W458/$W457-1,"")</f>
        <v/>
      </c>
      <c r="DE457" s="57">
        <f>IFERROR($X458/$X457-1,"")</f>
        <v/>
      </c>
      <c r="DF457" s="57">
        <f>IFERROR($Y458/$Y457-1,"")</f>
        <v/>
      </c>
      <c r="DG457" s="57">
        <f>IFERROR($Z458/$Z457-1,"")</f>
        <v/>
      </c>
      <c r="DH457" s="57">
        <f>IFERROR($AA458/$AA457-1,"")</f>
        <v/>
      </c>
      <c r="DI457" s="57">
        <f>IFERROR($AB458/$AB457-1,"")</f>
        <v/>
      </c>
      <c r="DJ457" s="57">
        <f>IFERROR($AC458/$AC457-1,"")</f>
        <v/>
      </c>
      <c r="DK457" s="57">
        <f>IFERROR($AD458/$AD457-1,"")</f>
        <v/>
      </c>
      <c r="DL457" s="57">
        <f>IFERROR($AE458/$AE457-1,"")</f>
        <v/>
      </c>
      <c r="DM457" s="56">
        <f>$AZ457-$AZ458</f>
        <v/>
      </c>
      <c r="DN457" s="56">
        <f>$BA457-$BA458</f>
        <v/>
      </c>
      <c r="DO457" s="56">
        <f>$BB457-$BB458</f>
        <v/>
      </c>
      <c r="DP457" s="56">
        <f>$BC457-$BC458</f>
        <v/>
      </c>
      <c r="DQ457" s="56">
        <f>$BD457-$BD458</f>
        <v/>
      </c>
      <c r="DR457" s="56">
        <f>$BE457-$BE458</f>
        <v/>
      </c>
      <c r="DS457" s="56">
        <f>$BF457-$BF458</f>
        <v/>
      </c>
      <c r="DT457" s="56">
        <f>$BG457-$BG458</f>
        <v/>
      </c>
      <c r="DU457" s="56">
        <f>$BH457-$BH458</f>
        <v/>
      </c>
      <c r="DV457" s="56">
        <f>$BI457-$BI458</f>
        <v/>
      </c>
      <c r="DW457" s="56">
        <f>$BJ457-$BJ458</f>
        <v/>
      </c>
      <c r="DX457" s="56">
        <f>$BK457-$BK458</f>
        <v/>
      </c>
      <c r="DY457" s="56">
        <f>$BL457-$BL458</f>
        <v/>
      </c>
      <c r="DZ457" s="56">
        <f>$BM457-$BM458</f>
        <v/>
      </c>
      <c r="EA457" s="56">
        <f>$BN457-$BN458</f>
        <v/>
      </c>
      <c r="EB457" s="56">
        <f>$BO457-$BO458</f>
        <v/>
      </c>
      <c r="EC457" s="56">
        <f>$BP457-$BP458</f>
        <v/>
      </c>
      <c r="ED457" s="56">
        <f>$BQ457-$BQ458</f>
        <v/>
      </c>
      <c r="EE457" s="56">
        <f>$BR457-$BR458</f>
        <v/>
      </c>
      <c r="EF457" s="56">
        <f>$BS457-$BS458</f>
        <v/>
      </c>
      <c r="EG457" s="56">
        <f>$BT457-$BT458</f>
        <v/>
      </c>
      <c r="EH457" s="56">
        <f>$BU457-$BU458</f>
        <v/>
      </c>
    </row>
    <row r="458">
      <c r="BV458" s="56">
        <f>($D458-$D459)*100</f>
        <v/>
      </c>
      <c r="BW458" s="56">
        <f>($C458-$C459)*100</f>
        <v/>
      </c>
      <c r="BX458" s="57">
        <f>IFERROR($I458/$I459-1,"")</f>
        <v/>
      </c>
      <c r="BY458" s="56">
        <f>($AF458-$AF459)*100</f>
        <v/>
      </c>
      <c r="BZ458" s="56">
        <f>($AG458-$AG459)*100</f>
        <v/>
      </c>
      <c r="CA458" s="56">
        <f>($AH458-$AH459)*100</f>
        <v/>
      </c>
      <c r="CB458" s="56">
        <f>($AI458-$AI459)*100</f>
        <v/>
      </c>
      <c r="CC458" s="56">
        <f>($AJ458-$AJ459)*100</f>
        <v/>
      </c>
      <c r="CD458" s="56">
        <f>($AK458-$AK459)*100</f>
        <v/>
      </c>
      <c r="CE458" s="56">
        <f>($AL458-$AL459)*100</f>
        <v/>
      </c>
      <c r="CF458" s="56">
        <f>($AM458-$AM459)*100</f>
        <v/>
      </c>
      <c r="CG458" s="56">
        <f>($AN458-$AN459)*100</f>
        <v/>
      </c>
      <c r="CH458" s="56">
        <f>($AO458-$AO459)*100</f>
        <v/>
      </c>
      <c r="CI458" s="56">
        <f>($AP458-$AP459)*100</f>
        <v/>
      </c>
      <c r="CJ458" s="56">
        <f>($AQ458-$AQ459)*100</f>
        <v/>
      </c>
      <c r="CK458" s="56">
        <f>($AR458-$AR459)*100</f>
        <v/>
      </c>
      <c r="CL458" s="56">
        <f>($AS458-$AS459)*100</f>
        <v/>
      </c>
      <c r="CM458" s="56">
        <f>($AT458-$AT459)*100</f>
        <v/>
      </c>
      <c r="CN458" s="56">
        <f>($AU458-$AU459)*100</f>
        <v/>
      </c>
      <c r="CO458" s="56">
        <f>($AV458-$AV459)*100</f>
        <v/>
      </c>
      <c r="CP458" s="56">
        <f>($AW458-$AW459)*100</f>
        <v/>
      </c>
      <c r="CQ458" s="56">
        <f>($AX458-$AX459)*100</f>
        <v/>
      </c>
      <c r="CR458" s="56">
        <f>($AY458-$AY459)*100</f>
        <v/>
      </c>
      <c r="CS458" s="57">
        <f>IFERROR($L459/$L458-1,"")</f>
        <v/>
      </c>
      <c r="CT458" s="57">
        <f>IFERROR($M459/$M458-1,"")</f>
        <v/>
      </c>
      <c r="CU458" s="57">
        <f>IFERROR($N459/$N458-1,"")</f>
        <v/>
      </c>
      <c r="CV458" s="57">
        <f>IFERROR($O459/$O458-1,"")</f>
        <v/>
      </c>
      <c r="CW458" s="57">
        <f>IFERROR($P459/$P458-1,"")</f>
        <v/>
      </c>
      <c r="CX458" s="57">
        <f>IFERROR($Q459/$Q458-1,"")</f>
        <v/>
      </c>
      <c r="CY458" s="57">
        <f>IFERROR($R459/$R458-1,"")</f>
        <v/>
      </c>
      <c r="CZ458" s="57">
        <f>IFERROR($S459/$S458-1,"")</f>
        <v/>
      </c>
      <c r="DA458" s="57">
        <f>IFERROR($T459/$T458-1,"")</f>
        <v/>
      </c>
      <c r="DB458" s="57">
        <f>IFERROR($U459/$U458-1,"")</f>
        <v/>
      </c>
      <c r="DC458" s="57">
        <f>IFERROR($V459/$V458-1,"")</f>
        <v/>
      </c>
      <c r="DD458" s="57">
        <f>IFERROR($W459/$W458-1,"")</f>
        <v/>
      </c>
      <c r="DE458" s="57">
        <f>IFERROR($X459/$X458-1,"")</f>
        <v/>
      </c>
      <c r="DF458" s="57">
        <f>IFERROR($Y459/$Y458-1,"")</f>
        <v/>
      </c>
      <c r="DG458" s="57">
        <f>IFERROR($Z459/$Z458-1,"")</f>
        <v/>
      </c>
      <c r="DH458" s="57">
        <f>IFERROR($AA459/$AA458-1,"")</f>
        <v/>
      </c>
      <c r="DI458" s="57">
        <f>IFERROR($AB459/$AB458-1,"")</f>
        <v/>
      </c>
      <c r="DJ458" s="57">
        <f>IFERROR($AC459/$AC458-1,"")</f>
        <v/>
      </c>
      <c r="DK458" s="57">
        <f>IFERROR($AD459/$AD458-1,"")</f>
        <v/>
      </c>
      <c r="DL458" s="57">
        <f>IFERROR($AE459/$AE458-1,"")</f>
        <v/>
      </c>
      <c r="DM458" s="56">
        <f>$AZ458-$AZ459</f>
        <v/>
      </c>
      <c r="DN458" s="56">
        <f>$BA458-$BA459</f>
        <v/>
      </c>
      <c r="DO458" s="56">
        <f>$BB458-$BB459</f>
        <v/>
      </c>
      <c r="DP458" s="56">
        <f>$BC458-$BC459</f>
        <v/>
      </c>
      <c r="DQ458" s="56">
        <f>$BD458-$BD459</f>
        <v/>
      </c>
      <c r="DR458" s="56">
        <f>$BE458-$BE459</f>
        <v/>
      </c>
      <c r="DS458" s="56">
        <f>$BF458-$BF459</f>
        <v/>
      </c>
      <c r="DT458" s="56">
        <f>$BG458-$BG459</f>
        <v/>
      </c>
      <c r="DU458" s="56">
        <f>$BH458-$BH459</f>
        <v/>
      </c>
      <c r="DV458" s="56">
        <f>$BI458-$BI459</f>
        <v/>
      </c>
      <c r="DW458" s="56">
        <f>$BJ458-$BJ459</f>
        <v/>
      </c>
      <c r="DX458" s="56">
        <f>$BK458-$BK459</f>
        <v/>
      </c>
      <c r="DY458" s="56">
        <f>$BL458-$BL459</f>
        <v/>
      </c>
      <c r="DZ458" s="56">
        <f>$BM458-$BM459</f>
        <v/>
      </c>
      <c r="EA458" s="56">
        <f>$BN458-$BN459</f>
        <v/>
      </c>
      <c r="EB458" s="56">
        <f>$BO458-$BO459</f>
        <v/>
      </c>
      <c r="EC458" s="56">
        <f>$BP458-$BP459</f>
        <v/>
      </c>
      <c r="ED458" s="56">
        <f>$BQ458-$BQ459</f>
        <v/>
      </c>
      <c r="EE458" s="56">
        <f>$BR458-$BR459</f>
        <v/>
      </c>
      <c r="EF458" s="56">
        <f>$BS458-$BS459</f>
        <v/>
      </c>
      <c r="EG458" s="56">
        <f>$BT458-$BT459</f>
        <v/>
      </c>
      <c r="EH458" s="56">
        <f>$BU458-$BU459</f>
        <v/>
      </c>
    </row>
    <row r="459">
      <c r="BV459" s="56">
        <f>($D459-$D460)*100</f>
        <v/>
      </c>
      <c r="BW459" s="56">
        <f>($C459-$C460)*100</f>
        <v/>
      </c>
      <c r="BX459" s="57">
        <f>IFERROR($I459/$I460-1,"")</f>
        <v/>
      </c>
      <c r="BY459" s="56">
        <f>($AF459-$AF460)*100</f>
        <v/>
      </c>
      <c r="BZ459" s="56">
        <f>($AG459-$AG460)*100</f>
        <v/>
      </c>
      <c r="CA459" s="56">
        <f>($AH459-$AH460)*100</f>
        <v/>
      </c>
      <c r="CB459" s="56">
        <f>($AI459-$AI460)*100</f>
        <v/>
      </c>
      <c r="CC459" s="56">
        <f>($AJ459-$AJ460)*100</f>
        <v/>
      </c>
      <c r="CD459" s="56">
        <f>($AK459-$AK460)*100</f>
        <v/>
      </c>
      <c r="CE459" s="56">
        <f>($AL459-$AL460)*100</f>
        <v/>
      </c>
      <c r="CF459" s="56">
        <f>($AM459-$AM460)*100</f>
        <v/>
      </c>
      <c r="CG459" s="56">
        <f>($AN459-$AN460)*100</f>
        <v/>
      </c>
      <c r="CH459" s="56">
        <f>($AO459-$AO460)*100</f>
        <v/>
      </c>
      <c r="CI459" s="56">
        <f>($AP459-$AP460)*100</f>
        <v/>
      </c>
      <c r="CJ459" s="56">
        <f>($AQ459-$AQ460)*100</f>
        <v/>
      </c>
      <c r="CK459" s="56">
        <f>($AR459-$AR460)*100</f>
        <v/>
      </c>
      <c r="CL459" s="56">
        <f>($AS459-$AS460)*100</f>
        <v/>
      </c>
      <c r="CM459" s="56">
        <f>($AT459-$AT460)*100</f>
        <v/>
      </c>
      <c r="CN459" s="56">
        <f>($AU459-$AU460)*100</f>
        <v/>
      </c>
      <c r="CO459" s="56">
        <f>($AV459-$AV460)*100</f>
        <v/>
      </c>
      <c r="CP459" s="56">
        <f>($AW459-$AW460)*100</f>
        <v/>
      </c>
      <c r="CQ459" s="56">
        <f>($AX459-$AX460)*100</f>
        <v/>
      </c>
      <c r="CR459" s="56">
        <f>($AY459-$AY460)*100</f>
        <v/>
      </c>
      <c r="CS459" s="57">
        <f>IFERROR($L460/$L459-1,"")</f>
        <v/>
      </c>
      <c r="CT459" s="57">
        <f>IFERROR($M460/$M459-1,"")</f>
        <v/>
      </c>
      <c r="CU459" s="57">
        <f>IFERROR($N460/$N459-1,"")</f>
        <v/>
      </c>
      <c r="CV459" s="57">
        <f>IFERROR($O460/$O459-1,"")</f>
        <v/>
      </c>
      <c r="CW459" s="57">
        <f>IFERROR($P460/$P459-1,"")</f>
        <v/>
      </c>
      <c r="CX459" s="57">
        <f>IFERROR($Q460/$Q459-1,"")</f>
        <v/>
      </c>
      <c r="CY459" s="57">
        <f>IFERROR($R460/$R459-1,"")</f>
        <v/>
      </c>
      <c r="CZ459" s="57">
        <f>IFERROR($S460/$S459-1,"")</f>
        <v/>
      </c>
      <c r="DA459" s="57">
        <f>IFERROR($T460/$T459-1,"")</f>
        <v/>
      </c>
      <c r="DB459" s="57">
        <f>IFERROR($U460/$U459-1,"")</f>
        <v/>
      </c>
      <c r="DC459" s="57">
        <f>IFERROR($V460/$V459-1,"")</f>
        <v/>
      </c>
      <c r="DD459" s="57">
        <f>IFERROR($W460/$W459-1,"")</f>
        <v/>
      </c>
      <c r="DE459" s="57">
        <f>IFERROR($X460/$X459-1,"")</f>
        <v/>
      </c>
      <c r="DF459" s="57">
        <f>IFERROR($Y460/$Y459-1,"")</f>
        <v/>
      </c>
      <c r="DG459" s="57">
        <f>IFERROR($Z460/$Z459-1,"")</f>
        <v/>
      </c>
      <c r="DH459" s="57">
        <f>IFERROR($AA460/$AA459-1,"")</f>
        <v/>
      </c>
      <c r="DI459" s="57">
        <f>IFERROR($AB460/$AB459-1,"")</f>
        <v/>
      </c>
      <c r="DJ459" s="57">
        <f>IFERROR($AC460/$AC459-1,"")</f>
        <v/>
      </c>
      <c r="DK459" s="57">
        <f>IFERROR($AD460/$AD459-1,"")</f>
        <v/>
      </c>
      <c r="DL459" s="57">
        <f>IFERROR($AE460/$AE459-1,"")</f>
        <v/>
      </c>
      <c r="DM459" s="56">
        <f>$AZ459-$AZ460</f>
        <v/>
      </c>
      <c r="DN459" s="56">
        <f>$BA459-$BA460</f>
        <v/>
      </c>
      <c r="DO459" s="56">
        <f>$BB459-$BB460</f>
        <v/>
      </c>
      <c r="DP459" s="56">
        <f>$BC459-$BC460</f>
        <v/>
      </c>
      <c r="DQ459" s="56">
        <f>$BD459-$BD460</f>
        <v/>
      </c>
      <c r="DR459" s="56">
        <f>$BE459-$BE460</f>
        <v/>
      </c>
      <c r="DS459" s="56">
        <f>$BF459-$BF460</f>
        <v/>
      </c>
      <c r="DT459" s="56">
        <f>$BG459-$BG460</f>
        <v/>
      </c>
      <c r="DU459" s="56">
        <f>$BH459-$BH460</f>
        <v/>
      </c>
      <c r="DV459" s="56">
        <f>$BI459-$BI460</f>
        <v/>
      </c>
      <c r="DW459" s="56">
        <f>$BJ459-$BJ460</f>
        <v/>
      </c>
      <c r="DX459" s="56">
        <f>$BK459-$BK460</f>
        <v/>
      </c>
      <c r="DY459" s="56">
        <f>$BL459-$BL460</f>
        <v/>
      </c>
      <c r="DZ459" s="56">
        <f>$BM459-$BM460</f>
        <v/>
      </c>
      <c r="EA459" s="56">
        <f>$BN459-$BN460</f>
        <v/>
      </c>
      <c r="EB459" s="56">
        <f>$BO459-$BO460</f>
        <v/>
      </c>
      <c r="EC459" s="56">
        <f>$BP459-$BP460</f>
        <v/>
      </c>
      <c r="ED459" s="56">
        <f>$BQ459-$BQ460</f>
        <v/>
      </c>
      <c r="EE459" s="56">
        <f>$BR459-$BR460</f>
        <v/>
      </c>
      <c r="EF459" s="56">
        <f>$BS459-$BS460</f>
        <v/>
      </c>
      <c r="EG459" s="56">
        <f>$BT459-$BT460</f>
        <v/>
      </c>
      <c r="EH459" s="56">
        <f>$BU459-$BU460</f>
        <v/>
      </c>
    </row>
    <row r="460">
      <c r="BV460" s="56">
        <f>($D460-$D461)*100</f>
        <v/>
      </c>
      <c r="BW460" s="56">
        <f>($C460-$C461)*100</f>
        <v/>
      </c>
      <c r="BX460" s="57">
        <f>IFERROR($I460/$I461-1,"")</f>
        <v/>
      </c>
      <c r="BY460" s="56">
        <f>($AF460-$AF461)*100</f>
        <v/>
      </c>
      <c r="BZ460" s="56">
        <f>($AG460-$AG461)*100</f>
        <v/>
      </c>
      <c r="CA460" s="56">
        <f>($AH460-$AH461)*100</f>
        <v/>
      </c>
      <c r="CB460" s="56">
        <f>($AI460-$AI461)*100</f>
        <v/>
      </c>
      <c r="CC460" s="56">
        <f>($AJ460-$AJ461)*100</f>
        <v/>
      </c>
      <c r="CD460" s="56">
        <f>($AK460-$AK461)*100</f>
        <v/>
      </c>
      <c r="CE460" s="56">
        <f>($AL460-$AL461)*100</f>
        <v/>
      </c>
      <c r="CF460" s="56">
        <f>($AM460-$AM461)*100</f>
        <v/>
      </c>
      <c r="CG460" s="56">
        <f>($AN460-$AN461)*100</f>
        <v/>
      </c>
      <c r="CH460" s="56">
        <f>($AO460-$AO461)*100</f>
        <v/>
      </c>
      <c r="CI460" s="56">
        <f>($AP460-$AP461)*100</f>
        <v/>
      </c>
      <c r="CJ460" s="56">
        <f>($AQ460-$AQ461)*100</f>
        <v/>
      </c>
      <c r="CK460" s="56">
        <f>($AR460-$AR461)*100</f>
        <v/>
      </c>
      <c r="CL460" s="56">
        <f>($AS460-$AS461)*100</f>
        <v/>
      </c>
      <c r="CM460" s="56">
        <f>($AT460-$AT461)*100</f>
        <v/>
      </c>
      <c r="CN460" s="56">
        <f>($AU460-$AU461)*100</f>
        <v/>
      </c>
      <c r="CO460" s="56">
        <f>($AV460-$AV461)*100</f>
        <v/>
      </c>
      <c r="CP460" s="56">
        <f>($AW460-$AW461)*100</f>
        <v/>
      </c>
      <c r="CQ460" s="56">
        <f>($AX460-$AX461)*100</f>
        <v/>
      </c>
      <c r="CR460" s="56">
        <f>($AY460-$AY461)*100</f>
        <v/>
      </c>
      <c r="CS460" s="57">
        <f>IFERROR($L461/$L460-1,"")</f>
        <v/>
      </c>
      <c r="CT460" s="57">
        <f>IFERROR($M461/$M460-1,"")</f>
        <v/>
      </c>
      <c r="CU460" s="57">
        <f>IFERROR($N461/$N460-1,"")</f>
        <v/>
      </c>
      <c r="CV460" s="57">
        <f>IFERROR($O461/$O460-1,"")</f>
        <v/>
      </c>
      <c r="CW460" s="57">
        <f>IFERROR($P461/$P460-1,"")</f>
        <v/>
      </c>
      <c r="CX460" s="57">
        <f>IFERROR($Q461/$Q460-1,"")</f>
        <v/>
      </c>
      <c r="CY460" s="57">
        <f>IFERROR($R461/$R460-1,"")</f>
        <v/>
      </c>
      <c r="CZ460" s="57">
        <f>IFERROR($S461/$S460-1,"")</f>
        <v/>
      </c>
      <c r="DA460" s="57">
        <f>IFERROR($T461/$T460-1,"")</f>
        <v/>
      </c>
      <c r="DB460" s="57">
        <f>IFERROR($U461/$U460-1,"")</f>
        <v/>
      </c>
      <c r="DC460" s="57">
        <f>IFERROR($V461/$V460-1,"")</f>
        <v/>
      </c>
      <c r="DD460" s="57">
        <f>IFERROR($W461/$W460-1,"")</f>
        <v/>
      </c>
      <c r="DE460" s="57">
        <f>IFERROR($X461/$X460-1,"")</f>
        <v/>
      </c>
      <c r="DF460" s="57">
        <f>IFERROR($Y461/$Y460-1,"")</f>
        <v/>
      </c>
      <c r="DG460" s="57">
        <f>IFERROR($Z461/$Z460-1,"")</f>
        <v/>
      </c>
      <c r="DH460" s="57">
        <f>IFERROR($AA461/$AA460-1,"")</f>
        <v/>
      </c>
      <c r="DI460" s="57">
        <f>IFERROR($AB461/$AB460-1,"")</f>
        <v/>
      </c>
      <c r="DJ460" s="57">
        <f>IFERROR($AC461/$AC460-1,"")</f>
        <v/>
      </c>
      <c r="DK460" s="57">
        <f>IFERROR($AD461/$AD460-1,"")</f>
        <v/>
      </c>
      <c r="DL460" s="57">
        <f>IFERROR($AE461/$AE460-1,"")</f>
        <v/>
      </c>
      <c r="DM460" s="56">
        <f>$AZ460-$AZ461</f>
        <v/>
      </c>
      <c r="DN460" s="56">
        <f>$BA460-$BA461</f>
        <v/>
      </c>
      <c r="DO460" s="56">
        <f>$BB460-$BB461</f>
        <v/>
      </c>
      <c r="DP460" s="56">
        <f>$BC460-$BC461</f>
        <v/>
      </c>
      <c r="DQ460" s="56">
        <f>$BD460-$BD461</f>
        <v/>
      </c>
      <c r="DR460" s="56">
        <f>$BE460-$BE461</f>
        <v/>
      </c>
      <c r="DS460" s="56">
        <f>$BF460-$BF461</f>
        <v/>
      </c>
      <c r="DT460" s="56">
        <f>$BG460-$BG461</f>
        <v/>
      </c>
      <c r="DU460" s="56">
        <f>$BH460-$BH461</f>
        <v/>
      </c>
      <c r="DV460" s="56">
        <f>$BI460-$BI461</f>
        <v/>
      </c>
      <c r="DW460" s="56">
        <f>$BJ460-$BJ461</f>
        <v/>
      </c>
      <c r="DX460" s="56">
        <f>$BK460-$BK461</f>
        <v/>
      </c>
      <c r="DY460" s="56">
        <f>$BL460-$BL461</f>
        <v/>
      </c>
      <c r="DZ460" s="56">
        <f>$BM460-$BM461</f>
        <v/>
      </c>
      <c r="EA460" s="56">
        <f>$BN460-$BN461</f>
        <v/>
      </c>
      <c r="EB460" s="56">
        <f>$BO460-$BO461</f>
        <v/>
      </c>
      <c r="EC460" s="56">
        <f>$BP460-$BP461</f>
        <v/>
      </c>
      <c r="ED460" s="56">
        <f>$BQ460-$BQ461</f>
        <v/>
      </c>
      <c r="EE460" s="56">
        <f>$BR460-$BR461</f>
        <v/>
      </c>
      <c r="EF460" s="56">
        <f>$BS460-$BS461</f>
        <v/>
      </c>
      <c r="EG460" s="56">
        <f>$BT460-$BT461</f>
        <v/>
      </c>
      <c r="EH460" s="56">
        <f>$BU460-$BU461</f>
        <v/>
      </c>
    </row>
    <row r="461">
      <c r="BV461" s="56">
        <f>($D461-$D462)*100</f>
        <v/>
      </c>
      <c r="BW461" s="56">
        <f>($C461-$C462)*100</f>
        <v/>
      </c>
      <c r="BX461" s="57">
        <f>IFERROR($I461/$I462-1,"")</f>
        <v/>
      </c>
      <c r="BY461" s="56">
        <f>($AF461-$AF462)*100</f>
        <v/>
      </c>
      <c r="BZ461" s="56">
        <f>($AG461-$AG462)*100</f>
        <v/>
      </c>
      <c r="CA461" s="56">
        <f>($AH461-$AH462)*100</f>
        <v/>
      </c>
      <c r="CB461" s="56">
        <f>($AI461-$AI462)*100</f>
        <v/>
      </c>
      <c r="CC461" s="56">
        <f>($AJ461-$AJ462)*100</f>
        <v/>
      </c>
      <c r="CD461" s="56">
        <f>($AK461-$AK462)*100</f>
        <v/>
      </c>
      <c r="CE461" s="56">
        <f>($AL461-$AL462)*100</f>
        <v/>
      </c>
      <c r="CF461" s="56">
        <f>($AM461-$AM462)*100</f>
        <v/>
      </c>
      <c r="CG461" s="56">
        <f>($AN461-$AN462)*100</f>
        <v/>
      </c>
      <c r="CH461" s="56">
        <f>($AO461-$AO462)*100</f>
        <v/>
      </c>
      <c r="CI461" s="56">
        <f>($AP461-$AP462)*100</f>
        <v/>
      </c>
      <c r="CJ461" s="56">
        <f>($AQ461-$AQ462)*100</f>
        <v/>
      </c>
      <c r="CK461" s="56">
        <f>($AR461-$AR462)*100</f>
        <v/>
      </c>
      <c r="CL461" s="56">
        <f>($AS461-$AS462)*100</f>
        <v/>
      </c>
      <c r="CM461" s="56">
        <f>($AT461-$AT462)*100</f>
        <v/>
      </c>
      <c r="CN461" s="56">
        <f>($AU461-$AU462)*100</f>
        <v/>
      </c>
      <c r="CO461" s="56">
        <f>($AV461-$AV462)*100</f>
        <v/>
      </c>
      <c r="CP461" s="56">
        <f>($AW461-$AW462)*100</f>
        <v/>
      </c>
      <c r="CQ461" s="56">
        <f>($AX461-$AX462)*100</f>
        <v/>
      </c>
      <c r="CR461" s="56">
        <f>($AY461-$AY462)*100</f>
        <v/>
      </c>
      <c r="CS461" s="57">
        <f>IFERROR($L462/$L461-1,"")</f>
        <v/>
      </c>
      <c r="CT461" s="57">
        <f>IFERROR($M462/$M461-1,"")</f>
        <v/>
      </c>
      <c r="CU461" s="57">
        <f>IFERROR($N462/$N461-1,"")</f>
        <v/>
      </c>
      <c r="CV461" s="57">
        <f>IFERROR($O462/$O461-1,"")</f>
        <v/>
      </c>
      <c r="CW461" s="57">
        <f>IFERROR($P462/$P461-1,"")</f>
        <v/>
      </c>
      <c r="CX461" s="57">
        <f>IFERROR($Q462/$Q461-1,"")</f>
        <v/>
      </c>
      <c r="CY461" s="57">
        <f>IFERROR($R462/$R461-1,"")</f>
        <v/>
      </c>
      <c r="CZ461" s="57">
        <f>IFERROR($S462/$S461-1,"")</f>
        <v/>
      </c>
      <c r="DA461" s="57">
        <f>IFERROR($T462/$T461-1,"")</f>
        <v/>
      </c>
      <c r="DB461" s="57">
        <f>IFERROR($U462/$U461-1,"")</f>
        <v/>
      </c>
      <c r="DC461" s="57">
        <f>IFERROR($V462/$V461-1,"")</f>
        <v/>
      </c>
      <c r="DD461" s="57">
        <f>IFERROR($W462/$W461-1,"")</f>
        <v/>
      </c>
      <c r="DE461" s="57">
        <f>IFERROR($X462/$X461-1,"")</f>
        <v/>
      </c>
      <c r="DF461" s="57">
        <f>IFERROR($Y462/$Y461-1,"")</f>
        <v/>
      </c>
      <c r="DG461" s="57">
        <f>IFERROR($Z462/$Z461-1,"")</f>
        <v/>
      </c>
      <c r="DH461" s="57">
        <f>IFERROR($AA462/$AA461-1,"")</f>
        <v/>
      </c>
      <c r="DI461" s="57">
        <f>IFERROR($AB462/$AB461-1,"")</f>
        <v/>
      </c>
      <c r="DJ461" s="57">
        <f>IFERROR($AC462/$AC461-1,"")</f>
        <v/>
      </c>
      <c r="DK461" s="57">
        <f>IFERROR($AD462/$AD461-1,"")</f>
        <v/>
      </c>
      <c r="DL461" s="57">
        <f>IFERROR($AE462/$AE461-1,"")</f>
        <v/>
      </c>
      <c r="DM461" s="56">
        <f>$AZ461-$AZ462</f>
        <v/>
      </c>
      <c r="DN461" s="56">
        <f>$BA461-$BA462</f>
        <v/>
      </c>
      <c r="DO461" s="56">
        <f>$BB461-$BB462</f>
        <v/>
      </c>
      <c r="DP461" s="56">
        <f>$BC461-$BC462</f>
        <v/>
      </c>
      <c r="DQ461" s="56">
        <f>$BD461-$BD462</f>
        <v/>
      </c>
      <c r="DR461" s="56">
        <f>$BE461-$BE462</f>
        <v/>
      </c>
      <c r="DS461" s="56">
        <f>$BF461-$BF462</f>
        <v/>
      </c>
      <c r="DT461" s="56">
        <f>$BG461-$BG462</f>
        <v/>
      </c>
      <c r="DU461" s="56">
        <f>$BH461-$BH462</f>
        <v/>
      </c>
      <c r="DV461" s="56">
        <f>$BI461-$BI462</f>
        <v/>
      </c>
      <c r="DW461" s="56">
        <f>$BJ461-$BJ462</f>
        <v/>
      </c>
      <c r="DX461" s="56">
        <f>$BK461-$BK462</f>
        <v/>
      </c>
      <c r="DY461" s="56">
        <f>$BL461-$BL462</f>
        <v/>
      </c>
      <c r="DZ461" s="56">
        <f>$BM461-$BM462</f>
        <v/>
      </c>
      <c r="EA461" s="56">
        <f>$BN461-$BN462</f>
        <v/>
      </c>
      <c r="EB461" s="56">
        <f>$BO461-$BO462</f>
        <v/>
      </c>
      <c r="EC461" s="56">
        <f>$BP461-$BP462</f>
        <v/>
      </c>
      <c r="ED461" s="56">
        <f>$BQ461-$BQ462</f>
        <v/>
      </c>
      <c r="EE461" s="56">
        <f>$BR461-$BR462</f>
        <v/>
      </c>
      <c r="EF461" s="56">
        <f>$BS461-$BS462</f>
        <v/>
      </c>
      <c r="EG461" s="56">
        <f>$BT461-$BT462</f>
        <v/>
      </c>
      <c r="EH461" s="56">
        <f>$BU461-$BU462</f>
        <v/>
      </c>
    </row>
    <row r="462">
      <c r="BV462" s="56">
        <f>($D462-$D463)*100</f>
        <v/>
      </c>
      <c r="BW462" s="56">
        <f>($C462-$C463)*100</f>
        <v/>
      </c>
      <c r="BX462" s="57">
        <f>IFERROR($I462/$I463-1,"")</f>
        <v/>
      </c>
      <c r="BY462" s="56">
        <f>($AF462-$AF463)*100</f>
        <v/>
      </c>
      <c r="BZ462" s="56">
        <f>($AG462-$AG463)*100</f>
        <v/>
      </c>
      <c r="CA462" s="56">
        <f>($AH462-$AH463)*100</f>
        <v/>
      </c>
      <c r="CB462" s="56">
        <f>($AI462-$AI463)*100</f>
        <v/>
      </c>
      <c r="CC462" s="56">
        <f>($AJ462-$AJ463)*100</f>
        <v/>
      </c>
      <c r="CD462" s="56">
        <f>($AK462-$AK463)*100</f>
        <v/>
      </c>
      <c r="CE462" s="56">
        <f>($AL462-$AL463)*100</f>
        <v/>
      </c>
      <c r="CF462" s="56">
        <f>($AM462-$AM463)*100</f>
        <v/>
      </c>
      <c r="CG462" s="56">
        <f>($AN462-$AN463)*100</f>
        <v/>
      </c>
      <c r="CH462" s="56">
        <f>($AO462-$AO463)*100</f>
        <v/>
      </c>
      <c r="CI462" s="56">
        <f>($AP462-$AP463)*100</f>
        <v/>
      </c>
      <c r="CJ462" s="56">
        <f>($AQ462-$AQ463)*100</f>
        <v/>
      </c>
      <c r="CK462" s="56">
        <f>($AR462-$AR463)*100</f>
        <v/>
      </c>
      <c r="CL462" s="56">
        <f>($AS462-$AS463)*100</f>
        <v/>
      </c>
      <c r="CM462" s="56">
        <f>($AT462-$AT463)*100</f>
        <v/>
      </c>
      <c r="CN462" s="56">
        <f>($AU462-$AU463)*100</f>
        <v/>
      </c>
      <c r="CO462" s="56">
        <f>($AV462-$AV463)*100</f>
        <v/>
      </c>
      <c r="CP462" s="56">
        <f>($AW462-$AW463)*100</f>
        <v/>
      </c>
      <c r="CQ462" s="56">
        <f>($AX462-$AX463)*100</f>
        <v/>
      </c>
      <c r="CR462" s="56">
        <f>($AY462-$AY463)*100</f>
        <v/>
      </c>
      <c r="CS462" s="57">
        <f>IFERROR($L463/$L462-1,"")</f>
        <v/>
      </c>
      <c r="CT462" s="57">
        <f>IFERROR($M463/$M462-1,"")</f>
        <v/>
      </c>
      <c r="CU462" s="57">
        <f>IFERROR($N463/$N462-1,"")</f>
        <v/>
      </c>
      <c r="CV462" s="57">
        <f>IFERROR($O463/$O462-1,"")</f>
        <v/>
      </c>
      <c r="CW462" s="57">
        <f>IFERROR($P463/$P462-1,"")</f>
        <v/>
      </c>
      <c r="CX462" s="57">
        <f>IFERROR($Q463/$Q462-1,"")</f>
        <v/>
      </c>
      <c r="CY462" s="57">
        <f>IFERROR($R463/$R462-1,"")</f>
        <v/>
      </c>
      <c r="CZ462" s="57">
        <f>IFERROR($S463/$S462-1,"")</f>
        <v/>
      </c>
      <c r="DA462" s="57">
        <f>IFERROR($T463/$T462-1,"")</f>
        <v/>
      </c>
      <c r="DB462" s="57">
        <f>IFERROR($U463/$U462-1,"")</f>
        <v/>
      </c>
      <c r="DC462" s="57">
        <f>IFERROR($V463/$V462-1,"")</f>
        <v/>
      </c>
      <c r="DD462" s="57">
        <f>IFERROR($W463/$W462-1,"")</f>
        <v/>
      </c>
      <c r="DE462" s="57">
        <f>IFERROR($X463/$X462-1,"")</f>
        <v/>
      </c>
      <c r="DF462" s="57">
        <f>IFERROR($Y463/$Y462-1,"")</f>
        <v/>
      </c>
      <c r="DG462" s="57">
        <f>IFERROR($Z463/$Z462-1,"")</f>
        <v/>
      </c>
      <c r="DH462" s="57">
        <f>IFERROR($AA463/$AA462-1,"")</f>
        <v/>
      </c>
      <c r="DI462" s="57">
        <f>IFERROR($AB463/$AB462-1,"")</f>
        <v/>
      </c>
      <c r="DJ462" s="57">
        <f>IFERROR($AC463/$AC462-1,"")</f>
        <v/>
      </c>
      <c r="DK462" s="57">
        <f>IFERROR($AD463/$AD462-1,"")</f>
        <v/>
      </c>
      <c r="DL462" s="57">
        <f>IFERROR($AE463/$AE462-1,"")</f>
        <v/>
      </c>
      <c r="DM462" s="56">
        <f>$AZ462-$AZ463</f>
        <v/>
      </c>
      <c r="DN462" s="56">
        <f>$BA462-$BA463</f>
        <v/>
      </c>
      <c r="DO462" s="56">
        <f>$BB462-$BB463</f>
        <v/>
      </c>
      <c r="DP462" s="56">
        <f>$BC462-$BC463</f>
        <v/>
      </c>
      <c r="DQ462" s="56">
        <f>$BD462-$BD463</f>
        <v/>
      </c>
      <c r="DR462" s="56">
        <f>$BE462-$BE463</f>
        <v/>
      </c>
      <c r="DS462" s="56">
        <f>$BF462-$BF463</f>
        <v/>
      </c>
      <c r="DT462" s="56">
        <f>$BG462-$BG463</f>
        <v/>
      </c>
      <c r="DU462" s="56">
        <f>$BH462-$BH463</f>
        <v/>
      </c>
      <c r="DV462" s="56">
        <f>$BI462-$BI463</f>
        <v/>
      </c>
      <c r="DW462" s="56">
        <f>$BJ462-$BJ463</f>
        <v/>
      </c>
      <c r="DX462" s="56">
        <f>$BK462-$BK463</f>
        <v/>
      </c>
      <c r="DY462" s="56">
        <f>$BL462-$BL463</f>
        <v/>
      </c>
      <c r="DZ462" s="56">
        <f>$BM462-$BM463</f>
        <v/>
      </c>
      <c r="EA462" s="56">
        <f>$BN462-$BN463</f>
        <v/>
      </c>
      <c r="EB462" s="56">
        <f>$BO462-$BO463</f>
        <v/>
      </c>
      <c r="EC462" s="56">
        <f>$BP462-$BP463</f>
        <v/>
      </c>
      <c r="ED462" s="56">
        <f>$BQ462-$BQ463</f>
        <v/>
      </c>
      <c r="EE462" s="56">
        <f>$BR462-$BR463</f>
        <v/>
      </c>
      <c r="EF462" s="56">
        <f>$BS462-$BS463</f>
        <v/>
      </c>
      <c r="EG462" s="56">
        <f>$BT462-$BT463</f>
        <v/>
      </c>
      <c r="EH462" s="56">
        <f>$BU462-$BU463</f>
        <v/>
      </c>
    </row>
    <row r="463">
      <c r="BV463" s="56">
        <f>($D463-$D464)*100</f>
        <v/>
      </c>
      <c r="BW463" s="56">
        <f>($C463-$C464)*100</f>
        <v/>
      </c>
      <c r="BX463" s="57">
        <f>IFERROR($I463/$I464-1,"")</f>
        <v/>
      </c>
      <c r="BY463" s="56">
        <f>($AF463-$AF464)*100</f>
        <v/>
      </c>
      <c r="BZ463" s="56">
        <f>($AG463-$AG464)*100</f>
        <v/>
      </c>
      <c r="CA463" s="56">
        <f>($AH463-$AH464)*100</f>
        <v/>
      </c>
      <c r="CB463" s="56">
        <f>($AI463-$AI464)*100</f>
        <v/>
      </c>
      <c r="CC463" s="56">
        <f>($AJ463-$AJ464)*100</f>
        <v/>
      </c>
      <c r="CD463" s="56">
        <f>($AK463-$AK464)*100</f>
        <v/>
      </c>
      <c r="CE463" s="56">
        <f>($AL463-$AL464)*100</f>
        <v/>
      </c>
      <c r="CF463" s="56">
        <f>($AM463-$AM464)*100</f>
        <v/>
      </c>
      <c r="CG463" s="56">
        <f>($AN463-$AN464)*100</f>
        <v/>
      </c>
      <c r="CH463" s="56">
        <f>($AO463-$AO464)*100</f>
        <v/>
      </c>
      <c r="CI463" s="56">
        <f>($AP463-$AP464)*100</f>
        <v/>
      </c>
      <c r="CJ463" s="56">
        <f>($AQ463-$AQ464)*100</f>
        <v/>
      </c>
      <c r="CK463" s="56">
        <f>($AR463-$AR464)*100</f>
        <v/>
      </c>
      <c r="CL463" s="56">
        <f>($AS463-$AS464)*100</f>
        <v/>
      </c>
      <c r="CM463" s="56">
        <f>($AT463-$AT464)*100</f>
        <v/>
      </c>
      <c r="CN463" s="56">
        <f>($AU463-$AU464)*100</f>
        <v/>
      </c>
      <c r="CO463" s="56">
        <f>($AV463-$AV464)*100</f>
        <v/>
      </c>
      <c r="CP463" s="56">
        <f>($AW463-$AW464)*100</f>
        <v/>
      </c>
      <c r="CQ463" s="56">
        <f>($AX463-$AX464)*100</f>
        <v/>
      </c>
      <c r="CR463" s="56">
        <f>($AY463-$AY464)*100</f>
        <v/>
      </c>
      <c r="CS463" s="57">
        <f>IFERROR($L464/$L463-1,"")</f>
        <v/>
      </c>
      <c r="CT463" s="57">
        <f>IFERROR($M464/$M463-1,"")</f>
        <v/>
      </c>
      <c r="CU463" s="57">
        <f>IFERROR($N464/$N463-1,"")</f>
        <v/>
      </c>
      <c r="CV463" s="57">
        <f>IFERROR($O464/$O463-1,"")</f>
        <v/>
      </c>
      <c r="CW463" s="57">
        <f>IFERROR($P464/$P463-1,"")</f>
        <v/>
      </c>
      <c r="CX463" s="57">
        <f>IFERROR($Q464/$Q463-1,"")</f>
        <v/>
      </c>
      <c r="CY463" s="57">
        <f>IFERROR($R464/$R463-1,"")</f>
        <v/>
      </c>
      <c r="CZ463" s="57">
        <f>IFERROR($S464/$S463-1,"")</f>
        <v/>
      </c>
      <c r="DA463" s="57">
        <f>IFERROR($T464/$T463-1,"")</f>
        <v/>
      </c>
      <c r="DB463" s="57">
        <f>IFERROR($U464/$U463-1,"")</f>
        <v/>
      </c>
      <c r="DC463" s="57">
        <f>IFERROR($V464/$V463-1,"")</f>
        <v/>
      </c>
      <c r="DD463" s="57">
        <f>IFERROR($W464/$W463-1,"")</f>
        <v/>
      </c>
      <c r="DE463" s="57">
        <f>IFERROR($X464/$X463-1,"")</f>
        <v/>
      </c>
      <c r="DF463" s="57">
        <f>IFERROR($Y464/$Y463-1,"")</f>
        <v/>
      </c>
      <c r="DG463" s="57">
        <f>IFERROR($Z464/$Z463-1,"")</f>
        <v/>
      </c>
      <c r="DH463" s="57">
        <f>IFERROR($AA464/$AA463-1,"")</f>
        <v/>
      </c>
      <c r="DI463" s="57">
        <f>IFERROR($AB464/$AB463-1,"")</f>
        <v/>
      </c>
      <c r="DJ463" s="57">
        <f>IFERROR($AC464/$AC463-1,"")</f>
        <v/>
      </c>
      <c r="DK463" s="57">
        <f>IFERROR($AD464/$AD463-1,"")</f>
        <v/>
      </c>
      <c r="DL463" s="57">
        <f>IFERROR($AE464/$AE463-1,"")</f>
        <v/>
      </c>
      <c r="DM463" s="56">
        <f>$AZ463-$AZ464</f>
        <v/>
      </c>
      <c r="DN463" s="56">
        <f>$BA463-$BA464</f>
        <v/>
      </c>
      <c r="DO463" s="56">
        <f>$BB463-$BB464</f>
        <v/>
      </c>
      <c r="DP463" s="56">
        <f>$BC463-$BC464</f>
        <v/>
      </c>
      <c r="DQ463" s="56">
        <f>$BD463-$BD464</f>
        <v/>
      </c>
      <c r="DR463" s="56">
        <f>$BE463-$BE464</f>
        <v/>
      </c>
      <c r="DS463" s="56">
        <f>$BF463-$BF464</f>
        <v/>
      </c>
      <c r="DT463" s="56">
        <f>$BG463-$BG464</f>
        <v/>
      </c>
      <c r="DU463" s="56">
        <f>$BH463-$BH464</f>
        <v/>
      </c>
      <c r="DV463" s="56">
        <f>$BI463-$BI464</f>
        <v/>
      </c>
      <c r="DW463" s="56">
        <f>$BJ463-$BJ464</f>
        <v/>
      </c>
      <c r="DX463" s="56">
        <f>$BK463-$BK464</f>
        <v/>
      </c>
      <c r="DY463" s="56">
        <f>$BL463-$BL464</f>
        <v/>
      </c>
      <c r="DZ463" s="56">
        <f>$BM463-$BM464</f>
        <v/>
      </c>
      <c r="EA463" s="56">
        <f>$BN463-$BN464</f>
        <v/>
      </c>
      <c r="EB463" s="56">
        <f>$BO463-$BO464</f>
        <v/>
      </c>
      <c r="EC463" s="56">
        <f>$BP463-$BP464</f>
        <v/>
      </c>
      <c r="ED463" s="56">
        <f>$BQ463-$BQ464</f>
        <v/>
      </c>
      <c r="EE463" s="56">
        <f>$BR463-$BR464</f>
        <v/>
      </c>
      <c r="EF463" s="56">
        <f>$BS463-$BS464</f>
        <v/>
      </c>
      <c r="EG463" s="56">
        <f>$BT463-$BT464</f>
        <v/>
      </c>
      <c r="EH463" s="56">
        <f>$BU463-$BU464</f>
        <v/>
      </c>
    </row>
    <row r="464">
      <c r="BV464" s="56">
        <f>($D464-$D465)*100</f>
        <v/>
      </c>
      <c r="BW464" s="56">
        <f>($C464-$C465)*100</f>
        <v/>
      </c>
      <c r="BX464" s="57">
        <f>IFERROR($I464/$I465-1,"")</f>
        <v/>
      </c>
      <c r="BY464" s="56">
        <f>($AF464-$AF465)*100</f>
        <v/>
      </c>
      <c r="BZ464" s="56">
        <f>($AG464-$AG465)*100</f>
        <v/>
      </c>
      <c r="CA464" s="56">
        <f>($AH464-$AH465)*100</f>
        <v/>
      </c>
      <c r="CB464" s="56">
        <f>($AI464-$AI465)*100</f>
        <v/>
      </c>
      <c r="CC464" s="56">
        <f>($AJ464-$AJ465)*100</f>
        <v/>
      </c>
      <c r="CD464" s="56">
        <f>($AK464-$AK465)*100</f>
        <v/>
      </c>
      <c r="CE464" s="56">
        <f>($AL464-$AL465)*100</f>
        <v/>
      </c>
      <c r="CF464" s="56">
        <f>($AM464-$AM465)*100</f>
        <v/>
      </c>
      <c r="CG464" s="56">
        <f>($AN464-$AN465)*100</f>
        <v/>
      </c>
      <c r="CH464" s="56">
        <f>($AO464-$AO465)*100</f>
        <v/>
      </c>
      <c r="CI464" s="56">
        <f>($AP464-$AP465)*100</f>
        <v/>
      </c>
      <c r="CJ464" s="56">
        <f>($AQ464-$AQ465)*100</f>
        <v/>
      </c>
      <c r="CK464" s="56">
        <f>($AR464-$AR465)*100</f>
        <v/>
      </c>
      <c r="CL464" s="56">
        <f>($AS464-$AS465)*100</f>
        <v/>
      </c>
      <c r="CM464" s="56">
        <f>($AT464-$AT465)*100</f>
        <v/>
      </c>
      <c r="CN464" s="56">
        <f>($AU464-$AU465)*100</f>
        <v/>
      </c>
      <c r="CO464" s="56">
        <f>($AV464-$AV465)*100</f>
        <v/>
      </c>
      <c r="CP464" s="56">
        <f>($AW464-$AW465)*100</f>
        <v/>
      </c>
      <c r="CQ464" s="56">
        <f>($AX464-$AX465)*100</f>
        <v/>
      </c>
      <c r="CR464" s="56">
        <f>($AY464-$AY465)*100</f>
        <v/>
      </c>
      <c r="CS464" s="57">
        <f>IFERROR($L465/$L464-1,"")</f>
        <v/>
      </c>
      <c r="CT464" s="57">
        <f>IFERROR($M465/$M464-1,"")</f>
        <v/>
      </c>
      <c r="CU464" s="57">
        <f>IFERROR($N465/$N464-1,"")</f>
        <v/>
      </c>
      <c r="CV464" s="57">
        <f>IFERROR($O465/$O464-1,"")</f>
        <v/>
      </c>
      <c r="CW464" s="57">
        <f>IFERROR($P465/$P464-1,"")</f>
        <v/>
      </c>
      <c r="CX464" s="57">
        <f>IFERROR($Q465/$Q464-1,"")</f>
        <v/>
      </c>
      <c r="CY464" s="57">
        <f>IFERROR($R465/$R464-1,"")</f>
        <v/>
      </c>
      <c r="CZ464" s="57">
        <f>IFERROR($S465/$S464-1,"")</f>
        <v/>
      </c>
      <c r="DA464" s="57">
        <f>IFERROR($T465/$T464-1,"")</f>
        <v/>
      </c>
      <c r="DB464" s="57">
        <f>IFERROR($U465/$U464-1,"")</f>
        <v/>
      </c>
      <c r="DC464" s="57">
        <f>IFERROR($V465/$V464-1,"")</f>
        <v/>
      </c>
      <c r="DD464" s="57">
        <f>IFERROR($W465/$W464-1,"")</f>
        <v/>
      </c>
      <c r="DE464" s="57">
        <f>IFERROR($X465/$X464-1,"")</f>
        <v/>
      </c>
      <c r="DF464" s="57">
        <f>IFERROR($Y465/$Y464-1,"")</f>
        <v/>
      </c>
      <c r="DG464" s="57">
        <f>IFERROR($Z465/$Z464-1,"")</f>
        <v/>
      </c>
      <c r="DH464" s="57">
        <f>IFERROR($AA465/$AA464-1,"")</f>
        <v/>
      </c>
      <c r="DI464" s="57">
        <f>IFERROR($AB465/$AB464-1,"")</f>
        <v/>
      </c>
      <c r="DJ464" s="57">
        <f>IFERROR($AC465/$AC464-1,"")</f>
        <v/>
      </c>
      <c r="DK464" s="57">
        <f>IFERROR($AD465/$AD464-1,"")</f>
        <v/>
      </c>
      <c r="DL464" s="57">
        <f>IFERROR($AE465/$AE464-1,"")</f>
        <v/>
      </c>
      <c r="DM464" s="56">
        <f>$AZ464-$AZ465</f>
        <v/>
      </c>
      <c r="DN464" s="56">
        <f>$BA464-$BA465</f>
        <v/>
      </c>
      <c r="DO464" s="56">
        <f>$BB464-$BB465</f>
        <v/>
      </c>
      <c r="DP464" s="56">
        <f>$BC464-$BC465</f>
        <v/>
      </c>
      <c r="DQ464" s="56">
        <f>$BD464-$BD465</f>
        <v/>
      </c>
      <c r="DR464" s="56">
        <f>$BE464-$BE465</f>
        <v/>
      </c>
      <c r="DS464" s="56">
        <f>$BF464-$BF465</f>
        <v/>
      </c>
      <c r="DT464" s="56">
        <f>$BG464-$BG465</f>
        <v/>
      </c>
      <c r="DU464" s="56">
        <f>$BH464-$BH465</f>
        <v/>
      </c>
      <c r="DV464" s="56">
        <f>$BI464-$BI465</f>
        <v/>
      </c>
      <c r="DW464" s="56">
        <f>$BJ464-$BJ465</f>
        <v/>
      </c>
      <c r="DX464" s="56">
        <f>$BK464-$BK465</f>
        <v/>
      </c>
      <c r="DY464" s="56">
        <f>$BL464-$BL465</f>
        <v/>
      </c>
      <c r="DZ464" s="56">
        <f>$BM464-$BM465</f>
        <v/>
      </c>
      <c r="EA464" s="56">
        <f>$BN464-$BN465</f>
        <v/>
      </c>
      <c r="EB464" s="56">
        <f>$BO464-$BO465</f>
        <v/>
      </c>
      <c r="EC464" s="56">
        <f>$BP464-$BP465</f>
        <v/>
      </c>
      <c r="ED464" s="56">
        <f>$BQ464-$BQ465</f>
        <v/>
      </c>
      <c r="EE464" s="56">
        <f>$BR464-$BR465</f>
        <v/>
      </c>
      <c r="EF464" s="56">
        <f>$BS464-$BS465</f>
        <v/>
      </c>
      <c r="EG464" s="56">
        <f>$BT464-$BT465</f>
        <v/>
      </c>
      <c r="EH464" s="56">
        <f>$BU464-$BU465</f>
        <v/>
      </c>
    </row>
    <row r="465">
      <c r="BV465" s="56">
        <f>($D465-$D466)*100</f>
        <v/>
      </c>
      <c r="BW465" s="56">
        <f>($C465-$C466)*100</f>
        <v/>
      </c>
      <c r="BX465" s="57">
        <f>IFERROR($I465/$I466-1,"")</f>
        <v/>
      </c>
      <c r="BY465" s="56">
        <f>($AF465-$AF466)*100</f>
        <v/>
      </c>
      <c r="BZ465" s="56">
        <f>($AG465-$AG466)*100</f>
        <v/>
      </c>
      <c r="CA465" s="56">
        <f>($AH465-$AH466)*100</f>
        <v/>
      </c>
      <c r="CB465" s="56">
        <f>($AI465-$AI466)*100</f>
        <v/>
      </c>
      <c r="CC465" s="56">
        <f>($AJ465-$AJ466)*100</f>
        <v/>
      </c>
      <c r="CD465" s="56">
        <f>($AK465-$AK466)*100</f>
        <v/>
      </c>
      <c r="CE465" s="56">
        <f>($AL465-$AL466)*100</f>
        <v/>
      </c>
      <c r="CF465" s="56">
        <f>($AM465-$AM466)*100</f>
        <v/>
      </c>
      <c r="CG465" s="56">
        <f>($AN465-$AN466)*100</f>
        <v/>
      </c>
      <c r="CH465" s="56">
        <f>($AO465-$AO466)*100</f>
        <v/>
      </c>
      <c r="CI465" s="56">
        <f>($AP465-$AP466)*100</f>
        <v/>
      </c>
      <c r="CJ465" s="56">
        <f>($AQ465-$AQ466)*100</f>
        <v/>
      </c>
      <c r="CK465" s="56">
        <f>($AR465-$AR466)*100</f>
        <v/>
      </c>
      <c r="CL465" s="56">
        <f>($AS465-$AS466)*100</f>
        <v/>
      </c>
      <c r="CM465" s="56">
        <f>($AT465-$AT466)*100</f>
        <v/>
      </c>
      <c r="CN465" s="56">
        <f>($AU465-$AU466)*100</f>
        <v/>
      </c>
      <c r="CO465" s="56">
        <f>($AV465-$AV466)*100</f>
        <v/>
      </c>
      <c r="CP465" s="56">
        <f>($AW465-$AW466)*100</f>
        <v/>
      </c>
      <c r="CQ465" s="56">
        <f>($AX465-$AX466)*100</f>
        <v/>
      </c>
      <c r="CR465" s="56">
        <f>($AY465-$AY466)*100</f>
        <v/>
      </c>
      <c r="CS465" s="57">
        <f>IFERROR($L466/$L465-1,"")</f>
        <v/>
      </c>
      <c r="CT465" s="57">
        <f>IFERROR($M466/$M465-1,"")</f>
        <v/>
      </c>
      <c r="CU465" s="57">
        <f>IFERROR($N466/$N465-1,"")</f>
        <v/>
      </c>
      <c r="CV465" s="57">
        <f>IFERROR($O466/$O465-1,"")</f>
        <v/>
      </c>
      <c r="CW465" s="57">
        <f>IFERROR($P466/$P465-1,"")</f>
        <v/>
      </c>
      <c r="CX465" s="57">
        <f>IFERROR($Q466/$Q465-1,"")</f>
        <v/>
      </c>
      <c r="CY465" s="57">
        <f>IFERROR($R466/$R465-1,"")</f>
        <v/>
      </c>
      <c r="CZ465" s="57">
        <f>IFERROR($S466/$S465-1,"")</f>
        <v/>
      </c>
      <c r="DA465" s="57">
        <f>IFERROR($T466/$T465-1,"")</f>
        <v/>
      </c>
      <c r="DB465" s="57">
        <f>IFERROR($U466/$U465-1,"")</f>
        <v/>
      </c>
      <c r="DC465" s="57">
        <f>IFERROR($V466/$V465-1,"")</f>
        <v/>
      </c>
      <c r="DD465" s="57">
        <f>IFERROR($W466/$W465-1,"")</f>
        <v/>
      </c>
      <c r="DE465" s="57">
        <f>IFERROR($X466/$X465-1,"")</f>
        <v/>
      </c>
      <c r="DF465" s="57">
        <f>IFERROR($Y466/$Y465-1,"")</f>
        <v/>
      </c>
      <c r="DG465" s="57">
        <f>IFERROR($Z466/$Z465-1,"")</f>
        <v/>
      </c>
      <c r="DH465" s="57">
        <f>IFERROR($AA466/$AA465-1,"")</f>
        <v/>
      </c>
      <c r="DI465" s="57">
        <f>IFERROR($AB466/$AB465-1,"")</f>
        <v/>
      </c>
      <c r="DJ465" s="57">
        <f>IFERROR($AC466/$AC465-1,"")</f>
        <v/>
      </c>
      <c r="DK465" s="57">
        <f>IFERROR($AD466/$AD465-1,"")</f>
        <v/>
      </c>
      <c r="DL465" s="57">
        <f>IFERROR($AE466/$AE465-1,"")</f>
        <v/>
      </c>
      <c r="DM465" s="56">
        <f>$AZ465-$AZ466</f>
        <v/>
      </c>
      <c r="DN465" s="56">
        <f>$BA465-$BA466</f>
        <v/>
      </c>
      <c r="DO465" s="56">
        <f>$BB465-$BB466</f>
        <v/>
      </c>
      <c r="DP465" s="56">
        <f>$BC465-$BC466</f>
        <v/>
      </c>
      <c r="DQ465" s="56">
        <f>$BD465-$BD466</f>
        <v/>
      </c>
      <c r="DR465" s="56">
        <f>$BE465-$BE466</f>
        <v/>
      </c>
      <c r="DS465" s="56">
        <f>$BF465-$BF466</f>
        <v/>
      </c>
      <c r="DT465" s="56">
        <f>$BG465-$BG466</f>
        <v/>
      </c>
      <c r="DU465" s="56">
        <f>$BH465-$BH466</f>
        <v/>
      </c>
      <c r="DV465" s="56">
        <f>$BI465-$BI466</f>
        <v/>
      </c>
      <c r="DW465" s="56">
        <f>$BJ465-$BJ466</f>
        <v/>
      </c>
      <c r="DX465" s="56">
        <f>$BK465-$BK466</f>
        <v/>
      </c>
      <c r="DY465" s="56">
        <f>$BL465-$BL466</f>
        <v/>
      </c>
      <c r="DZ465" s="56">
        <f>$BM465-$BM466</f>
        <v/>
      </c>
      <c r="EA465" s="56">
        <f>$BN465-$BN466</f>
        <v/>
      </c>
      <c r="EB465" s="56">
        <f>$BO465-$BO466</f>
        <v/>
      </c>
      <c r="EC465" s="56">
        <f>$BP465-$BP466</f>
        <v/>
      </c>
      <c r="ED465" s="56">
        <f>$BQ465-$BQ466</f>
        <v/>
      </c>
      <c r="EE465" s="56">
        <f>$BR465-$BR466</f>
        <v/>
      </c>
      <c r="EF465" s="56">
        <f>$BS465-$BS466</f>
        <v/>
      </c>
      <c r="EG465" s="56">
        <f>$BT465-$BT466</f>
        <v/>
      </c>
      <c r="EH465" s="56">
        <f>$BU465-$BU466</f>
        <v/>
      </c>
    </row>
    <row r="466">
      <c r="BV466" s="56">
        <f>($D466-$D467)*100</f>
        <v/>
      </c>
      <c r="BW466" s="56">
        <f>($C466-$C467)*100</f>
        <v/>
      </c>
      <c r="BX466" s="57">
        <f>IFERROR($I466/$I467-1,"")</f>
        <v/>
      </c>
      <c r="BY466" s="56">
        <f>($AF466-$AF467)*100</f>
        <v/>
      </c>
      <c r="BZ466" s="56">
        <f>($AG466-$AG467)*100</f>
        <v/>
      </c>
      <c r="CA466" s="56">
        <f>($AH466-$AH467)*100</f>
        <v/>
      </c>
      <c r="CB466" s="56">
        <f>($AI466-$AI467)*100</f>
        <v/>
      </c>
      <c r="CC466" s="56">
        <f>($AJ466-$AJ467)*100</f>
        <v/>
      </c>
      <c r="CD466" s="56">
        <f>($AK466-$AK467)*100</f>
        <v/>
      </c>
      <c r="CE466" s="56">
        <f>($AL466-$AL467)*100</f>
        <v/>
      </c>
      <c r="CF466" s="56">
        <f>($AM466-$AM467)*100</f>
        <v/>
      </c>
      <c r="CG466" s="56">
        <f>($AN466-$AN467)*100</f>
        <v/>
      </c>
      <c r="CH466" s="56">
        <f>($AO466-$AO467)*100</f>
        <v/>
      </c>
      <c r="CI466" s="56">
        <f>($AP466-$AP467)*100</f>
        <v/>
      </c>
      <c r="CJ466" s="56">
        <f>($AQ466-$AQ467)*100</f>
        <v/>
      </c>
      <c r="CK466" s="56">
        <f>($AR466-$AR467)*100</f>
        <v/>
      </c>
      <c r="CL466" s="56">
        <f>($AS466-$AS467)*100</f>
        <v/>
      </c>
      <c r="CM466" s="56">
        <f>($AT466-$AT467)*100</f>
        <v/>
      </c>
      <c r="CN466" s="56">
        <f>($AU466-$AU467)*100</f>
        <v/>
      </c>
      <c r="CO466" s="56">
        <f>($AV466-$AV467)*100</f>
        <v/>
      </c>
      <c r="CP466" s="56">
        <f>($AW466-$AW467)*100</f>
        <v/>
      </c>
      <c r="CQ466" s="56">
        <f>($AX466-$AX467)*100</f>
        <v/>
      </c>
      <c r="CR466" s="56">
        <f>($AY466-$AY467)*100</f>
        <v/>
      </c>
      <c r="CS466" s="57">
        <f>IFERROR($L467/$L466-1,"")</f>
        <v/>
      </c>
      <c r="CT466" s="57">
        <f>IFERROR($M467/$M466-1,"")</f>
        <v/>
      </c>
      <c r="CU466" s="57">
        <f>IFERROR($N467/$N466-1,"")</f>
        <v/>
      </c>
      <c r="CV466" s="57">
        <f>IFERROR($O467/$O466-1,"")</f>
        <v/>
      </c>
      <c r="CW466" s="57">
        <f>IFERROR($P467/$P466-1,"")</f>
        <v/>
      </c>
      <c r="CX466" s="57">
        <f>IFERROR($Q467/$Q466-1,"")</f>
        <v/>
      </c>
      <c r="CY466" s="57">
        <f>IFERROR($R467/$R466-1,"")</f>
        <v/>
      </c>
      <c r="CZ466" s="57">
        <f>IFERROR($S467/$S466-1,"")</f>
        <v/>
      </c>
      <c r="DA466" s="57">
        <f>IFERROR($T467/$T466-1,"")</f>
        <v/>
      </c>
      <c r="DB466" s="57">
        <f>IFERROR($U467/$U466-1,"")</f>
        <v/>
      </c>
      <c r="DC466" s="57">
        <f>IFERROR($V467/$V466-1,"")</f>
        <v/>
      </c>
      <c r="DD466" s="57">
        <f>IFERROR($W467/$W466-1,"")</f>
        <v/>
      </c>
      <c r="DE466" s="57">
        <f>IFERROR($X467/$X466-1,"")</f>
        <v/>
      </c>
      <c r="DF466" s="57">
        <f>IFERROR($Y467/$Y466-1,"")</f>
        <v/>
      </c>
      <c r="DG466" s="57">
        <f>IFERROR($Z467/$Z466-1,"")</f>
        <v/>
      </c>
      <c r="DH466" s="57">
        <f>IFERROR($AA467/$AA466-1,"")</f>
        <v/>
      </c>
      <c r="DI466" s="57">
        <f>IFERROR($AB467/$AB466-1,"")</f>
        <v/>
      </c>
      <c r="DJ466" s="57">
        <f>IFERROR($AC467/$AC466-1,"")</f>
        <v/>
      </c>
      <c r="DK466" s="57">
        <f>IFERROR($AD467/$AD466-1,"")</f>
        <v/>
      </c>
      <c r="DL466" s="57">
        <f>IFERROR($AE467/$AE466-1,"")</f>
        <v/>
      </c>
      <c r="DM466" s="56">
        <f>$AZ466-$AZ467</f>
        <v/>
      </c>
      <c r="DN466" s="56">
        <f>$BA466-$BA467</f>
        <v/>
      </c>
      <c r="DO466" s="56">
        <f>$BB466-$BB467</f>
        <v/>
      </c>
      <c r="DP466" s="56">
        <f>$BC466-$BC467</f>
        <v/>
      </c>
      <c r="DQ466" s="56">
        <f>$BD466-$BD467</f>
        <v/>
      </c>
      <c r="DR466" s="56">
        <f>$BE466-$BE467</f>
        <v/>
      </c>
      <c r="DS466" s="56">
        <f>$BF466-$BF467</f>
        <v/>
      </c>
      <c r="DT466" s="56">
        <f>$BG466-$BG467</f>
        <v/>
      </c>
      <c r="DU466" s="56">
        <f>$BH466-$BH467</f>
        <v/>
      </c>
      <c r="DV466" s="56">
        <f>$BI466-$BI467</f>
        <v/>
      </c>
      <c r="DW466" s="56">
        <f>$BJ466-$BJ467</f>
        <v/>
      </c>
      <c r="DX466" s="56">
        <f>$BK466-$BK467</f>
        <v/>
      </c>
      <c r="DY466" s="56">
        <f>$BL466-$BL467</f>
        <v/>
      </c>
      <c r="DZ466" s="56">
        <f>$BM466-$BM467</f>
        <v/>
      </c>
      <c r="EA466" s="56">
        <f>$BN466-$BN467</f>
        <v/>
      </c>
      <c r="EB466" s="56">
        <f>$BO466-$BO467</f>
        <v/>
      </c>
      <c r="EC466" s="56">
        <f>$BP466-$BP467</f>
        <v/>
      </c>
      <c r="ED466" s="56">
        <f>$BQ466-$BQ467</f>
        <v/>
      </c>
      <c r="EE466" s="56">
        <f>$BR466-$BR467</f>
        <v/>
      </c>
      <c r="EF466" s="56">
        <f>$BS466-$BS467</f>
        <v/>
      </c>
      <c r="EG466" s="56">
        <f>$BT466-$BT467</f>
        <v/>
      </c>
      <c r="EH466" s="56">
        <f>$BU466-$BU467</f>
        <v/>
      </c>
    </row>
    <row r="467">
      <c r="BV467" s="56">
        <f>($D467-$D468)*100</f>
        <v/>
      </c>
      <c r="BW467" s="56">
        <f>($C467-$C468)*100</f>
        <v/>
      </c>
      <c r="BX467" s="57">
        <f>IFERROR($I467/$I468-1,"")</f>
        <v/>
      </c>
      <c r="BY467" s="56">
        <f>($AF467-$AF468)*100</f>
        <v/>
      </c>
      <c r="BZ467" s="56">
        <f>($AG467-$AG468)*100</f>
        <v/>
      </c>
      <c r="CA467" s="56">
        <f>($AH467-$AH468)*100</f>
        <v/>
      </c>
      <c r="CB467" s="56">
        <f>($AI467-$AI468)*100</f>
        <v/>
      </c>
      <c r="CC467" s="56">
        <f>($AJ467-$AJ468)*100</f>
        <v/>
      </c>
      <c r="CD467" s="56">
        <f>($AK467-$AK468)*100</f>
        <v/>
      </c>
      <c r="CE467" s="56">
        <f>($AL467-$AL468)*100</f>
        <v/>
      </c>
      <c r="CF467" s="56">
        <f>($AM467-$AM468)*100</f>
        <v/>
      </c>
      <c r="CG467" s="56">
        <f>($AN467-$AN468)*100</f>
        <v/>
      </c>
      <c r="CH467" s="56">
        <f>($AO467-$AO468)*100</f>
        <v/>
      </c>
      <c r="CI467" s="56">
        <f>($AP467-$AP468)*100</f>
        <v/>
      </c>
      <c r="CJ467" s="56">
        <f>($AQ467-$AQ468)*100</f>
        <v/>
      </c>
      <c r="CK467" s="56">
        <f>($AR467-$AR468)*100</f>
        <v/>
      </c>
      <c r="CL467" s="56">
        <f>($AS467-$AS468)*100</f>
        <v/>
      </c>
      <c r="CM467" s="56">
        <f>($AT467-$AT468)*100</f>
        <v/>
      </c>
      <c r="CN467" s="56">
        <f>($AU467-$AU468)*100</f>
        <v/>
      </c>
      <c r="CO467" s="56">
        <f>($AV467-$AV468)*100</f>
        <v/>
      </c>
      <c r="CP467" s="56">
        <f>($AW467-$AW468)*100</f>
        <v/>
      </c>
      <c r="CQ467" s="56">
        <f>($AX467-$AX468)*100</f>
        <v/>
      </c>
      <c r="CR467" s="56">
        <f>($AY467-$AY468)*100</f>
        <v/>
      </c>
      <c r="CS467" s="57">
        <f>IFERROR($L468/$L467-1,"")</f>
        <v/>
      </c>
      <c r="CT467" s="57">
        <f>IFERROR($M468/$M467-1,"")</f>
        <v/>
      </c>
      <c r="CU467" s="57">
        <f>IFERROR($N468/$N467-1,"")</f>
        <v/>
      </c>
      <c r="CV467" s="57">
        <f>IFERROR($O468/$O467-1,"")</f>
        <v/>
      </c>
      <c r="CW467" s="57">
        <f>IFERROR($P468/$P467-1,"")</f>
        <v/>
      </c>
      <c r="CX467" s="57">
        <f>IFERROR($Q468/$Q467-1,"")</f>
        <v/>
      </c>
      <c r="CY467" s="57">
        <f>IFERROR($R468/$R467-1,"")</f>
        <v/>
      </c>
      <c r="CZ467" s="57">
        <f>IFERROR($S468/$S467-1,"")</f>
        <v/>
      </c>
      <c r="DA467" s="57">
        <f>IFERROR($T468/$T467-1,"")</f>
        <v/>
      </c>
      <c r="DB467" s="57">
        <f>IFERROR($U468/$U467-1,"")</f>
        <v/>
      </c>
      <c r="DC467" s="57">
        <f>IFERROR($V468/$V467-1,"")</f>
        <v/>
      </c>
      <c r="DD467" s="57">
        <f>IFERROR($W468/$W467-1,"")</f>
        <v/>
      </c>
      <c r="DE467" s="57">
        <f>IFERROR($X468/$X467-1,"")</f>
        <v/>
      </c>
      <c r="DF467" s="57">
        <f>IFERROR($Y468/$Y467-1,"")</f>
        <v/>
      </c>
      <c r="DG467" s="57">
        <f>IFERROR($Z468/$Z467-1,"")</f>
        <v/>
      </c>
      <c r="DH467" s="57">
        <f>IFERROR($AA468/$AA467-1,"")</f>
        <v/>
      </c>
      <c r="DI467" s="57">
        <f>IFERROR($AB468/$AB467-1,"")</f>
        <v/>
      </c>
      <c r="DJ467" s="57">
        <f>IFERROR($AC468/$AC467-1,"")</f>
        <v/>
      </c>
      <c r="DK467" s="57">
        <f>IFERROR($AD468/$AD467-1,"")</f>
        <v/>
      </c>
      <c r="DL467" s="57">
        <f>IFERROR($AE468/$AE467-1,"")</f>
        <v/>
      </c>
      <c r="DM467" s="56">
        <f>$AZ467-$AZ468</f>
        <v/>
      </c>
      <c r="DN467" s="56">
        <f>$BA467-$BA468</f>
        <v/>
      </c>
      <c r="DO467" s="56">
        <f>$BB467-$BB468</f>
        <v/>
      </c>
      <c r="DP467" s="56">
        <f>$BC467-$BC468</f>
        <v/>
      </c>
      <c r="DQ467" s="56">
        <f>$BD467-$BD468</f>
        <v/>
      </c>
      <c r="DR467" s="56">
        <f>$BE467-$BE468</f>
        <v/>
      </c>
      <c r="DS467" s="56">
        <f>$BF467-$BF468</f>
        <v/>
      </c>
      <c r="DT467" s="56">
        <f>$BG467-$BG468</f>
        <v/>
      </c>
      <c r="DU467" s="56">
        <f>$BH467-$BH468</f>
        <v/>
      </c>
      <c r="DV467" s="56">
        <f>$BI467-$BI468</f>
        <v/>
      </c>
      <c r="DW467" s="56">
        <f>$BJ467-$BJ468</f>
        <v/>
      </c>
      <c r="DX467" s="56">
        <f>$BK467-$BK468</f>
        <v/>
      </c>
      <c r="DY467" s="56">
        <f>$BL467-$BL468</f>
        <v/>
      </c>
      <c r="DZ467" s="56">
        <f>$BM467-$BM468</f>
        <v/>
      </c>
      <c r="EA467" s="56">
        <f>$BN467-$BN468</f>
        <v/>
      </c>
      <c r="EB467" s="56">
        <f>$BO467-$BO468</f>
        <v/>
      </c>
      <c r="EC467" s="56">
        <f>$BP467-$BP468</f>
        <v/>
      </c>
      <c r="ED467" s="56">
        <f>$BQ467-$BQ468</f>
        <v/>
      </c>
      <c r="EE467" s="56">
        <f>$BR467-$BR468</f>
        <v/>
      </c>
      <c r="EF467" s="56">
        <f>$BS467-$BS468</f>
        <v/>
      </c>
      <c r="EG467" s="56">
        <f>$BT467-$BT468</f>
        <v/>
      </c>
      <c r="EH467" s="56">
        <f>$BU467-$BU468</f>
        <v/>
      </c>
    </row>
    <row r="468">
      <c r="BV468" s="56">
        <f>($D468-$D469)*100</f>
        <v/>
      </c>
      <c r="BW468" s="56">
        <f>($C468-$C469)*100</f>
        <v/>
      </c>
      <c r="BX468" s="57">
        <f>IFERROR($I468/$I469-1,"")</f>
        <v/>
      </c>
      <c r="BY468" s="56">
        <f>($AF468-$AF469)*100</f>
        <v/>
      </c>
      <c r="BZ468" s="56">
        <f>($AG468-$AG469)*100</f>
        <v/>
      </c>
      <c r="CA468" s="56">
        <f>($AH468-$AH469)*100</f>
        <v/>
      </c>
      <c r="CB468" s="56">
        <f>($AI468-$AI469)*100</f>
        <v/>
      </c>
      <c r="CC468" s="56">
        <f>($AJ468-$AJ469)*100</f>
        <v/>
      </c>
      <c r="CD468" s="56">
        <f>($AK468-$AK469)*100</f>
        <v/>
      </c>
      <c r="CE468" s="56">
        <f>($AL468-$AL469)*100</f>
        <v/>
      </c>
      <c r="CF468" s="56">
        <f>($AM468-$AM469)*100</f>
        <v/>
      </c>
      <c r="CG468" s="56">
        <f>($AN468-$AN469)*100</f>
        <v/>
      </c>
      <c r="CH468" s="56">
        <f>($AO468-$AO469)*100</f>
        <v/>
      </c>
      <c r="CI468" s="56">
        <f>($AP468-$AP469)*100</f>
        <v/>
      </c>
      <c r="CJ468" s="56">
        <f>($AQ468-$AQ469)*100</f>
        <v/>
      </c>
      <c r="CK468" s="56">
        <f>($AR468-$AR469)*100</f>
        <v/>
      </c>
      <c r="CL468" s="56">
        <f>($AS468-$AS469)*100</f>
        <v/>
      </c>
      <c r="CM468" s="56">
        <f>($AT468-$AT469)*100</f>
        <v/>
      </c>
      <c r="CN468" s="56">
        <f>($AU468-$AU469)*100</f>
        <v/>
      </c>
      <c r="CO468" s="56">
        <f>($AV468-$AV469)*100</f>
        <v/>
      </c>
      <c r="CP468" s="56">
        <f>($AW468-$AW469)*100</f>
        <v/>
      </c>
      <c r="CQ468" s="56">
        <f>($AX468-$AX469)*100</f>
        <v/>
      </c>
      <c r="CR468" s="56">
        <f>($AY468-$AY469)*100</f>
        <v/>
      </c>
      <c r="CS468" s="57">
        <f>IFERROR($L469/$L468-1,"")</f>
        <v/>
      </c>
      <c r="CT468" s="57">
        <f>IFERROR($M469/$M468-1,"")</f>
        <v/>
      </c>
      <c r="CU468" s="57">
        <f>IFERROR($N469/$N468-1,"")</f>
        <v/>
      </c>
      <c r="CV468" s="57">
        <f>IFERROR($O469/$O468-1,"")</f>
        <v/>
      </c>
      <c r="CW468" s="57">
        <f>IFERROR($P469/$P468-1,"")</f>
        <v/>
      </c>
      <c r="CX468" s="57">
        <f>IFERROR($Q469/$Q468-1,"")</f>
        <v/>
      </c>
      <c r="CY468" s="57">
        <f>IFERROR($R469/$R468-1,"")</f>
        <v/>
      </c>
      <c r="CZ468" s="57">
        <f>IFERROR($S469/$S468-1,"")</f>
        <v/>
      </c>
      <c r="DA468" s="57">
        <f>IFERROR($T469/$T468-1,"")</f>
        <v/>
      </c>
      <c r="DB468" s="57">
        <f>IFERROR($U469/$U468-1,"")</f>
        <v/>
      </c>
      <c r="DC468" s="57">
        <f>IFERROR($V469/$V468-1,"")</f>
        <v/>
      </c>
      <c r="DD468" s="57">
        <f>IFERROR($W469/$W468-1,"")</f>
        <v/>
      </c>
      <c r="DE468" s="57">
        <f>IFERROR($X469/$X468-1,"")</f>
        <v/>
      </c>
      <c r="DF468" s="57">
        <f>IFERROR($Y469/$Y468-1,"")</f>
        <v/>
      </c>
      <c r="DG468" s="57">
        <f>IFERROR($Z469/$Z468-1,"")</f>
        <v/>
      </c>
      <c r="DH468" s="57">
        <f>IFERROR($AA469/$AA468-1,"")</f>
        <v/>
      </c>
      <c r="DI468" s="57">
        <f>IFERROR($AB469/$AB468-1,"")</f>
        <v/>
      </c>
      <c r="DJ468" s="57">
        <f>IFERROR($AC469/$AC468-1,"")</f>
        <v/>
      </c>
      <c r="DK468" s="57">
        <f>IFERROR($AD469/$AD468-1,"")</f>
        <v/>
      </c>
      <c r="DL468" s="57">
        <f>IFERROR($AE469/$AE468-1,"")</f>
        <v/>
      </c>
      <c r="DM468" s="56">
        <f>$AZ468-$AZ469</f>
        <v/>
      </c>
      <c r="DN468" s="56">
        <f>$BA468-$BA469</f>
        <v/>
      </c>
      <c r="DO468" s="56">
        <f>$BB468-$BB469</f>
        <v/>
      </c>
      <c r="DP468" s="56">
        <f>$BC468-$BC469</f>
        <v/>
      </c>
      <c r="DQ468" s="56">
        <f>$BD468-$BD469</f>
        <v/>
      </c>
      <c r="DR468" s="56">
        <f>$BE468-$BE469</f>
        <v/>
      </c>
      <c r="DS468" s="56">
        <f>$BF468-$BF469</f>
        <v/>
      </c>
      <c r="DT468" s="56">
        <f>$BG468-$BG469</f>
        <v/>
      </c>
      <c r="DU468" s="56">
        <f>$BH468-$BH469</f>
        <v/>
      </c>
      <c r="DV468" s="56">
        <f>$BI468-$BI469</f>
        <v/>
      </c>
      <c r="DW468" s="56">
        <f>$BJ468-$BJ469</f>
        <v/>
      </c>
      <c r="DX468" s="56">
        <f>$BK468-$BK469</f>
        <v/>
      </c>
      <c r="DY468" s="56">
        <f>$BL468-$BL469</f>
        <v/>
      </c>
      <c r="DZ468" s="56">
        <f>$BM468-$BM469</f>
        <v/>
      </c>
      <c r="EA468" s="56">
        <f>$BN468-$BN469</f>
        <v/>
      </c>
      <c r="EB468" s="56">
        <f>$BO468-$BO469</f>
        <v/>
      </c>
      <c r="EC468" s="56">
        <f>$BP468-$BP469</f>
        <v/>
      </c>
      <c r="ED468" s="56">
        <f>$BQ468-$BQ469</f>
        <v/>
      </c>
      <c r="EE468" s="56">
        <f>$BR468-$BR469</f>
        <v/>
      </c>
      <c r="EF468" s="56">
        <f>$BS468-$BS469</f>
        <v/>
      </c>
      <c r="EG468" s="56">
        <f>$BT468-$BT469</f>
        <v/>
      </c>
      <c r="EH468" s="56">
        <f>$BU468-$BU469</f>
        <v/>
      </c>
    </row>
    <row r="469">
      <c r="BV469" s="56">
        <f>($D469-$D470)*100</f>
        <v/>
      </c>
      <c r="BW469" s="56">
        <f>($C469-$C470)*100</f>
        <v/>
      </c>
      <c r="BX469" s="57">
        <f>IFERROR($I469/$I470-1,"")</f>
        <v/>
      </c>
      <c r="BY469" s="56">
        <f>($AF469-$AF470)*100</f>
        <v/>
      </c>
      <c r="BZ469" s="56">
        <f>($AG469-$AG470)*100</f>
        <v/>
      </c>
      <c r="CA469" s="56">
        <f>($AH469-$AH470)*100</f>
        <v/>
      </c>
      <c r="CB469" s="56">
        <f>($AI469-$AI470)*100</f>
        <v/>
      </c>
      <c r="CC469" s="56">
        <f>($AJ469-$AJ470)*100</f>
        <v/>
      </c>
      <c r="CD469" s="56">
        <f>($AK469-$AK470)*100</f>
        <v/>
      </c>
      <c r="CE469" s="56">
        <f>($AL469-$AL470)*100</f>
        <v/>
      </c>
      <c r="CF469" s="56">
        <f>($AM469-$AM470)*100</f>
        <v/>
      </c>
      <c r="CG469" s="56">
        <f>($AN469-$AN470)*100</f>
        <v/>
      </c>
      <c r="CH469" s="56">
        <f>($AO469-$AO470)*100</f>
        <v/>
      </c>
      <c r="CI469" s="56">
        <f>($AP469-$AP470)*100</f>
        <v/>
      </c>
      <c r="CJ469" s="56">
        <f>($AQ469-$AQ470)*100</f>
        <v/>
      </c>
      <c r="CK469" s="56">
        <f>($AR469-$AR470)*100</f>
        <v/>
      </c>
      <c r="CL469" s="56">
        <f>($AS469-$AS470)*100</f>
        <v/>
      </c>
      <c r="CM469" s="56">
        <f>($AT469-$AT470)*100</f>
        <v/>
      </c>
      <c r="CN469" s="56">
        <f>($AU469-$AU470)*100</f>
        <v/>
      </c>
      <c r="CO469" s="56">
        <f>($AV469-$AV470)*100</f>
        <v/>
      </c>
      <c r="CP469" s="56">
        <f>($AW469-$AW470)*100</f>
        <v/>
      </c>
      <c r="CQ469" s="56">
        <f>($AX469-$AX470)*100</f>
        <v/>
      </c>
      <c r="CR469" s="56">
        <f>($AY469-$AY470)*100</f>
        <v/>
      </c>
      <c r="CS469" s="57">
        <f>IFERROR($L470/$L469-1,"")</f>
        <v/>
      </c>
      <c r="CT469" s="57">
        <f>IFERROR($M470/$M469-1,"")</f>
        <v/>
      </c>
      <c r="CU469" s="57">
        <f>IFERROR($N470/$N469-1,"")</f>
        <v/>
      </c>
      <c r="CV469" s="57">
        <f>IFERROR($O470/$O469-1,"")</f>
        <v/>
      </c>
      <c r="CW469" s="57">
        <f>IFERROR($P470/$P469-1,"")</f>
        <v/>
      </c>
      <c r="CX469" s="57">
        <f>IFERROR($Q470/$Q469-1,"")</f>
        <v/>
      </c>
      <c r="CY469" s="57">
        <f>IFERROR($R470/$R469-1,"")</f>
        <v/>
      </c>
      <c r="CZ469" s="57">
        <f>IFERROR($S470/$S469-1,"")</f>
        <v/>
      </c>
      <c r="DA469" s="57">
        <f>IFERROR($T470/$T469-1,"")</f>
        <v/>
      </c>
      <c r="DB469" s="57">
        <f>IFERROR($U470/$U469-1,"")</f>
        <v/>
      </c>
      <c r="DC469" s="57">
        <f>IFERROR($V470/$V469-1,"")</f>
        <v/>
      </c>
      <c r="DD469" s="57">
        <f>IFERROR($W470/$W469-1,"")</f>
        <v/>
      </c>
      <c r="DE469" s="57">
        <f>IFERROR($X470/$X469-1,"")</f>
        <v/>
      </c>
      <c r="DF469" s="57">
        <f>IFERROR($Y470/$Y469-1,"")</f>
        <v/>
      </c>
      <c r="DG469" s="57">
        <f>IFERROR($Z470/$Z469-1,"")</f>
        <v/>
      </c>
      <c r="DH469" s="57">
        <f>IFERROR($AA470/$AA469-1,"")</f>
        <v/>
      </c>
      <c r="DI469" s="57">
        <f>IFERROR($AB470/$AB469-1,"")</f>
        <v/>
      </c>
      <c r="DJ469" s="57">
        <f>IFERROR($AC470/$AC469-1,"")</f>
        <v/>
      </c>
      <c r="DK469" s="57">
        <f>IFERROR($AD470/$AD469-1,"")</f>
        <v/>
      </c>
      <c r="DL469" s="57">
        <f>IFERROR($AE470/$AE469-1,"")</f>
        <v/>
      </c>
      <c r="DM469" s="56">
        <f>$AZ469-$AZ470</f>
        <v/>
      </c>
      <c r="DN469" s="56">
        <f>$BA469-$BA470</f>
        <v/>
      </c>
      <c r="DO469" s="56">
        <f>$BB469-$BB470</f>
        <v/>
      </c>
      <c r="DP469" s="56">
        <f>$BC469-$BC470</f>
        <v/>
      </c>
      <c r="DQ469" s="56">
        <f>$BD469-$BD470</f>
        <v/>
      </c>
      <c r="DR469" s="56">
        <f>$BE469-$BE470</f>
        <v/>
      </c>
      <c r="DS469" s="56">
        <f>$BF469-$BF470</f>
        <v/>
      </c>
      <c r="DT469" s="56">
        <f>$BG469-$BG470</f>
        <v/>
      </c>
      <c r="DU469" s="56">
        <f>$BH469-$BH470</f>
        <v/>
      </c>
      <c r="DV469" s="56">
        <f>$BI469-$BI470</f>
        <v/>
      </c>
      <c r="DW469" s="56">
        <f>$BJ469-$BJ470</f>
        <v/>
      </c>
      <c r="DX469" s="56">
        <f>$BK469-$BK470</f>
        <v/>
      </c>
      <c r="DY469" s="56">
        <f>$BL469-$BL470</f>
        <v/>
      </c>
      <c r="DZ469" s="56">
        <f>$BM469-$BM470</f>
        <v/>
      </c>
      <c r="EA469" s="56">
        <f>$BN469-$BN470</f>
        <v/>
      </c>
      <c r="EB469" s="56">
        <f>$BO469-$BO470</f>
        <v/>
      </c>
      <c r="EC469" s="56">
        <f>$BP469-$BP470</f>
        <v/>
      </c>
      <c r="ED469" s="56">
        <f>$BQ469-$BQ470</f>
        <v/>
      </c>
      <c r="EE469" s="56">
        <f>$BR469-$BR470</f>
        <v/>
      </c>
      <c r="EF469" s="56">
        <f>$BS469-$BS470</f>
        <v/>
      </c>
      <c r="EG469" s="56">
        <f>$BT469-$BT470</f>
        <v/>
      </c>
      <c r="EH469" s="56">
        <f>$BU469-$BU470</f>
        <v/>
      </c>
    </row>
    <row r="470">
      <c r="BV470" s="56">
        <f>($D470-$D471)*100</f>
        <v/>
      </c>
      <c r="BW470" s="56">
        <f>($C470-$C471)*100</f>
        <v/>
      </c>
      <c r="BX470" s="57">
        <f>IFERROR($I470/$I471-1,"")</f>
        <v/>
      </c>
      <c r="BY470" s="56">
        <f>($AF470-$AF471)*100</f>
        <v/>
      </c>
      <c r="BZ470" s="56">
        <f>($AG470-$AG471)*100</f>
        <v/>
      </c>
      <c r="CA470" s="56">
        <f>($AH470-$AH471)*100</f>
        <v/>
      </c>
      <c r="CB470" s="56">
        <f>($AI470-$AI471)*100</f>
        <v/>
      </c>
      <c r="CC470" s="56">
        <f>($AJ470-$AJ471)*100</f>
        <v/>
      </c>
      <c r="CD470" s="56">
        <f>($AK470-$AK471)*100</f>
        <v/>
      </c>
      <c r="CE470" s="56">
        <f>($AL470-$AL471)*100</f>
        <v/>
      </c>
      <c r="CF470" s="56">
        <f>($AM470-$AM471)*100</f>
        <v/>
      </c>
      <c r="CG470" s="56">
        <f>($AN470-$AN471)*100</f>
        <v/>
      </c>
      <c r="CH470" s="56">
        <f>($AO470-$AO471)*100</f>
        <v/>
      </c>
      <c r="CI470" s="56">
        <f>($AP470-$AP471)*100</f>
        <v/>
      </c>
      <c r="CJ470" s="56">
        <f>($AQ470-$AQ471)*100</f>
        <v/>
      </c>
      <c r="CK470" s="56">
        <f>($AR470-$AR471)*100</f>
        <v/>
      </c>
      <c r="CL470" s="56">
        <f>($AS470-$AS471)*100</f>
        <v/>
      </c>
      <c r="CM470" s="56">
        <f>($AT470-$AT471)*100</f>
        <v/>
      </c>
      <c r="CN470" s="56">
        <f>($AU470-$AU471)*100</f>
        <v/>
      </c>
      <c r="CO470" s="56">
        <f>($AV470-$AV471)*100</f>
        <v/>
      </c>
      <c r="CP470" s="56">
        <f>($AW470-$AW471)*100</f>
        <v/>
      </c>
      <c r="CQ470" s="56">
        <f>($AX470-$AX471)*100</f>
        <v/>
      </c>
      <c r="CR470" s="56">
        <f>($AY470-$AY471)*100</f>
        <v/>
      </c>
      <c r="CS470" s="57">
        <f>IFERROR($L471/$L470-1,"")</f>
        <v/>
      </c>
      <c r="CT470" s="57">
        <f>IFERROR($M471/$M470-1,"")</f>
        <v/>
      </c>
      <c r="CU470" s="57">
        <f>IFERROR($N471/$N470-1,"")</f>
        <v/>
      </c>
      <c r="CV470" s="57">
        <f>IFERROR($O471/$O470-1,"")</f>
        <v/>
      </c>
      <c r="CW470" s="57">
        <f>IFERROR($P471/$P470-1,"")</f>
        <v/>
      </c>
      <c r="CX470" s="57">
        <f>IFERROR($Q471/$Q470-1,"")</f>
        <v/>
      </c>
      <c r="CY470" s="57">
        <f>IFERROR($R471/$R470-1,"")</f>
        <v/>
      </c>
      <c r="CZ470" s="57">
        <f>IFERROR($S471/$S470-1,"")</f>
        <v/>
      </c>
      <c r="DA470" s="57">
        <f>IFERROR($T471/$T470-1,"")</f>
        <v/>
      </c>
      <c r="DB470" s="57">
        <f>IFERROR($U471/$U470-1,"")</f>
        <v/>
      </c>
      <c r="DC470" s="57">
        <f>IFERROR($V471/$V470-1,"")</f>
        <v/>
      </c>
      <c r="DD470" s="57">
        <f>IFERROR($W471/$W470-1,"")</f>
        <v/>
      </c>
      <c r="DE470" s="57">
        <f>IFERROR($X471/$X470-1,"")</f>
        <v/>
      </c>
      <c r="DF470" s="57">
        <f>IFERROR($Y471/$Y470-1,"")</f>
        <v/>
      </c>
      <c r="DG470" s="57">
        <f>IFERROR($Z471/$Z470-1,"")</f>
        <v/>
      </c>
      <c r="DH470" s="57">
        <f>IFERROR($AA471/$AA470-1,"")</f>
        <v/>
      </c>
      <c r="DI470" s="57">
        <f>IFERROR($AB471/$AB470-1,"")</f>
        <v/>
      </c>
      <c r="DJ470" s="57">
        <f>IFERROR($AC471/$AC470-1,"")</f>
        <v/>
      </c>
      <c r="DK470" s="57">
        <f>IFERROR($AD471/$AD470-1,"")</f>
        <v/>
      </c>
      <c r="DL470" s="57">
        <f>IFERROR($AE471/$AE470-1,"")</f>
        <v/>
      </c>
      <c r="DM470" s="56">
        <f>$AZ470-$AZ471</f>
        <v/>
      </c>
      <c r="DN470" s="56">
        <f>$BA470-$BA471</f>
        <v/>
      </c>
      <c r="DO470" s="56">
        <f>$BB470-$BB471</f>
        <v/>
      </c>
      <c r="DP470" s="56">
        <f>$BC470-$BC471</f>
        <v/>
      </c>
      <c r="DQ470" s="56">
        <f>$BD470-$BD471</f>
        <v/>
      </c>
      <c r="DR470" s="56">
        <f>$BE470-$BE471</f>
        <v/>
      </c>
      <c r="DS470" s="56">
        <f>$BF470-$BF471</f>
        <v/>
      </c>
      <c r="DT470" s="56">
        <f>$BG470-$BG471</f>
        <v/>
      </c>
      <c r="DU470" s="56">
        <f>$BH470-$BH471</f>
        <v/>
      </c>
      <c r="DV470" s="56">
        <f>$BI470-$BI471</f>
        <v/>
      </c>
      <c r="DW470" s="56">
        <f>$BJ470-$BJ471</f>
        <v/>
      </c>
      <c r="DX470" s="56">
        <f>$BK470-$BK471</f>
        <v/>
      </c>
      <c r="DY470" s="56">
        <f>$BL470-$BL471</f>
        <v/>
      </c>
      <c r="DZ470" s="56">
        <f>$BM470-$BM471</f>
        <v/>
      </c>
      <c r="EA470" s="56">
        <f>$BN470-$BN471</f>
        <v/>
      </c>
      <c r="EB470" s="56">
        <f>$BO470-$BO471</f>
        <v/>
      </c>
      <c r="EC470" s="56">
        <f>$BP470-$BP471</f>
        <v/>
      </c>
      <c r="ED470" s="56">
        <f>$BQ470-$BQ471</f>
        <v/>
      </c>
      <c r="EE470" s="56">
        <f>$BR470-$BR471</f>
        <v/>
      </c>
      <c r="EF470" s="56">
        <f>$BS470-$BS471</f>
        <v/>
      </c>
      <c r="EG470" s="56">
        <f>$BT470-$BT471</f>
        <v/>
      </c>
      <c r="EH470" s="56">
        <f>$BU470-$BU471</f>
        <v/>
      </c>
    </row>
    <row r="471">
      <c r="BV471" s="56">
        <f>($D471-$D472)*100</f>
        <v/>
      </c>
      <c r="BW471" s="56">
        <f>($C471-$C472)*100</f>
        <v/>
      </c>
      <c r="BX471" s="57">
        <f>IFERROR($I471/$I472-1,"")</f>
        <v/>
      </c>
      <c r="BY471" s="56">
        <f>($AF471-$AF472)*100</f>
        <v/>
      </c>
      <c r="BZ471" s="56">
        <f>($AG471-$AG472)*100</f>
        <v/>
      </c>
      <c r="CA471" s="56">
        <f>($AH471-$AH472)*100</f>
        <v/>
      </c>
      <c r="CB471" s="56">
        <f>($AI471-$AI472)*100</f>
        <v/>
      </c>
      <c r="CC471" s="56">
        <f>($AJ471-$AJ472)*100</f>
        <v/>
      </c>
      <c r="CD471" s="56">
        <f>($AK471-$AK472)*100</f>
        <v/>
      </c>
      <c r="CE471" s="56">
        <f>($AL471-$AL472)*100</f>
        <v/>
      </c>
      <c r="CF471" s="56">
        <f>($AM471-$AM472)*100</f>
        <v/>
      </c>
      <c r="CG471" s="56">
        <f>($AN471-$AN472)*100</f>
        <v/>
      </c>
      <c r="CH471" s="56">
        <f>($AO471-$AO472)*100</f>
        <v/>
      </c>
      <c r="CI471" s="56">
        <f>($AP471-$AP472)*100</f>
        <v/>
      </c>
      <c r="CJ471" s="56">
        <f>($AQ471-$AQ472)*100</f>
        <v/>
      </c>
      <c r="CK471" s="56">
        <f>($AR471-$AR472)*100</f>
        <v/>
      </c>
      <c r="CL471" s="56">
        <f>($AS471-$AS472)*100</f>
        <v/>
      </c>
      <c r="CM471" s="56">
        <f>($AT471-$AT472)*100</f>
        <v/>
      </c>
      <c r="CN471" s="56">
        <f>($AU471-$AU472)*100</f>
        <v/>
      </c>
      <c r="CO471" s="56">
        <f>($AV471-$AV472)*100</f>
        <v/>
      </c>
      <c r="CP471" s="56">
        <f>($AW471-$AW472)*100</f>
        <v/>
      </c>
      <c r="CQ471" s="56">
        <f>($AX471-$AX472)*100</f>
        <v/>
      </c>
      <c r="CR471" s="56">
        <f>($AY471-$AY472)*100</f>
        <v/>
      </c>
      <c r="CS471" s="57">
        <f>IFERROR($L472/$L471-1,"")</f>
        <v/>
      </c>
      <c r="CT471" s="57">
        <f>IFERROR($M472/$M471-1,"")</f>
        <v/>
      </c>
      <c r="CU471" s="57">
        <f>IFERROR($N472/$N471-1,"")</f>
        <v/>
      </c>
      <c r="CV471" s="57">
        <f>IFERROR($O472/$O471-1,"")</f>
        <v/>
      </c>
      <c r="CW471" s="57">
        <f>IFERROR($P472/$P471-1,"")</f>
        <v/>
      </c>
      <c r="CX471" s="57">
        <f>IFERROR($Q472/$Q471-1,"")</f>
        <v/>
      </c>
      <c r="CY471" s="57">
        <f>IFERROR($R472/$R471-1,"")</f>
        <v/>
      </c>
      <c r="CZ471" s="57">
        <f>IFERROR($S472/$S471-1,"")</f>
        <v/>
      </c>
      <c r="DA471" s="57">
        <f>IFERROR($T472/$T471-1,"")</f>
        <v/>
      </c>
      <c r="DB471" s="57">
        <f>IFERROR($U472/$U471-1,"")</f>
        <v/>
      </c>
      <c r="DC471" s="57">
        <f>IFERROR($V472/$V471-1,"")</f>
        <v/>
      </c>
      <c r="DD471" s="57">
        <f>IFERROR($W472/$W471-1,"")</f>
        <v/>
      </c>
      <c r="DE471" s="57">
        <f>IFERROR($X472/$X471-1,"")</f>
        <v/>
      </c>
      <c r="DF471" s="57">
        <f>IFERROR($Y472/$Y471-1,"")</f>
        <v/>
      </c>
      <c r="DG471" s="57">
        <f>IFERROR($Z472/$Z471-1,"")</f>
        <v/>
      </c>
      <c r="DH471" s="57">
        <f>IFERROR($AA472/$AA471-1,"")</f>
        <v/>
      </c>
      <c r="DI471" s="57">
        <f>IFERROR($AB472/$AB471-1,"")</f>
        <v/>
      </c>
      <c r="DJ471" s="57">
        <f>IFERROR($AC472/$AC471-1,"")</f>
        <v/>
      </c>
      <c r="DK471" s="57">
        <f>IFERROR($AD472/$AD471-1,"")</f>
        <v/>
      </c>
      <c r="DL471" s="57">
        <f>IFERROR($AE472/$AE471-1,"")</f>
        <v/>
      </c>
      <c r="DM471" s="56">
        <f>$AZ471-$AZ472</f>
        <v/>
      </c>
      <c r="DN471" s="56">
        <f>$BA471-$BA472</f>
        <v/>
      </c>
      <c r="DO471" s="56">
        <f>$BB471-$BB472</f>
        <v/>
      </c>
      <c r="DP471" s="56">
        <f>$BC471-$BC472</f>
        <v/>
      </c>
      <c r="DQ471" s="56">
        <f>$BD471-$BD472</f>
        <v/>
      </c>
      <c r="DR471" s="56">
        <f>$BE471-$BE472</f>
        <v/>
      </c>
      <c r="DS471" s="56">
        <f>$BF471-$BF472</f>
        <v/>
      </c>
      <c r="DT471" s="56">
        <f>$BG471-$BG472</f>
        <v/>
      </c>
      <c r="DU471" s="56">
        <f>$BH471-$BH472</f>
        <v/>
      </c>
      <c r="DV471" s="56">
        <f>$BI471-$BI472</f>
        <v/>
      </c>
      <c r="DW471" s="56">
        <f>$BJ471-$BJ472</f>
        <v/>
      </c>
      <c r="DX471" s="56">
        <f>$BK471-$BK472</f>
        <v/>
      </c>
      <c r="DY471" s="56">
        <f>$BL471-$BL472</f>
        <v/>
      </c>
      <c r="DZ471" s="56">
        <f>$BM471-$BM472</f>
        <v/>
      </c>
      <c r="EA471" s="56">
        <f>$BN471-$BN472</f>
        <v/>
      </c>
      <c r="EB471" s="56">
        <f>$BO471-$BO472</f>
        <v/>
      </c>
      <c r="EC471" s="56">
        <f>$BP471-$BP472</f>
        <v/>
      </c>
      <c r="ED471" s="56">
        <f>$BQ471-$BQ472</f>
        <v/>
      </c>
      <c r="EE471" s="56">
        <f>$BR471-$BR472</f>
        <v/>
      </c>
      <c r="EF471" s="56">
        <f>$BS471-$BS472</f>
        <v/>
      </c>
      <c r="EG471" s="56">
        <f>$BT471-$BT472</f>
        <v/>
      </c>
      <c r="EH471" s="56">
        <f>$BU471-$BU472</f>
        <v/>
      </c>
    </row>
    <row r="472">
      <c r="BV472" s="56">
        <f>($D472-$D473)*100</f>
        <v/>
      </c>
      <c r="BW472" s="56">
        <f>($C472-$C473)*100</f>
        <v/>
      </c>
      <c r="BX472" s="57">
        <f>IFERROR($I472/$I473-1,"")</f>
        <v/>
      </c>
      <c r="BY472" s="56">
        <f>($AF472-$AF473)*100</f>
        <v/>
      </c>
      <c r="BZ472" s="56">
        <f>($AG472-$AG473)*100</f>
        <v/>
      </c>
      <c r="CA472" s="56">
        <f>($AH472-$AH473)*100</f>
        <v/>
      </c>
      <c r="CB472" s="56">
        <f>($AI472-$AI473)*100</f>
        <v/>
      </c>
      <c r="CC472" s="56">
        <f>($AJ472-$AJ473)*100</f>
        <v/>
      </c>
      <c r="CD472" s="56">
        <f>($AK472-$AK473)*100</f>
        <v/>
      </c>
      <c r="CE472" s="56">
        <f>($AL472-$AL473)*100</f>
        <v/>
      </c>
      <c r="CF472" s="56">
        <f>($AM472-$AM473)*100</f>
        <v/>
      </c>
      <c r="CG472" s="56">
        <f>($AN472-$AN473)*100</f>
        <v/>
      </c>
      <c r="CH472" s="56">
        <f>($AO472-$AO473)*100</f>
        <v/>
      </c>
      <c r="CI472" s="56">
        <f>($AP472-$AP473)*100</f>
        <v/>
      </c>
      <c r="CJ472" s="56">
        <f>($AQ472-$AQ473)*100</f>
        <v/>
      </c>
      <c r="CK472" s="56">
        <f>($AR472-$AR473)*100</f>
        <v/>
      </c>
      <c r="CL472" s="56">
        <f>($AS472-$AS473)*100</f>
        <v/>
      </c>
      <c r="CM472" s="56">
        <f>($AT472-$AT473)*100</f>
        <v/>
      </c>
      <c r="CN472" s="56">
        <f>($AU472-$AU473)*100</f>
        <v/>
      </c>
      <c r="CO472" s="56">
        <f>($AV472-$AV473)*100</f>
        <v/>
      </c>
      <c r="CP472" s="56">
        <f>($AW472-$AW473)*100</f>
        <v/>
      </c>
      <c r="CQ472" s="56">
        <f>($AX472-$AX473)*100</f>
        <v/>
      </c>
      <c r="CR472" s="56">
        <f>($AY472-$AY473)*100</f>
        <v/>
      </c>
      <c r="CS472" s="57">
        <f>IFERROR($L473/$L472-1,"")</f>
        <v/>
      </c>
      <c r="CT472" s="57">
        <f>IFERROR($M473/$M472-1,"")</f>
        <v/>
      </c>
      <c r="CU472" s="57">
        <f>IFERROR($N473/$N472-1,"")</f>
        <v/>
      </c>
      <c r="CV472" s="57">
        <f>IFERROR($O473/$O472-1,"")</f>
        <v/>
      </c>
      <c r="CW472" s="57">
        <f>IFERROR($P473/$P472-1,"")</f>
        <v/>
      </c>
      <c r="CX472" s="57">
        <f>IFERROR($Q473/$Q472-1,"")</f>
        <v/>
      </c>
      <c r="CY472" s="57">
        <f>IFERROR($R473/$R472-1,"")</f>
        <v/>
      </c>
      <c r="CZ472" s="57">
        <f>IFERROR($S473/$S472-1,"")</f>
        <v/>
      </c>
      <c r="DA472" s="57">
        <f>IFERROR($T473/$T472-1,"")</f>
        <v/>
      </c>
      <c r="DB472" s="57">
        <f>IFERROR($U473/$U472-1,"")</f>
        <v/>
      </c>
      <c r="DC472" s="57">
        <f>IFERROR($V473/$V472-1,"")</f>
        <v/>
      </c>
      <c r="DD472" s="57">
        <f>IFERROR($W473/$W472-1,"")</f>
        <v/>
      </c>
      <c r="DE472" s="57">
        <f>IFERROR($X473/$X472-1,"")</f>
        <v/>
      </c>
      <c r="DF472" s="57">
        <f>IFERROR($Y473/$Y472-1,"")</f>
        <v/>
      </c>
      <c r="DG472" s="57">
        <f>IFERROR($Z473/$Z472-1,"")</f>
        <v/>
      </c>
      <c r="DH472" s="57">
        <f>IFERROR($AA473/$AA472-1,"")</f>
        <v/>
      </c>
      <c r="DI472" s="57">
        <f>IFERROR($AB473/$AB472-1,"")</f>
        <v/>
      </c>
      <c r="DJ472" s="57">
        <f>IFERROR($AC473/$AC472-1,"")</f>
        <v/>
      </c>
      <c r="DK472" s="57">
        <f>IFERROR($AD473/$AD472-1,"")</f>
        <v/>
      </c>
      <c r="DL472" s="57">
        <f>IFERROR($AE473/$AE472-1,"")</f>
        <v/>
      </c>
      <c r="DM472" s="56">
        <f>$AZ472-$AZ473</f>
        <v/>
      </c>
      <c r="DN472" s="56">
        <f>$BA472-$BA473</f>
        <v/>
      </c>
      <c r="DO472" s="56">
        <f>$BB472-$BB473</f>
        <v/>
      </c>
      <c r="DP472" s="56">
        <f>$BC472-$BC473</f>
        <v/>
      </c>
      <c r="DQ472" s="56">
        <f>$BD472-$BD473</f>
        <v/>
      </c>
      <c r="DR472" s="56">
        <f>$BE472-$BE473</f>
        <v/>
      </c>
      <c r="DS472" s="56">
        <f>$BF472-$BF473</f>
        <v/>
      </c>
      <c r="DT472" s="56">
        <f>$BG472-$BG473</f>
        <v/>
      </c>
      <c r="DU472" s="56">
        <f>$BH472-$BH473</f>
        <v/>
      </c>
      <c r="DV472" s="56">
        <f>$BI472-$BI473</f>
        <v/>
      </c>
      <c r="DW472" s="56">
        <f>$BJ472-$BJ473</f>
        <v/>
      </c>
      <c r="DX472" s="56">
        <f>$BK472-$BK473</f>
        <v/>
      </c>
      <c r="DY472" s="56">
        <f>$BL472-$BL473</f>
        <v/>
      </c>
      <c r="DZ472" s="56">
        <f>$BM472-$BM473</f>
        <v/>
      </c>
      <c r="EA472" s="56">
        <f>$BN472-$BN473</f>
        <v/>
      </c>
      <c r="EB472" s="56">
        <f>$BO472-$BO473</f>
        <v/>
      </c>
      <c r="EC472" s="56">
        <f>$BP472-$BP473</f>
        <v/>
      </c>
      <c r="ED472" s="56">
        <f>$BQ472-$BQ473</f>
        <v/>
      </c>
      <c r="EE472" s="56">
        <f>$BR472-$BR473</f>
        <v/>
      </c>
      <c r="EF472" s="56">
        <f>$BS472-$BS473</f>
        <v/>
      </c>
      <c r="EG472" s="56">
        <f>$BT472-$BT473</f>
        <v/>
      </c>
      <c r="EH472" s="56">
        <f>$BU472-$BU473</f>
        <v/>
      </c>
    </row>
    <row r="473">
      <c r="BV473" s="56">
        <f>($D473-$D474)*100</f>
        <v/>
      </c>
      <c r="BW473" s="56">
        <f>($C473-$C474)*100</f>
        <v/>
      </c>
      <c r="BX473" s="57">
        <f>IFERROR($I473/$I474-1,"")</f>
        <v/>
      </c>
      <c r="BY473" s="56">
        <f>($AF473-$AF474)*100</f>
        <v/>
      </c>
      <c r="BZ473" s="56">
        <f>($AG473-$AG474)*100</f>
        <v/>
      </c>
      <c r="CA473" s="56">
        <f>($AH473-$AH474)*100</f>
        <v/>
      </c>
      <c r="CB473" s="56">
        <f>($AI473-$AI474)*100</f>
        <v/>
      </c>
      <c r="CC473" s="56">
        <f>($AJ473-$AJ474)*100</f>
        <v/>
      </c>
      <c r="CD473" s="56">
        <f>($AK473-$AK474)*100</f>
        <v/>
      </c>
      <c r="CE473" s="56">
        <f>($AL473-$AL474)*100</f>
        <v/>
      </c>
      <c r="CF473" s="56">
        <f>($AM473-$AM474)*100</f>
        <v/>
      </c>
      <c r="CG473" s="56">
        <f>($AN473-$AN474)*100</f>
        <v/>
      </c>
      <c r="CH473" s="56">
        <f>($AO473-$AO474)*100</f>
        <v/>
      </c>
      <c r="CI473" s="56">
        <f>($AP473-$AP474)*100</f>
        <v/>
      </c>
      <c r="CJ473" s="56">
        <f>($AQ473-$AQ474)*100</f>
        <v/>
      </c>
      <c r="CK473" s="56">
        <f>($AR473-$AR474)*100</f>
        <v/>
      </c>
      <c r="CL473" s="56">
        <f>($AS473-$AS474)*100</f>
        <v/>
      </c>
      <c r="CM473" s="56">
        <f>($AT473-$AT474)*100</f>
        <v/>
      </c>
      <c r="CN473" s="56">
        <f>($AU473-$AU474)*100</f>
        <v/>
      </c>
      <c r="CO473" s="56">
        <f>($AV473-$AV474)*100</f>
        <v/>
      </c>
      <c r="CP473" s="56">
        <f>($AW473-$AW474)*100</f>
        <v/>
      </c>
      <c r="CQ473" s="56">
        <f>($AX473-$AX474)*100</f>
        <v/>
      </c>
      <c r="CR473" s="56">
        <f>($AY473-$AY474)*100</f>
        <v/>
      </c>
      <c r="CS473" s="57">
        <f>IFERROR($L474/$L473-1,"")</f>
        <v/>
      </c>
      <c r="CT473" s="57">
        <f>IFERROR($M474/$M473-1,"")</f>
        <v/>
      </c>
      <c r="CU473" s="57">
        <f>IFERROR($N474/$N473-1,"")</f>
        <v/>
      </c>
      <c r="CV473" s="57">
        <f>IFERROR($O474/$O473-1,"")</f>
        <v/>
      </c>
      <c r="CW473" s="57">
        <f>IFERROR($P474/$P473-1,"")</f>
        <v/>
      </c>
      <c r="CX473" s="57">
        <f>IFERROR($Q474/$Q473-1,"")</f>
        <v/>
      </c>
      <c r="CY473" s="57">
        <f>IFERROR($R474/$R473-1,"")</f>
        <v/>
      </c>
      <c r="CZ473" s="57">
        <f>IFERROR($S474/$S473-1,"")</f>
        <v/>
      </c>
      <c r="DA473" s="57">
        <f>IFERROR($T474/$T473-1,"")</f>
        <v/>
      </c>
      <c r="DB473" s="57">
        <f>IFERROR($U474/$U473-1,"")</f>
        <v/>
      </c>
      <c r="DC473" s="57">
        <f>IFERROR($V474/$V473-1,"")</f>
        <v/>
      </c>
      <c r="DD473" s="57">
        <f>IFERROR($W474/$W473-1,"")</f>
        <v/>
      </c>
      <c r="DE473" s="57">
        <f>IFERROR($X474/$X473-1,"")</f>
        <v/>
      </c>
      <c r="DF473" s="57">
        <f>IFERROR($Y474/$Y473-1,"")</f>
        <v/>
      </c>
      <c r="DG473" s="57">
        <f>IFERROR($Z474/$Z473-1,"")</f>
        <v/>
      </c>
      <c r="DH473" s="57">
        <f>IFERROR($AA474/$AA473-1,"")</f>
        <v/>
      </c>
      <c r="DI473" s="57">
        <f>IFERROR($AB474/$AB473-1,"")</f>
        <v/>
      </c>
      <c r="DJ473" s="57">
        <f>IFERROR($AC474/$AC473-1,"")</f>
        <v/>
      </c>
      <c r="DK473" s="57">
        <f>IFERROR($AD474/$AD473-1,"")</f>
        <v/>
      </c>
      <c r="DL473" s="57">
        <f>IFERROR($AE474/$AE473-1,"")</f>
        <v/>
      </c>
      <c r="DM473" s="56">
        <f>$AZ473-$AZ474</f>
        <v/>
      </c>
      <c r="DN473" s="56">
        <f>$BA473-$BA474</f>
        <v/>
      </c>
      <c r="DO473" s="56">
        <f>$BB473-$BB474</f>
        <v/>
      </c>
      <c r="DP473" s="56">
        <f>$BC473-$BC474</f>
        <v/>
      </c>
      <c r="DQ473" s="56">
        <f>$BD473-$BD474</f>
        <v/>
      </c>
      <c r="DR473" s="56">
        <f>$BE473-$BE474</f>
        <v/>
      </c>
      <c r="DS473" s="56">
        <f>$BF473-$BF474</f>
        <v/>
      </c>
      <c r="DT473" s="56">
        <f>$BG473-$BG474</f>
        <v/>
      </c>
      <c r="DU473" s="56">
        <f>$BH473-$BH474</f>
        <v/>
      </c>
      <c r="DV473" s="56">
        <f>$BI473-$BI474</f>
        <v/>
      </c>
      <c r="DW473" s="56">
        <f>$BJ473-$BJ474</f>
        <v/>
      </c>
      <c r="DX473" s="56">
        <f>$BK473-$BK474</f>
        <v/>
      </c>
      <c r="DY473" s="56">
        <f>$BL473-$BL474</f>
        <v/>
      </c>
      <c r="DZ473" s="56">
        <f>$BM473-$BM474</f>
        <v/>
      </c>
      <c r="EA473" s="56">
        <f>$BN473-$BN474</f>
        <v/>
      </c>
      <c r="EB473" s="56">
        <f>$BO473-$BO474</f>
        <v/>
      </c>
      <c r="EC473" s="56">
        <f>$BP473-$BP474</f>
        <v/>
      </c>
      <c r="ED473" s="56">
        <f>$BQ473-$BQ474</f>
        <v/>
      </c>
      <c r="EE473" s="56">
        <f>$BR473-$BR474</f>
        <v/>
      </c>
      <c r="EF473" s="56">
        <f>$BS473-$BS474</f>
        <v/>
      </c>
      <c r="EG473" s="56">
        <f>$BT473-$BT474</f>
        <v/>
      </c>
      <c r="EH473" s="56">
        <f>$BU473-$BU474</f>
        <v/>
      </c>
    </row>
    <row r="474">
      <c r="BV474" s="56">
        <f>($D474-$D475)*100</f>
        <v/>
      </c>
      <c r="BW474" s="56">
        <f>($C474-$C475)*100</f>
        <v/>
      </c>
      <c r="BX474" s="57">
        <f>IFERROR($I474/$I475-1,"")</f>
        <v/>
      </c>
      <c r="BY474" s="56">
        <f>($AF474-$AF475)*100</f>
        <v/>
      </c>
      <c r="BZ474" s="56">
        <f>($AG474-$AG475)*100</f>
        <v/>
      </c>
      <c r="CA474" s="56">
        <f>($AH474-$AH475)*100</f>
        <v/>
      </c>
      <c r="CB474" s="56">
        <f>($AI474-$AI475)*100</f>
        <v/>
      </c>
      <c r="CC474" s="56">
        <f>($AJ474-$AJ475)*100</f>
        <v/>
      </c>
      <c r="CD474" s="56">
        <f>($AK474-$AK475)*100</f>
        <v/>
      </c>
      <c r="CE474" s="56">
        <f>($AL474-$AL475)*100</f>
        <v/>
      </c>
      <c r="CF474" s="56">
        <f>($AM474-$AM475)*100</f>
        <v/>
      </c>
      <c r="CG474" s="56">
        <f>($AN474-$AN475)*100</f>
        <v/>
      </c>
      <c r="CH474" s="56">
        <f>($AO474-$AO475)*100</f>
        <v/>
      </c>
      <c r="CI474" s="56">
        <f>($AP474-$AP475)*100</f>
        <v/>
      </c>
      <c r="CJ474" s="56">
        <f>($AQ474-$AQ475)*100</f>
        <v/>
      </c>
      <c r="CK474" s="56">
        <f>($AR474-$AR475)*100</f>
        <v/>
      </c>
      <c r="CL474" s="56">
        <f>($AS474-$AS475)*100</f>
        <v/>
      </c>
      <c r="CM474" s="56">
        <f>($AT474-$AT475)*100</f>
        <v/>
      </c>
      <c r="CN474" s="56">
        <f>($AU474-$AU475)*100</f>
        <v/>
      </c>
      <c r="CO474" s="56">
        <f>($AV474-$AV475)*100</f>
        <v/>
      </c>
      <c r="CP474" s="56">
        <f>($AW474-$AW475)*100</f>
        <v/>
      </c>
      <c r="CQ474" s="56">
        <f>($AX474-$AX475)*100</f>
        <v/>
      </c>
      <c r="CR474" s="56">
        <f>($AY474-$AY475)*100</f>
        <v/>
      </c>
      <c r="CS474" s="57">
        <f>IFERROR($L475/$L474-1,"")</f>
        <v/>
      </c>
      <c r="CT474" s="57">
        <f>IFERROR($M475/$M474-1,"")</f>
        <v/>
      </c>
      <c r="CU474" s="57">
        <f>IFERROR($N475/$N474-1,"")</f>
        <v/>
      </c>
      <c r="CV474" s="57">
        <f>IFERROR($O475/$O474-1,"")</f>
        <v/>
      </c>
      <c r="CW474" s="57">
        <f>IFERROR($P475/$P474-1,"")</f>
        <v/>
      </c>
      <c r="CX474" s="57">
        <f>IFERROR($Q475/$Q474-1,"")</f>
        <v/>
      </c>
      <c r="CY474" s="57">
        <f>IFERROR($R475/$R474-1,"")</f>
        <v/>
      </c>
      <c r="CZ474" s="57">
        <f>IFERROR($S475/$S474-1,"")</f>
        <v/>
      </c>
      <c r="DA474" s="57">
        <f>IFERROR($T475/$T474-1,"")</f>
        <v/>
      </c>
      <c r="DB474" s="57">
        <f>IFERROR($U475/$U474-1,"")</f>
        <v/>
      </c>
      <c r="DC474" s="57">
        <f>IFERROR($V475/$V474-1,"")</f>
        <v/>
      </c>
      <c r="DD474" s="57">
        <f>IFERROR($W475/$W474-1,"")</f>
        <v/>
      </c>
      <c r="DE474" s="57">
        <f>IFERROR($X475/$X474-1,"")</f>
        <v/>
      </c>
      <c r="DF474" s="57">
        <f>IFERROR($Y475/$Y474-1,"")</f>
        <v/>
      </c>
      <c r="DG474" s="57">
        <f>IFERROR($Z475/$Z474-1,"")</f>
        <v/>
      </c>
      <c r="DH474" s="57">
        <f>IFERROR($AA475/$AA474-1,"")</f>
        <v/>
      </c>
      <c r="DI474" s="57">
        <f>IFERROR($AB475/$AB474-1,"")</f>
        <v/>
      </c>
      <c r="DJ474" s="57">
        <f>IFERROR($AC475/$AC474-1,"")</f>
        <v/>
      </c>
      <c r="DK474" s="57">
        <f>IFERROR($AD475/$AD474-1,"")</f>
        <v/>
      </c>
      <c r="DL474" s="57">
        <f>IFERROR($AE475/$AE474-1,"")</f>
        <v/>
      </c>
      <c r="DM474" s="56">
        <f>$AZ474-$AZ475</f>
        <v/>
      </c>
      <c r="DN474" s="56">
        <f>$BA474-$BA475</f>
        <v/>
      </c>
      <c r="DO474" s="56">
        <f>$BB474-$BB475</f>
        <v/>
      </c>
      <c r="DP474" s="56">
        <f>$BC474-$BC475</f>
        <v/>
      </c>
      <c r="DQ474" s="56">
        <f>$BD474-$BD475</f>
        <v/>
      </c>
      <c r="DR474" s="56">
        <f>$BE474-$BE475</f>
        <v/>
      </c>
      <c r="DS474" s="56">
        <f>$BF474-$BF475</f>
        <v/>
      </c>
      <c r="DT474" s="56">
        <f>$BG474-$BG475</f>
        <v/>
      </c>
      <c r="DU474" s="56">
        <f>$BH474-$BH475</f>
        <v/>
      </c>
      <c r="DV474" s="56">
        <f>$BI474-$BI475</f>
        <v/>
      </c>
      <c r="DW474" s="56">
        <f>$BJ474-$BJ475</f>
        <v/>
      </c>
      <c r="DX474" s="56">
        <f>$BK474-$BK475</f>
        <v/>
      </c>
      <c r="DY474" s="56">
        <f>$BL474-$BL475</f>
        <v/>
      </c>
      <c r="DZ474" s="56">
        <f>$BM474-$BM475</f>
        <v/>
      </c>
      <c r="EA474" s="56">
        <f>$BN474-$BN475</f>
        <v/>
      </c>
      <c r="EB474" s="56">
        <f>$BO474-$BO475</f>
        <v/>
      </c>
      <c r="EC474" s="56">
        <f>$BP474-$BP475</f>
        <v/>
      </c>
      <c r="ED474" s="56">
        <f>$BQ474-$BQ475</f>
        <v/>
      </c>
      <c r="EE474" s="56">
        <f>$BR474-$BR475</f>
        <v/>
      </c>
      <c r="EF474" s="56">
        <f>$BS474-$BS475</f>
        <v/>
      </c>
      <c r="EG474" s="56">
        <f>$BT474-$BT475</f>
        <v/>
      </c>
      <c r="EH474" s="56">
        <f>$BU474-$BU475</f>
        <v/>
      </c>
    </row>
    <row r="475">
      <c r="BV475" s="56">
        <f>($D475-$D476)*100</f>
        <v/>
      </c>
      <c r="BW475" s="56">
        <f>($C475-$C476)*100</f>
        <v/>
      </c>
      <c r="BX475" s="57">
        <f>IFERROR($I475/$I476-1,"")</f>
        <v/>
      </c>
      <c r="BY475" s="56">
        <f>($AF475-$AF476)*100</f>
        <v/>
      </c>
      <c r="BZ475" s="56">
        <f>($AG475-$AG476)*100</f>
        <v/>
      </c>
      <c r="CA475" s="56">
        <f>($AH475-$AH476)*100</f>
        <v/>
      </c>
      <c r="CB475" s="56">
        <f>($AI475-$AI476)*100</f>
        <v/>
      </c>
      <c r="CC475" s="56">
        <f>($AJ475-$AJ476)*100</f>
        <v/>
      </c>
      <c r="CD475" s="56">
        <f>($AK475-$AK476)*100</f>
        <v/>
      </c>
      <c r="CE475" s="56">
        <f>($AL475-$AL476)*100</f>
        <v/>
      </c>
      <c r="CF475" s="56">
        <f>($AM475-$AM476)*100</f>
        <v/>
      </c>
      <c r="CG475" s="56">
        <f>($AN475-$AN476)*100</f>
        <v/>
      </c>
      <c r="CH475" s="56">
        <f>($AO475-$AO476)*100</f>
        <v/>
      </c>
      <c r="CI475" s="56">
        <f>($AP475-$AP476)*100</f>
        <v/>
      </c>
      <c r="CJ475" s="56">
        <f>($AQ475-$AQ476)*100</f>
        <v/>
      </c>
      <c r="CK475" s="56">
        <f>($AR475-$AR476)*100</f>
        <v/>
      </c>
      <c r="CL475" s="56">
        <f>($AS475-$AS476)*100</f>
        <v/>
      </c>
      <c r="CM475" s="56">
        <f>($AT475-$AT476)*100</f>
        <v/>
      </c>
      <c r="CN475" s="56">
        <f>($AU475-$AU476)*100</f>
        <v/>
      </c>
      <c r="CO475" s="56">
        <f>($AV475-$AV476)*100</f>
        <v/>
      </c>
      <c r="CP475" s="56">
        <f>($AW475-$AW476)*100</f>
        <v/>
      </c>
      <c r="CQ475" s="56">
        <f>($AX475-$AX476)*100</f>
        <v/>
      </c>
      <c r="CR475" s="56">
        <f>($AY475-$AY476)*100</f>
        <v/>
      </c>
      <c r="CS475" s="57">
        <f>IFERROR($L476/$L475-1,"")</f>
        <v/>
      </c>
      <c r="CT475" s="57">
        <f>IFERROR($M476/$M475-1,"")</f>
        <v/>
      </c>
      <c r="CU475" s="57">
        <f>IFERROR($N476/$N475-1,"")</f>
        <v/>
      </c>
      <c r="CV475" s="57">
        <f>IFERROR($O476/$O475-1,"")</f>
        <v/>
      </c>
      <c r="CW475" s="57">
        <f>IFERROR($P476/$P475-1,"")</f>
        <v/>
      </c>
      <c r="CX475" s="57">
        <f>IFERROR($Q476/$Q475-1,"")</f>
        <v/>
      </c>
      <c r="CY475" s="57">
        <f>IFERROR($R476/$R475-1,"")</f>
        <v/>
      </c>
      <c r="CZ475" s="57">
        <f>IFERROR($S476/$S475-1,"")</f>
        <v/>
      </c>
      <c r="DA475" s="57">
        <f>IFERROR($T476/$T475-1,"")</f>
        <v/>
      </c>
      <c r="DB475" s="57">
        <f>IFERROR($U476/$U475-1,"")</f>
        <v/>
      </c>
      <c r="DC475" s="57">
        <f>IFERROR($V476/$V475-1,"")</f>
        <v/>
      </c>
      <c r="DD475" s="57">
        <f>IFERROR($W476/$W475-1,"")</f>
        <v/>
      </c>
      <c r="DE475" s="57">
        <f>IFERROR($X476/$X475-1,"")</f>
        <v/>
      </c>
      <c r="DF475" s="57">
        <f>IFERROR($Y476/$Y475-1,"")</f>
        <v/>
      </c>
      <c r="DG475" s="57">
        <f>IFERROR($Z476/$Z475-1,"")</f>
        <v/>
      </c>
      <c r="DH475" s="57">
        <f>IFERROR($AA476/$AA475-1,"")</f>
        <v/>
      </c>
      <c r="DI475" s="57">
        <f>IFERROR($AB476/$AB475-1,"")</f>
        <v/>
      </c>
      <c r="DJ475" s="57">
        <f>IFERROR($AC476/$AC475-1,"")</f>
        <v/>
      </c>
      <c r="DK475" s="57">
        <f>IFERROR($AD476/$AD475-1,"")</f>
        <v/>
      </c>
      <c r="DL475" s="57">
        <f>IFERROR($AE476/$AE475-1,"")</f>
        <v/>
      </c>
      <c r="DM475" s="56">
        <f>$AZ475-$AZ476</f>
        <v/>
      </c>
      <c r="DN475" s="56">
        <f>$BA475-$BA476</f>
        <v/>
      </c>
      <c r="DO475" s="56">
        <f>$BB475-$BB476</f>
        <v/>
      </c>
      <c r="DP475" s="56">
        <f>$BC475-$BC476</f>
        <v/>
      </c>
      <c r="DQ475" s="56">
        <f>$BD475-$BD476</f>
        <v/>
      </c>
      <c r="DR475" s="56">
        <f>$BE475-$BE476</f>
        <v/>
      </c>
      <c r="DS475" s="56">
        <f>$BF475-$BF476</f>
        <v/>
      </c>
      <c r="DT475" s="56">
        <f>$BG475-$BG476</f>
        <v/>
      </c>
      <c r="DU475" s="56">
        <f>$BH475-$BH476</f>
        <v/>
      </c>
      <c r="DV475" s="56">
        <f>$BI475-$BI476</f>
        <v/>
      </c>
      <c r="DW475" s="56">
        <f>$BJ475-$BJ476</f>
        <v/>
      </c>
      <c r="DX475" s="56">
        <f>$BK475-$BK476</f>
        <v/>
      </c>
      <c r="DY475" s="56">
        <f>$BL475-$BL476</f>
        <v/>
      </c>
      <c r="DZ475" s="56">
        <f>$BM475-$BM476</f>
        <v/>
      </c>
      <c r="EA475" s="56">
        <f>$BN475-$BN476</f>
        <v/>
      </c>
      <c r="EB475" s="56">
        <f>$BO475-$BO476</f>
        <v/>
      </c>
      <c r="EC475" s="56">
        <f>$BP475-$BP476</f>
        <v/>
      </c>
      <c r="ED475" s="56">
        <f>$BQ475-$BQ476</f>
        <v/>
      </c>
      <c r="EE475" s="56">
        <f>$BR475-$BR476</f>
        <v/>
      </c>
      <c r="EF475" s="56">
        <f>$BS475-$BS476</f>
        <v/>
      </c>
      <c r="EG475" s="56">
        <f>$BT475-$BT476</f>
        <v/>
      </c>
      <c r="EH475" s="56">
        <f>$BU475-$BU476</f>
        <v/>
      </c>
    </row>
    <row r="476">
      <c r="BV476" s="56">
        <f>($D476-$D477)*100</f>
        <v/>
      </c>
      <c r="BW476" s="56">
        <f>($C476-$C477)*100</f>
        <v/>
      </c>
      <c r="BX476" s="57">
        <f>IFERROR($I476/$I477-1,"")</f>
        <v/>
      </c>
      <c r="BY476" s="56">
        <f>($AF476-$AF477)*100</f>
        <v/>
      </c>
      <c r="BZ476" s="56">
        <f>($AG476-$AG477)*100</f>
        <v/>
      </c>
      <c r="CA476" s="56">
        <f>($AH476-$AH477)*100</f>
        <v/>
      </c>
      <c r="CB476" s="56">
        <f>($AI476-$AI477)*100</f>
        <v/>
      </c>
      <c r="CC476" s="56">
        <f>($AJ476-$AJ477)*100</f>
        <v/>
      </c>
      <c r="CD476" s="56">
        <f>($AK476-$AK477)*100</f>
        <v/>
      </c>
      <c r="CE476" s="56">
        <f>($AL476-$AL477)*100</f>
        <v/>
      </c>
      <c r="CF476" s="56">
        <f>($AM476-$AM477)*100</f>
        <v/>
      </c>
      <c r="CG476" s="56">
        <f>($AN476-$AN477)*100</f>
        <v/>
      </c>
      <c r="CH476" s="56">
        <f>($AO476-$AO477)*100</f>
        <v/>
      </c>
      <c r="CI476" s="56">
        <f>($AP476-$AP477)*100</f>
        <v/>
      </c>
      <c r="CJ476" s="56">
        <f>($AQ476-$AQ477)*100</f>
        <v/>
      </c>
      <c r="CK476" s="56">
        <f>($AR476-$AR477)*100</f>
        <v/>
      </c>
      <c r="CL476" s="56">
        <f>($AS476-$AS477)*100</f>
        <v/>
      </c>
      <c r="CM476" s="56">
        <f>($AT476-$AT477)*100</f>
        <v/>
      </c>
      <c r="CN476" s="56">
        <f>($AU476-$AU477)*100</f>
        <v/>
      </c>
      <c r="CO476" s="56">
        <f>($AV476-$AV477)*100</f>
        <v/>
      </c>
      <c r="CP476" s="56">
        <f>($AW476-$AW477)*100</f>
        <v/>
      </c>
      <c r="CQ476" s="56">
        <f>($AX476-$AX477)*100</f>
        <v/>
      </c>
      <c r="CR476" s="56">
        <f>($AY476-$AY477)*100</f>
        <v/>
      </c>
      <c r="CS476" s="57">
        <f>IFERROR($L477/$L476-1,"")</f>
        <v/>
      </c>
      <c r="CT476" s="57">
        <f>IFERROR($M477/$M476-1,"")</f>
        <v/>
      </c>
      <c r="CU476" s="57">
        <f>IFERROR($N477/$N476-1,"")</f>
        <v/>
      </c>
      <c r="CV476" s="57">
        <f>IFERROR($O477/$O476-1,"")</f>
        <v/>
      </c>
      <c r="CW476" s="57">
        <f>IFERROR($P477/$P476-1,"")</f>
        <v/>
      </c>
      <c r="CX476" s="57">
        <f>IFERROR($Q477/$Q476-1,"")</f>
        <v/>
      </c>
      <c r="CY476" s="57">
        <f>IFERROR($R477/$R476-1,"")</f>
        <v/>
      </c>
      <c r="CZ476" s="57">
        <f>IFERROR($S477/$S476-1,"")</f>
        <v/>
      </c>
      <c r="DA476" s="57">
        <f>IFERROR($T477/$T476-1,"")</f>
        <v/>
      </c>
      <c r="DB476" s="57">
        <f>IFERROR($U477/$U476-1,"")</f>
        <v/>
      </c>
      <c r="DC476" s="57">
        <f>IFERROR($V477/$V476-1,"")</f>
        <v/>
      </c>
      <c r="DD476" s="57">
        <f>IFERROR($W477/$W476-1,"")</f>
        <v/>
      </c>
      <c r="DE476" s="57">
        <f>IFERROR($X477/$X476-1,"")</f>
        <v/>
      </c>
      <c r="DF476" s="57">
        <f>IFERROR($Y477/$Y476-1,"")</f>
        <v/>
      </c>
      <c r="DG476" s="57">
        <f>IFERROR($Z477/$Z476-1,"")</f>
        <v/>
      </c>
      <c r="DH476" s="57">
        <f>IFERROR($AA477/$AA476-1,"")</f>
        <v/>
      </c>
      <c r="DI476" s="57">
        <f>IFERROR($AB477/$AB476-1,"")</f>
        <v/>
      </c>
      <c r="DJ476" s="57">
        <f>IFERROR($AC477/$AC476-1,"")</f>
        <v/>
      </c>
      <c r="DK476" s="57">
        <f>IFERROR($AD477/$AD476-1,"")</f>
        <v/>
      </c>
      <c r="DL476" s="57">
        <f>IFERROR($AE477/$AE476-1,"")</f>
        <v/>
      </c>
      <c r="DM476" s="56">
        <f>$AZ476-$AZ477</f>
        <v/>
      </c>
      <c r="DN476" s="56">
        <f>$BA476-$BA477</f>
        <v/>
      </c>
      <c r="DO476" s="56">
        <f>$BB476-$BB477</f>
        <v/>
      </c>
      <c r="DP476" s="56">
        <f>$BC476-$BC477</f>
        <v/>
      </c>
      <c r="DQ476" s="56">
        <f>$BD476-$BD477</f>
        <v/>
      </c>
      <c r="DR476" s="56">
        <f>$BE476-$BE477</f>
        <v/>
      </c>
      <c r="DS476" s="56">
        <f>$BF476-$BF477</f>
        <v/>
      </c>
      <c r="DT476" s="56">
        <f>$BG476-$BG477</f>
        <v/>
      </c>
      <c r="DU476" s="56">
        <f>$BH476-$BH477</f>
        <v/>
      </c>
      <c r="DV476" s="56">
        <f>$BI476-$BI477</f>
        <v/>
      </c>
      <c r="DW476" s="56">
        <f>$BJ476-$BJ477</f>
        <v/>
      </c>
      <c r="DX476" s="56">
        <f>$BK476-$BK477</f>
        <v/>
      </c>
      <c r="DY476" s="56">
        <f>$BL476-$BL477</f>
        <v/>
      </c>
      <c r="DZ476" s="56">
        <f>$BM476-$BM477</f>
        <v/>
      </c>
      <c r="EA476" s="56">
        <f>$BN476-$BN477</f>
        <v/>
      </c>
      <c r="EB476" s="56">
        <f>$BO476-$BO477</f>
        <v/>
      </c>
      <c r="EC476" s="56">
        <f>$BP476-$BP477</f>
        <v/>
      </c>
      <c r="ED476" s="56">
        <f>$BQ476-$BQ477</f>
        <v/>
      </c>
      <c r="EE476" s="56">
        <f>$BR476-$BR477</f>
        <v/>
      </c>
      <c r="EF476" s="56">
        <f>$BS476-$BS477</f>
        <v/>
      </c>
      <c r="EG476" s="56">
        <f>$BT476-$BT477</f>
        <v/>
      </c>
      <c r="EH476" s="56">
        <f>$BU476-$BU477</f>
        <v/>
      </c>
    </row>
    <row r="477">
      <c r="BV477" s="56">
        <f>($D477-$D478)*100</f>
        <v/>
      </c>
      <c r="BW477" s="56">
        <f>($C477-$C478)*100</f>
        <v/>
      </c>
      <c r="BX477" s="57">
        <f>IFERROR($I477/$I478-1,"")</f>
        <v/>
      </c>
      <c r="BY477" s="56">
        <f>($AF477-$AF478)*100</f>
        <v/>
      </c>
      <c r="BZ477" s="56">
        <f>($AG477-$AG478)*100</f>
        <v/>
      </c>
      <c r="CA477" s="56">
        <f>($AH477-$AH478)*100</f>
        <v/>
      </c>
      <c r="CB477" s="56">
        <f>($AI477-$AI478)*100</f>
        <v/>
      </c>
      <c r="CC477" s="56">
        <f>($AJ477-$AJ478)*100</f>
        <v/>
      </c>
      <c r="CD477" s="56">
        <f>($AK477-$AK478)*100</f>
        <v/>
      </c>
      <c r="CE477" s="56">
        <f>($AL477-$AL478)*100</f>
        <v/>
      </c>
      <c r="CF477" s="56">
        <f>($AM477-$AM478)*100</f>
        <v/>
      </c>
      <c r="CG477" s="56">
        <f>($AN477-$AN478)*100</f>
        <v/>
      </c>
      <c r="CH477" s="56">
        <f>($AO477-$AO478)*100</f>
        <v/>
      </c>
      <c r="CI477" s="56">
        <f>($AP477-$AP478)*100</f>
        <v/>
      </c>
      <c r="CJ477" s="56">
        <f>($AQ477-$AQ478)*100</f>
        <v/>
      </c>
      <c r="CK477" s="56">
        <f>($AR477-$AR478)*100</f>
        <v/>
      </c>
      <c r="CL477" s="56">
        <f>($AS477-$AS478)*100</f>
        <v/>
      </c>
      <c r="CM477" s="56">
        <f>($AT477-$AT478)*100</f>
        <v/>
      </c>
      <c r="CN477" s="56">
        <f>($AU477-$AU478)*100</f>
        <v/>
      </c>
      <c r="CO477" s="56">
        <f>($AV477-$AV478)*100</f>
        <v/>
      </c>
      <c r="CP477" s="56">
        <f>($AW477-$AW478)*100</f>
        <v/>
      </c>
      <c r="CQ477" s="56">
        <f>($AX477-$AX478)*100</f>
        <v/>
      </c>
      <c r="CR477" s="56">
        <f>($AY477-$AY478)*100</f>
        <v/>
      </c>
      <c r="CS477" s="57">
        <f>IFERROR($L478/$L477-1,"")</f>
        <v/>
      </c>
      <c r="CT477" s="57">
        <f>IFERROR($M478/$M477-1,"")</f>
        <v/>
      </c>
      <c r="CU477" s="57">
        <f>IFERROR($N478/$N477-1,"")</f>
        <v/>
      </c>
      <c r="CV477" s="57">
        <f>IFERROR($O478/$O477-1,"")</f>
        <v/>
      </c>
      <c r="CW477" s="57">
        <f>IFERROR($P478/$P477-1,"")</f>
        <v/>
      </c>
      <c r="CX477" s="57">
        <f>IFERROR($Q478/$Q477-1,"")</f>
        <v/>
      </c>
      <c r="CY477" s="57">
        <f>IFERROR($R478/$R477-1,"")</f>
        <v/>
      </c>
      <c r="CZ477" s="57">
        <f>IFERROR($S478/$S477-1,"")</f>
        <v/>
      </c>
      <c r="DA477" s="57">
        <f>IFERROR($T478/$T477-1,"")</f>
        <v/>
      </c>
      <c r="DB477" s="57">
        <f>IFERROR($U478/$U477-1,"")</f>
        <v/>
      </c>
      <c r="DC477" s="57">
        <f>IFERROR($V478/$V477-1,"")</f>
        <v/>
      </c>
      <c r="DD477" s="57">
        <f>IFERROR($W478/$W477-1,"")</f>
        <v/>
      </c>
      <c r="DE477" s="57">
        <f>IFERROR($X478/$X477-1,"")</f>
        <v/>
      </c>
      <c r="DF477" s="57">
        <f>IFERROR($Y478/$Y477-1,"")</f>
        <v/>
      </c>
      <c r="DG477" s="57">
        <f>IFERROR($Z478/$Z477-1,"")</f>
        <v/>
      </c>
      <c r="DH477" s="57">
        <f>IFERROR($AA478/$AA477-1,"")</f>
        <v/>
      </c>
      <c r="DI477" s="57">
        <f>IFERROR($AB478/$AB477-1,"")</f>
        <v/>
      </c>
      <c r="DJ477" s="57">
        <f>IFERROR($AC478/$AC477-1,"")</f>
        <v/>
      </c>
      <c r="DK477" s="57">
        <f>IFERROR($AD478/$AD477-1,"")</f>
        <v/>
      </c>
      <c r="DL477" s="57">
        <f>IFERROR($AE478/$AE477-1,"")</f>
        <v/>
      </c>
      <c r="DM477" s="56">
        <f>$AZ477-$AZ478</f>
        <v/>
      </c>
      <c r="DN477" s="56">
        <f>$BA477-$BA478</f>
        <v/>
      </c>
      <c r="DO477" s="56">
        <f>$BB477-$BB478</f>
        <v/>
      </c>
      <c r="DP477" s="56">
        <f>$BC477-$BC478</f>
        <v/>
      </c>
      <c r="DQ477" s="56">
        <f>$BD477-$BD478</f>
        <v/>
      </c>
      <c r="DR477" s="56">
        <f>$BE477-$BE478</f>
        <v/>
      </c>
      <c r="DS477" s="56">
        <f>$BF477-$BF478</f>
        <v/>
      </c>
      <c r="DT477" s="56">
        <f>$BG477-$BG478</f>
        <v/>
      </c>
      <c r="DU477" s="56">
        <f>$BH477-$BH478</f>
        <v/>
      </c>
      <c r="DV477" s="56">
        <f>$BI477-$BI478</f>
        <v/>
      </c>
      <c r="DW477" s="56">
        <f>$BJ477-$BJ478</f>
        <v/>
      </c>
      <c r="DX477" s="56">
        <f>$BK477-$BK478</f>
        <v/>
      </c>
      <c r="DY477" s="56">
        <f>$BL477-$BL478</f>
        <v/>
      </c>
      <c r="DZ477" s="56">
        <f>$BM477-$BM478</f>
        <v/>
      </c>
      <c r="EA477" s="56">
        <f>$BN477-$BN478</f>
        <v/>
      </c>
      <c r="EB477" s="56">
        <f>$BO477-$BO478</f>
        <v/>
      </c>
      <c r="EC477" s="56">
        <f>$BP477-$BP478</f>
        <v/>
      </c>
      <c r="ED477" s="56">
        <f>$BQ477-$BQ478</f>
        <v/>
      </c>
      <c r="EE477" s="56">
        <f>$BR477-$BR478</f>
        <v/>
      </c>
      <c r="EF477" s="56">
        <f>$BS477-$BS478</f>
        <v/>
      </c>
      <c r="EG477" s="56">
        <f>$BT477-$BT478</f>
        <v/>
      </c>
      <c r="EH477" s="56">
        <f>$BU477-$BU478</f>
        <v/>
      </c>
    </row>
    <row r="478">
      <c r="BV478" s="56">
        <f>($D478-$D479)*100</f>
        <v/>
      </c>
      <c r="BW478" s="56">
        <f>($C478-$C479)*100</f>
        <v/>
      </c>
      <c r="BX478" s="57">
        <f>IFERROR($I478/$I479-1,"")</f>
        <v/>
      </c>
      <c r="BY478" s="56">
        <f>($AF478-$AF479)*100</f>
        <v/>
      </c>
      <c r="BZ478" s="56">
        <f>($AG478-$AG479)*100</f>
        <v/>
      </c>
      <c r="CA478" s="56">
        <f>($AH478-$AH479)*100</f>
        <v/>
      </c>
      <c r="CB478" s="56">
        <f>($AI478-$AI479)*100</f>
        <v/>
      </c>
      <c r="CC478" s="56">
        <f>($AJ478-$AJ479)*100</f>
        <v/>
      </c>
      <c r="CD478" s="56">
        <f>($AK478-$AK479)*100</f>
        <v/>
      </c>
      <c r="CE478" s="56">
        <f>($AL478-$AL479)*100</f>
        <v/>
      </c>
      <c r="CF478" s="56">
        <f>($AM478-$AM479)*100</f>
        <v/>
      </c>
      <c r="CG478" s="56">
        <f>($AN478-$AN479)*100</f>
        <v/>
      </c>
      <c r="CH478" s="56">
        <f>($AO478-$AO479)*100</f>
        <v/>
      </c>
      <c r="CI478" s="56">
        <f>($AP478-$AP479)*100</f>
        <v/>
      </c>
      <c r="CJ478" s="56">
        <f>($AQ478-$AQ479)*100</f>
        <v/>
      </c>
      <c r="CK478" s="56">
        <f>($AR478-$AR479)*100</f>
        <v/>
      </c>
      <c r="CL478" s="56">
        <f>($AS478-$AS479)*100</f>
        <v/>
      </c>
      <c r="CM478" s="56">
        <f>($AT478-$AT479)*100</f>
        <v/>
      </c>
      <c r="CN478" s="56">
        <f>($AU478-$AU479)*100</f>
        <v/>
      </c>
      <c r="CO478" s="56">
        <f>($AV478-$AV479)*100</f>
        <v/>
      </c>
      <c r="CP478" s="56">
        <f>($AW478-$AW479)*100</f>
        <v/>
      </c>
      <c r="CQ478" s="56">
        <f>($AX478-$AX479)*100</f>
        <v/>
      </c>
      <c r="CR478" s="56">
        <f>($AY478-$AY479)*100</f>
        <v/>
      </c>
      <c r="CS478" s="57">
        <f>IFERROR($L479/$L478-1,"")</f>
        <v/>
      </c>
      <c r="CT478" s="57">
        <f>IFERROR($M479/$M478-1,"")</f>
        <v/>
      </c>
      <c r="CU478" s="57">
        <f>IFERROR($N479/$N478-1,"")</f>
        <v/>
      </c>
      <c r="CV478" s="57">
        <f>IFERROR($O479/$O478-1,"")</f>
        <v/>
      </c>
      <c r="CW478" s="57">
        <f>IFERROR($P479/$P478-1,"")</f>
        <v/>
      </c>
      <c r="CX478" s="57">
        <f>IFERROR($Q479/$Q478-1,"")</f>
        <v/>
      </c>
      <c r="CY478" s="57">
        <f>IFERROR($R479/$R478-1,"")</f>
        <v/>
      </c>
      <c r="CZ478" s="57">
        <f>IFERROR($S479/$S478-1,"")</f>
        <v/>
      </c>
      <c r="DA478" s="57">
        <f>IFERROR($T479/$T478-1,"")</f>
        <v/>
      </c>
      <c r="DB478" s="57">
        <f>IFERROR($U479/$U478-1,"")</f>
        <v/>
      </c>
      <c r="DC478" s="57">
        <f>IFERROR($V479/$V478-1,"")</f>
        <v/>
      </c>
      <c r="DD478" s="57">
        <f>IFERROR($W479/$W478-1,"")</f>
        <v/>
      </c>
      <c r="DE478" s="57">
        <f>IFERROR($X479/$X478-1,"")</f>
        <v/>
      </c>
      <c r="DF478" s="57">
        <f>IFERROR($Y479/$Y478-1,"")</f>
        <v/>
      </c>
      <c r="DG478" s="57">
        <f>IFERROR($Z479/$Z478-1,"")</f>
        <v/>
      </c>
      <c r="DH478" s="57">
        <f>IFERROR($AA479/$AA478-1,"")</f>
        <v/>
      </c>
      <c r="DI478" s="57">
        <f>IFERROR($AB479/$AB478-1,"")</f>
        <v/>
      </c>
      <c r="DJ478" s="57">
        <f>IFERROR($AC479/$AC478-1,"")</f>
        <v/>
      </c>
      <c r="DK478" s="57">
        <f>IFERROR($AD479/$AD478-1,"")</f>
        <v/>
      </c>
      <c r="DL478" s="57">
        <f>IFERROR($AE479/$AE478-1,"")</f>
        <v/>
      </c>
      <c r="DM478" s="56">
        <f>$AZ478-$AZ479</f>
        <v/>
      </c>
      <c r="DN478" s="56">
        <f>$BA478-$BA479</f>
        <v/>
      </c>
      <c r="DO478" s="56">
        <f>$BB478-$BB479</f>
        <v/>
      </c>
      <c r="DP478" s="56">
        <f>$BC478-$BC479</f>
        <v/>
      </c>
      <c r="DQ478" s="56">
        <f>$BD478-$BD479</f>
        <v/>
      </c>
      <c r="DR478" s="56">
        <f>$BE478-$BE479</f>
        <v/>
      </c>
      <c r="DS478" s="56">
        <f>$BF478-$BF479</f>
        <v/>
      </c>
      <c r="DT478" s="56">
        <f>$BG478-$BG479</f>
        <v/>
      </c>
      <c r="DU478" s="56">
        <f>$BH478-$BH479</f>
        <v/>
      </c>
      <c r="DV478" s="56">
        <f>$BI478-$BI479</f>
        <v/>
      </c>
      <c r="DW478" s="56">
        <f>$BJ478-$BJ479</f>
        <v/>
      </c>
      <c r="DX478" s="56">
        <f>$BK478-$BK479</f>
        <v/>
      </c>
      <c r="DY478" s="56">
        <f>$BL478-$BL479</f>
        <v/>
      </c>
      <c r="DZ478" s="56">
        <f>$BM478-$BM479</f>
        <v/>
      </c>
      <c r="EA478" s="56">
        <f>$BN478-$BN479</f>
        <v/>
      </c>
      <c r="EB478" s="56">
        <f>$BO478-$BO479</f>
        <v/>
      </c>
      <c r="EC478" s="56">
        <f>$BP478-$BP479</f>
        <v/>
      </c>
      <c r="ED478" s="56">
        <f>$BQ478-$BQ479</f>
        <v/>
      </c>
      <c r="EE478" s="56">
        <f>$BR478-$BR479</f>
        <v/>
      </c>
      <c r="EF478" s="56">
        <f>$BS478-$BS479</f>
        <v/>
      </c>
      <c r="EG478" s="56">
        <f>$BT478-$BT479</f>
        <v/>
      </c>
      <c r="EH478" s="56">
        <f>$BU478-$BU479</f>
        <v/>
      </c>
    </row>
    <row r="479">
      <c r="BV479" s="56">
        <f>($D479-$D480)*100</f>
        <v/>
      </c>
      <c r="BW479" s="56">
        <f>($C479-$C480)*100</f>
        <v/>
      </c>
      <c r="BX479" s="57">
        <f>IFERROR($I479/$I480-1,"")</f>
        <v/>
      </c>
      <c r="BY479" s="56">
        <f>($AF479-$AF480)*100</f>
        <v/>
      </c>
      <c r="BZ479" s="56">
        <f>($AG479-$AG480)*100</f>
        <v/>
      </c>
      <c r="CA479" s="56">
        <f>($AH479-$AH480)*100</f>
        <v/>
      </c>
      <c r="CB479" s="56">
        <f>($AI479-$AI480)*100</f>
        <v/>
      </c>
      <c r="CC479" s="56">
        <f>($AJ479-$AJ480)*100</f>
        <v/>
      </c>
      <c r="CD479" s="56">
        <f>($AK479-$AK480)*100</f>
        <v/>
      </c>
      <c r="CE479" s="56">
        <f>($AL479-$AL480)*100</f>
        <v/>
      </c>
      <c r="CF479" s="56">
        <f>($AM479-$AM480)*100</f>
        <v/>
      </c>
      <c r="CG479" s="56">
        <f>($AN479-$AN480)*100</f>
        <v/>
      </c>
      <c r="CH479" s="56">
        <f>($AO479-$AO480)*100</f>
        <v/>
      </c>
      <c r="CI479" s="56">
        <f>($AP479-$AP480)*100</f>
        <v/>
      </c>
      <c r="CJ479" s="56">
        <f>($AQ479-$AQ480)*100</f>
        <v/>
      </c>
      <c r="CK479" s="56">
        <f>($AR479-$AR480)*100</f>
        <v/>
      </c>
      <c r="CL479" s="56">
        <f>($AS479-$AS480)*100</f>
        <v/>
      </c>
      <c r="CM479" s="56">
        <f>($AT479-$AT480)*100</f>
        <v/>
      </c>
      <c r="CN479" s="56">
        <f>($AU479-$AU480)*100</f>
        <v/>
      </c>
      <c r="CO479" s="56">
        <f>($AV479-$AV480)*100</f>
        <v/>
      </c>
      <c r="CP479" s="56">
        <f>($AW479-$AW480)*100</f>
        <v/>
      </c>
      <c r="CQ479" s="56">
        <f>($AX479-$AX480)*100</f>
        <v/>
      </c>
      <c r="CR479" s="56">
        <f>($AY479-$AY480)*100</f>
        <v/>
      </c>
      <c r="CS479" s="57">
        <f>IFERROR($L480/$L479-1,"")</f>
        <v/>
      </c>
      <c r="CT479" s="57">
        <f>IFERROR($M480/$M479-1,"")</f>
        <v/>
      </c>
      <c r="CU479" s="57">
        <f>IFERROR($N480/$N479-1,"")</f>
        <v/>
      </c>
      <c r="CV479" s="57">
        <f>IFERROR($O480/$O479-1,"")</f>
        <v/>
      </c>
      <c r="CW479" s="57">
        <f>IFERROR($P480/$P479-1,"")</f>
        <v/>
      </c>
      <c r="CX479" s="57">
        <f>IFERROR($Q480/$Q479-1,"")</f>
        <v/>
      </c>
      <c r="CY479" s="57">
        <f>IFERROR($R480/$R479-1,"")</f>
        <v/>
      </c>
      <c r="CZ479" s="57">
        <f>IFERROR($S480/$S479-1,"")</f>
        <v/>
      </c>
      <c r="DA479" s="57">
        <f>IFERROR($T480/$T479-1,"")</f>
        <v/>
      </c>
      <c r="DB479" s="57">
        <f>IFERROR($U480/$U479-1,"")</f>
        <v/>
      </c>
      <c r="DC479" s="57">
        <f>IFERROR($V480/$V479-1,"")</f>
        <v/>
      </c>
      <c r="DD479" s="57">
        <f>IFERROR($W480/$W479-1,"")</f>
        <v/>
      </c>
      <c r="DE479" s="57">
        <f>IFERROR($X480/$X479-1,"")</f>
        <v/>
      </c>
      <c r="DF479" s="57">
        <f>IFERROR($Y480/$Y479-1,"")</f>
        <v/>
      </c>
      <c r="DG479" s="57">
        <f>IFERROR($Z480/$Z479-1,"")</f>
        <v/>
      </c>
      <c r="DH479" s="57">
        <f>IFERROR($AA480/$AA479-1,"")</f>
        <v/>
      </c>
      <c r="DI479" s="57">
        <f>IFERROR($AB480/$AB479-1,"")</f>
        <v/>
      </c>
      <c r="DJ479" s="57">
        <f>IFERROR($AC480/$AC479-1,"")</f>
        <v/>
      </c>
      <c r="DK479" s="57">
        <f>IFERROR($AD480/$AD479-1,"")</f>
        <v/>
      </c>
      <c r="DL479" s="57">
        <f>IFERROR($AE480/$AE479-1,"")</f>
        <v/>
      </c>
      <c r="DM479" s="56">
        <f>$AZ479-$AZ480</f>
        <v/>
      </c>
      <c r="DN479" s="56">
        <f>$BA479-$BA480</f>
        <v/>
      </c>
      <c r="DO479" s="56">
        <f>$BB479-$BB480</f>
        <v/>
      </c>
      <c r="DP479" s="56">
        <f>$BC479-$BC480</f>
        <v/>
      </c>
      <c r="DQ479" s="56">
        <f>$BD479-$BD480</f>
        <v/>
      </c>
      <c r="DR479" s="56">
        <f>$BE479-$BE480</f>
        <v/>
      </c>
      <c r="DS479" s="56">
        <f>$BF479-$BF480</f>
        <v/>
      </c>
      <c r="DT479" s="56">
        <f>$BG479-$BG480</f>
        <v/>
      </c>
      <c r="DU479" s="56">
        <f>$BH479-$BH480</f>
        <v/>
      </c>
      <c r="DV479" s="56">
        <f>$BI479-$BI480</f>
        <v/>
      </c>
      <c r="DW479" s="56">
        <f>$BJ479-$BJ480</f>
        <v/>
      </c>
      <c r="DX479" s="56">
        <f>$BK479-$BK480</f>
        <v/>
      </c>
      <c r="DY479" s="56">
        <f>$BL479-$BL480</f>
        <v/>
      </c>
      <c r="DZ479" s="56">
        <f>$BM479-$BM480</f>
        <v/>
      </c>
      <c r="EA479" s="56">
        <f>$BN479-$BN480</f>
        <v/>
      </c>
      <c r="EB479" s="56">
        <f>$BO479-$BO480</f>
        <v/>
      </c>
      <c r="EC479" s="56">
        <f>$BP479-$BP480</f>
        <v/>
      </c>
      <c r="ED479" s="56">
        <f>$BQ479-$BQ480</f>
        <v/>
      </c>
      <c r="EE479" s="56">
        <f>$BR479-$BR480</f>
        <v/>
      </c>
      <c r="EF479" s="56">
        <f>$BS479-$BS480</f>
        <v/>
      </c>
      <c r="EG479" s="56">
        <f>$BT479-$BT480</f>
        <v/>
      </c>
      <c r="EH479" s="56">
        <f>$BU479-$BU480</f>
        <v/>
      </c>
    </row>
    <row r="480">
      <c r="BV480" s="56">
        <f>($D480-$D481)*100</f>
        <v/>
      </c>
      <c r="BW480" s="56">
        <f>($C480-$C481)*100</f>
        <v/>
      </c>
      <c r="BX480" s="57">
        <f>IFERROR($I480/$I481-1,"")</f>
        <v/>
      </c>
      <c r="BY480" s="56">
        <f>($AF480-$AF481)*100</f>
        <v/>
      </c>
      <c r="BZ480" s="56">
        <f>($AG480-$AG481)*100</f>
        <v/>
      </c>
      <c r="CA480" s="56">
        <f>($AH480-$AH481)*100</f>
        <v/>
      </c>
      <c r="CB480" s="56">
        <f>($AI480-$AI481)*100</f>
        <v/>
      </c>
      <c r="CC480" s="56">
        <f>($AJ480-$AJ481)*100</f>
        <v/>
      </c>
      <c r="CD480" s="56">
        <f>($AK480-$AK481)*100</f>
        <v/>
      </c>
      <c r="CE480" s="56">
        <f>($AL480-$AL481)*100</f>
        <v/>
      </c>
      <c r="CF480" s="56">
        <f>($AM480-$AM481)*100</f>
        <v/>
      </c>
      <c r="CG480" s="56">
        <f>($AN480-$AN481)*100</f>
        <v/>
      </c>
      <c r="CH480" s="56">
        <f>($AO480-$AO481)*100</f>
        <v/>
      </c>
      <c r="CI480" s="56">
        <f>($AP480-$AP481)*100</f>
        <v/>
      </c>
      <c r="CJ480" s="56">
        <f>($AQ480-$AQ481)*100</f>
        <v/>
      </c>
      <c r="CK480" s="56">
        <f>($AR480-$AR481)*100</f>
        <v/>
      </c>
      <c r="CL480" s="56">
        <f>($AS480-$AS481)*100</f>
        <v/>
      </c>
      <c r="CM480" s="56">
        <f>($AT480-$AT481)*100</f>
        <v/>
      </c>
      <c r="CN480" s="56">
        <f>($AU480-$AU481)*100</f>
        <v/>
      </c>
      <c r="CO480" s="56">
        <f>($AV480-$AV481)*100</f>
        <v/>
      </c>
      <c r="CP480" s="56">
        <f>($AW480-$AW481)*100</f>
        <v/>
      </c>
      <c r="CQ480" s="56">
        <f>($AX480-$AX481)*100</f>
        <v/>
      </c>
      <c r="CR480" s="56">
        <f>($AY480-$AY481)*100</f>
        <v/>
      </c>
      <c r="CS480" s="57">
        <f>IFERROR($L481/$L480-1,"")</f>
        <v/>
      </c>
      <c r="CT480" s="57">
        <f>IFERROR($M481/$M480-1,"")</f>
        <v/>
      </c>
      <c r="CU480" s="57">
        <f>IFERROR($N481/$N480-1,"")</f>
        <v/>
      </c>
      <c r="CV480" s="57">
        <f>IFERROR($O481/$O480-1,"")</f>
        <v/>
      </c>
      <c r="CW480" s="57">
        <f>IFERROR($P481/$P480-1,"")</f>
        <v/>
      </c>
      <c r="CX480" s="57">
        <f>IFERROR($Q481/$Q480-1,"")</f>
        <v/>
      </c>
      <c r="CY480" s="57">
        <f>IFERROR($R481/$R480-1,"")</f>
        <v/>
      </c>
      <c r="CZ480" s="57">
        <f>IFERROR($S481/$S480-1,"")</f>
        <v/>
      </c>
      <c r="DA480" s="57">
        <f>IFERROR($T481/$T480-1,"")</f>
        <v/>
      </c>
      <c r="DB480" s="57">
        <f>IFERROR($U481/$U480-1,"")</f>
        <v/>
      </c>
      <c r="DC480" s="57">
        <f>IFERROR($V481/$V480-1,"")</f>
        <v/>
      </c>
      <c r="DD480" s="57">
        <f>IFERROR($W481/$W480-1,"")</f>
        <v/>
      </c>
      <c r="DE480" s="57">
        <f>IFERROR($X481/$X480-1,"")</f>
        <v/>
      </c>
      <c r="DF480" s="57">
        <f>IFERROR($Y481/$Y480-1,"")</f>
        <v/>
      </c>
      <c r="DG480" s="57">
        <f>IFERROR($Z481/$Z480-1,"")</f>
        <v/>
      </c>
      <c r="DH480" s="57">
        <f>IFERROR($AA481/$AA480-1,"")</f>
        <v/>
      </c>
      <c r="DI480" s="57">
        <f>IFERROR($AB481/$AB480-1,"")</f>
        <v/>
      </c>
      <c r="DJ480" s="57">
        <f>IFERROR($AC481/$AC480-1,"")</f>
        <v/>
      </c>
      <c r="DK480" s="57">
        <f>IFERROR($AD481/$AD480-1,"")</f>
        <v/>
      </c>
      <c r="DL480" s="57">
        <f>IFERROR($AE481/$AE480-1,"")</f>
        <v/>
      </c>
      <c r="DM480" s="56">
        <f>$AZ480-$AZ481</f>
        <v/>
      </c>
      <c r="DN480" s="56">
        <f>$BA480-$BA481</f>
        <v/>
      </c>
      <c r="DO480" s="56">
        <f>$BB480-$BB481</f>
        <v/>
      </c>
      <c r="DP480" s="56">
        <f>$BC480-$BC481</f>
        <v/>
      </c>
      <c r="DQ480" s="56">
        <f>$BD480-$BD481</f>
        <v/>
      </c>
      <c r="DR480" s="56">
        <f>$BE480-$BE481</f>
        <v/>
      </c>
      <c r="DS480" s="56">
        <f>$BF480-$BF481</f>
        <v/>
      </c>
      <c r="DT480" s="56">
        <f>$BG480-$BG481</f>
        <v/>
      </c>
      <c r="DU480" s="56">
        <f>$BH480-$BH481</f>
        <v/>
      </c>
      <c r="DV480" s="56">
        <f>$BI480-$BI481</f>
        <v/>
      </c>
      <c r="DW480" s="56">
        <f>$BJ480-$BJ481</f>
        <v/>
      </c>
      <c r="DX480" s="56">
        <f>$BK480-$BK481</f>
        <v/>
      </c>
      <c r="DY480" s="56">
        <f>$BL480-$BL481</f>
        <v/>
      </c>
      <c r="DZ480" s="56">
        <f>$BM480-$BM481</f>
        <v/>
      </c>
      <c r="EA480" s="56">
        <f>$BN480-$BN481</f>
        <v/>
      </c>
      <c r="EB480" s="56">
        <f>$BO480-$BO481</f>
        <v/>
      </c>
      <c r="EC480" s="56">
        <f>$BP480-$BP481</f>
        <v/>
      </c>
      <c r="ED480" s="56">
        <f>$BQ480-$BQ481</f>
        <v/>
      </c>
      <c r="EE480" s="56">
        <f>$BR480-$BR481</f>
        <v/>
      </c>
      <c r="EF480" s="56">
        <f>$BS480-$BS481</f>
        <v/>
      </c>
      <c r="EG480" s="56">
        <f>$BT480-$BT481</f>
        <v/>
      </c>
      <c r="EH480" s="56">
        <f>$BU480-$BU481</f>
        <v/>
      </c>
    </row>
    <row r="481">
      <c r="BV481" s="56">
        <f>($D481-$D482)*100</f>
        <v/>
      </c>
      <c r="BW481" s="56">
        <f>($C481-$C482)*100</f>
        <v/>
      </c>
      <c r="BX481" s="57">
        <f>IFERROR($I481/$I482-1,"")</f>
        <v/>
      </c>
      <c r="BY481" s="56">
        <f>($AF481-$AF482)*100</f>
        <v/>
      </c>
      <c r="BZ481" s="56">
        <f>($AG481-$AG482)*100</f>
        <v/>
      </c>
      <c r="CA481" s="56">
        <f>($AH481-$AH482)*100</f>
        <v/>
      </c>
      <c r="CB481" s="56">
        <f>($AI481-$AI482)*100</f>
        <v/>
      </c>
      <c r="CC481" s="56">
        <f>($AJ481-$AJ482)*100</f>
        <v/>
      </c>
      <c r="CD481" s="56">
        <f>($AK481-$AK482)*100</f>
        <v/>
      </c>
      <c r="CE481" s="56">
        <f>($AL481-$AL482)*100</f>
        <v/>
      </c>
      <c r="CF481" s="56">
        <f>($AM481-$AM482)*100</f>
        <v/>
      </c>
      <c r="CG481" s="56">
        <f>($AN481-$AN482)*100</f>
        <v/>
      </c>
      <c r="CH481" s="56">
        <f>($AO481-$AO482)*100</f>
        <v/>
      </c>
      <c r="CI481" s="56">
        <f>($AP481-$AP482)*100</f>
        <v/>
      </c>
      <c r="CJ481" s="56">
        <f>($AQ481-$AQ482)*100</f>
        <v/>
      </c>
      <c r="CK481" s="56">
        <f>($AR481-$AR482)*100</f>
        <v/>
      </c>
      <c r="CL481" s="56">
        <f>($AS481-$AS482)*100</f>
        <v/>
      </c>
      <c r="CM481" s="56">
        <f>($AT481-$AT482)*100</f>
        <v/>
      </c>
      <c r="CN481" s="56">
        <f>($AU481-$AU482)*100</f>
        <v/>
      </c>
      <c r="CO481" s="56">
        <f>($AV481-$AV482)*100</f>
        <v/>
      </c>
      <c r="CP481" s="56">
        <f>($AW481-$AW482)*100</f>
        <v/>
      </c>
      <c r="CQ481" s="56">
        <f>($AX481-$AX482)*100</f>
        <v/>
      </c>
      <c r="CR481" s="56">
        <f>($AY481-$AY482)*100</f>
        <v/>
      </c>
      <c r="CS481" s="57">
        <f>IFERROR($L482/$L481-1,"")</f>
        <v/>
      </c>
      <c r="CT481" s="57">
        <f>IFERROR($M482/$M481-1,"")</f>
        <v/>
      </c>
      <c r="CU481" s="57">
        <f>IFERROR($N482/$N481-1,"")</f>
        <v/>
      </c>
      <c r="CV481" s="57">
        <f>IFERROR($O482/$O481-1,"")</f>
        <v/>
      </c>
      <c r="CW481" s="57">
        <f>IFERROR($P482/$P481-1,"")</f>
        <v/>
      </c>
      <c r="CX481" s="57">
        <f>IFERROR($Q482/$Q481-1,"")</f>
        <v/>
      </c>
      <c r="CY481" s="57">
        <f>IFERROR($R482/$R481-1,"")</f>
        <v/>
      </c>
      <c r="CZ481" s="57">
        <f>IFERROR($S482/$S481-1,"")</f>
        <v/>
      </c>
      <c r="DA481" s="57">
        <f>IFERROR($T482/$T481-1,"")</f>
        <v/>
      </c>
      <c r="DB481" s="57">
        <f>IFERROR($U482/$U481-1,"")</f>
        <v/>
      </c>
      <c r="DC481" s="57">
        <f>IFERROR($V482/$V481-1,"")</f>
        <v/>
      </c>
      <c r="DD481" s="57">
        <f>IFERROR($W482/$W481-1,"")</f>
        <v/>
      </c>
      <c r="DE481" s="57">
        <f>IFERROR($X482/$X481-1,"")</f>
        <v/>
      </c>
      <c r="DF481" s="57">
        <f>IFERROR($Y482/$Y481-1,"")</f>
        <v/>
      </c>
      <c r="DG481" s="57">
        <f>IFERROR($Z482/$Z481-1,"")</f>
        <v/>
      </c>
      <c r="DH481" s="57">
        <f>IFERROR($AA482/$AA481-1,"")</f>
        <v/>
      </c>
      <c r="DI481" s="57">
        <f>IFERROR($AB482/$AB481-1,"")</f>
        <v/>
      </c>
      <c r="DJ481" s="57">
        <f>IFERROR($AC482/$AC481-1,"")</f>
        <v/>
      </c>
      <c r="DK481" s="57">
        <f>IFERROR($AD482/$AD481-1,"")</f>
        <v/>
      </c>
      <c r="DL481" s="57">
        <f>IFERROR($AE482/$AE481-1,"")</f>
        <v/>
      </c>
      <c r="DM481" s="56">
        <f>$AZ481-$AZ482</f>
        <v/>
      </c>
      <c r="DN481" s="56">
        <f>$BA481-$BA482</f>
        <v/>
      </c>
      <c r="DO481" s="56">
        <f>$BB481-$BB482</f>
        <v/>
      </c>
      <c r="DP481" s="56">
        <f>$BC481-$BC482</f>
        <v/>
      </c>
      <c r="DQ481" s="56">
        <f>$BD481-$BD482</f>
        <v/>
      </c>
      <c r="DR481" s="56">
        <f>$BE481-$BE482</f>
        <v/>
      </c>
      <c r="DS481" s="56">
        <f>$BF481-$BF482</f>
        <v/>
      </c>
      <c r="DT481" s="56">
        <f>$BG481-$BG482</f>
        <v/>
      </c>
      <c r="DU481" s="56">
        <f>$BH481-$BH482</f>
        <v/>
      </c>
      <c r="DV481" s="56">
        <f>$BI481-$BI482</f>
        <v/>
      </c>
      <c r="DW481" s="56">
        <f>$BJ481-$BJ482</f>
        <v/>
      </c>
      <c r="DX481" s="56">
        <f>$BK481-$BK482</f>
        <v/>
      </c>
      <c r="DY481" s="56">
        <f>$BL481-$BL482</f>
        <v/>
      </c>
      <c r="DZ481" s="56">
        <f>$BM481-$BM482</f>
        <v/>
      </c>
      <c r="EA481" s="56">
        <f>$BN481-$BN482</f>
        <v/>
      </c>
      <c r="EB481" s="56">
        <f>$BO481-$BO482</f>
        <v/>
      </c>
      <c r="EC481" s="56">
        <f>$BP481-$BP482</f>
        <v/>
      </c>
      <c r="ED481" s="56">
        <f>$BQ481-$BQ482</f>
        <v/>
      </c>
      <c r="EE481" s="56">
        <f>$BR481-$BR482</f>
        <v/>
      </c>
      <c r="EF481" s="56">
        <f>$BS481-$BS482</f>
        <v/>
      </c>
      <c r="EG481" s="56">
        <f>$BT481-$BT482</f>
        <v/>
      </c>
      <c r="EH481" s="56">
        <f>$BU481-$BU482</f>
        <v/>
      </c>
    </row>
    <row r="482">
      <c r="BV482" s="56">
        <f>($D482-$D483)*100</f>
        <v/>
      </c>
      <c r="BW482" s="56">
        <f>($C482-$C483)*100</f>
        <v/>
      </c>
      <c r="BX482" s="57">
        <f>IFERROR($I482/$I483-1,"")</f>
        <v/>
      </c>
      <c r="BY482" s="56">
        <f>($AF482-$AF483)*100</f>
        <v/>
      </c>
      <c r="BZ482" s="56">
        <f>($AG482-$AG483)*100</f>
        <v/>
      </c>
      <c r="CA482" s="56">
        <f>($AH482-$AH483)*100</f>
        <v/>
      </c>
      <c r="CB482" s="56">
        <f>($AI482-$AI483)*100</f>
        <v/>
      </c>
      <c r="CC482" s="56">
        <f>($AJ482-$AJ483)*100</f>
        <v/>
      </c>
      <c r="CD482" s="56">
        <f>($AK482-$AK483)*100</f>
        <v/>
      </c>
      <c r="CE482" s="56">
        <f>($AL482-$AL483)*100</f>
        <v/>
      </c>
      <c r="CF482" s="56">
        <f>($AM482-$AM483)*100</f>
        <v/>
      </c>
      <c r="CG482" s="56">
        <f>($AN482-$AN483)*100</f>
        <v/>
      </c>
      <c r="CH482" s="56">
        <f>($AO482-$AO483)*100</f>
        <v/>
      </c>
      <c r="CI482" s="56">
        <f>($AP482-$AP483)*100</f>
        <v/>
      </c>
      <c r="CJ482" s="56">
        <f>($AQ482-$AQ483)*100</f>
        <v/>
      </c>
      <c r="CK482" s="56">
        <f>($AR482-$AR483)*100</f>
        <v/>
      </c>
      <c r="CL482" s="56">
        <f>($AS482-$AS483)*100</f>
        <v/>
      </c>
      <c r="CM482" s="56">
        <f>($AT482-$AT483)*100</f>
        <v/>
      </c>
      <c r="CN482" s="56">
        <f>($AU482-$AU483)*100</f>
        <v/>
      </c>
      <c r="CO482" s="56">
        <f>($AV482-$AV483)*100</f>
        <v/>
      </c>
      <c r="CP482" s="56">
        <f>($AW482-$AW483)*100</f>
        <v/>
      </c>
      <c r="CQ482" s="56">
        <f>($AX482-$AX483)*100</f>
        <v/>
      </c>
      <c r="CR482" s="56">
        <f>($AY482-$AY483)*100</f>
        <v/>
      </c>
      <c r="CS482" s="57">
        <f>IFERROR($L483/$L482-1,"")</f>
        <v/>
      </c>
      <c r="CT482" s="57">
        <f>IFERROR($M483/$M482-1,"")</f>
        <v/>
      </c>
      <c r="CU482" s="57">
        <f>IFERROR($N483/$N482-1,"")</f>
        <v/>
      </c>
      <c r="CV482" s="57">
        <f>IFERROR($O483/$O482-1,"")</f>
        <v/>
      </c>
      <c r="CW482" s="57">
        <f>IFERROR($P483/$P482-1,"")</f>
        <v/>
      </c>
      <c r="CX482" s="57">
        <f>IFERROR($Q483/$Q482-1,"")</f>
        <v/>
      </c>
      <c r="CY482" s="57">
        <f>IFERROR($R483/$R482-1,"")</f>
        <v/>
      </c>
      <c r="CZ482" s="57">
        <f>IFERROR($S483/$S482-1,"")</f>
        <v/>
      </c>
      <c r="DA482" s="57">
        <f>IFERROR($T483/$T482-1,"")</f>
        <v/>
      </c>
      <c r="DB482" s="57">
        <f>IFERROR($U483/$U482-1,"")</f>
        <v/>
      </c>
      <c r="DC482" s="57">
        <f>IFERROR($V483/$V482-1,"")</f>
        <v/>
      </c>
      <c r="DD482" s="57">
        <f>IFERROR($W483/$W482-1,"")</f>
        <v/>
      </c>
      <c r="DE482" s="57">
        <f>IFERROR($X483/$X482-1,"")</f>
        <v/>
      </c>
      <c r="DF482" s="57">
        <f>IFERROR($Y483/$Y482-1,"")</f>
        <v/>
      </c>
      <c r="DG482" s="57">
        <f>IFERROR($Z483/$Z482-1,"")</f>
        <v/>
      </c>
      <c r="DH482" s="57">
        <f>IFERROR($AA483/$AA482-1,"")</f>
        <v/>
      </c>
      <c r="DI482" s="57">
        <f>IFERROR($AB483/$AB482-1,"")</f>
        <v/>
      </c>
      <c r="DJ482" s="57">
        <f>IFERROR($AC483/$AC482-1,"")</f>
        <v/>
      </c>
      <c r="DK482" s="57">
        <f>IFERROR($AD483/$AD482-1,"")</f>
        <v/>
      </c>
      <c r="DL482" s="57">
        <f>IFERROR($AE483/$AE482-1,"")</f>
        <v/>
      </c>
      <c r="DM482" s="56">
        <f>$AZ482-$AZ483</f>
        <v/>
      </c>
      <c r="DN482" s="56">
        <f>$BA482-$BA483</f>
        <v/>
      </c>
      <c r="DO482" s="56">
        <f>$BB482-$BB483</f>
        <v/>
      </c>
      <c r="DP482" s="56">
        <f>$BC482-$BC483</f>
        <v/>
      </c>
      <c r="DQ482" s="56">
        <f>$BD482-$BD483</f>
        <v/>
      </c>
      <c r="DR482" s="56">
        <f>$BE482-$BE483</f>
        <v/>
      </c>
      <c r="DS482" s="56">
        <f>$BF482-$BF483</f>
        <v/>
      </c>
      <c r="DT482" s="56">
        <f>$BG482-$BG483</f>
        <v/>
      </c>
      <c r="DU482" s="56">
        <f>$BH482-$BH483</f>
        <v/>
      </c>
      <c r="DV482" s="56">
        <f>$BI482-$BI483</f>
        <v/>
      </c>
      <c r="DW482" s="56">
        <f>$BJ482-$BJ483</f>
        <v/>
      </c>
      <c r="DX482" s="56">
        <f>$BK482-$BK483</f>
        <v/>
      </c>
      <c r="DY482" s="56">
        <f>$BL482-$BL483</f>
        <v/>
      </c>
      <c r="DZ482" s="56">
        <f>$BM482-$BM483</f>
        <v/>
      </c>
      <c r="EA482" s="56">
        <f>$BN482-$BN483</f>
        <v/>
      </c>
      <c r="EB482" s="56">
        <f>$BO482-$BO483</f>
        <v/>
      </c>
      <c r="EC482" s="56">
        <f>$BP482-$BP483</f>
        <v/>
      </c>
      <c r="ED482" s="56">
        <f>$BQ482-$BQ483</f>
        <v/>
      </c>
      <c r="EE482" s="56">
        <f>$BR482-$BR483</f>
        <v/>
      </c>
      <c r="EF482" s="56">
        <f>$BS482-$BS483</f>
        <v/>
      </c>
      <c r="EG482" s="56">
        <f>$BT482-$BT483</f>
        <v/>
      </c>
      <c r="EH482" s="56">
        <f>$BU482-$BU483</f>
        <v/>
      </c>
    </row>
    <row r="483">
      <c r="BV483" s="56">
        <f>($D483-$D484)*100</f>
        <v/>
      </c>
      <c r="BW483" s="56">
        <f>($C483-$C484)*100</f>
        <v/>
      </c>
      <c r="BX483" s="57">
        <f>IFERROR($I483/$I484-1,"")</f>
        <v/>
      </c>
      <c r="BY483" s="56">
        <f>($AF483-$AF484)*100</f>
        <v/>
      </c>
      <c r="BZ483" s="56">
        <f>($AG483-$AG484)*100</f>
        <v/>
      </c>
      <c r="CA483" s="56">
        <f>($AH483-$AH484)*100</f>
        <v/>
      </c>
      <c r="CB483" s="56">
        <f>($AI483-$AI484)*100</f>
        <v/>
      </c>
      <c r="CC483" s="56">
        <f>($AJ483-$AJ484)*100</f>
        <v/>
      </c>
      <c r="CD483" s="56">
        <f>($AK483-$AK484)*100</f>
        <v/>
      </c>
      <c r="CE483" s="56">
        <f>($AL483-$AL484)*100</f>
        <v/>
      </c>
      <c r="CF483" s="56">
        <f>($AM483-$AM484)*100</f>
        <v/>
      </c>
      <c r="CG483" s="56">
        <f>($AN483-$AN484)*100</f>
        <v/>
      </c>
      <c r="CH483" s="56">
        <f>($AO483-$AO484)*100</f>
        <v/>
      </c>
      <c r="CI483" s="56">
        <f>($AP483-$AP484)*100</f>
        <v/>
      </c>
      <c r="CJ483" s="56">
        <f>($AQ483-$AQ484)*100</f>
        <v/>
      </c>
      <c r="CK483" s="56">
        <f>($AR483-$AR484)*100</f>
        <v/>
      </c>
      <c r="CL483" s="56">
        <f>($AS483-$AS484)*100</f>
        <v/>
      </c>
      <c r="CM483" s="56">
        <f>($AT483-$AT484)*100</f>
        <v/>
      </c>
      <c r="CN483" s="56">
        <f>($AU483-$AU484)*100</f>
        <v/>
      </c>
      <c r="CO483" s="56">
        <f>($AV483-$AV484)*100</f>
        <v/>
      </c>
      <c r="CP483" s="56">
        <f>($AW483-$AW484)*100</f>
        <v/>
      </c>
      <c r="CQ483" s="56">
        <f>($AX483-$AX484)*100</f>
        <v/>
      </c>
      <c r="CR483" s="56">
        <f>($AY483-$AY484)*100</f>
        <v/>
      </c>
      <c r="CS483" s="57">
        <f>IFERROR($L484/$L483-1,"")</f>
        <v/>
      </c>
      <c r="CT483" s="57">
        <f>IFERROR($M484/$M483-1,"")</f>
        <v/>
      </c>
      <c r="CU483" s="57">
        <f>IFERROR($N484/$N483-1,"")</f>
        <v/>
      </c>
      <c r="CV483" s="57">
        <f>IFERROR($O484/$O483-1,"")</f>
        <v/>
      </c>
      <c r="CW483" s="57">
        <f>IFERROR($P484/$P483-1,"")</f>
        <v/>
      </c>
      <c r="CX483" s="57">
        <f>IFERROR($Q484/$Q483-1,"")</f>
        <v/>
      </c>
      <c r="CY483" s="57">
        <f>IFERROR($R484/$R483-1,"")</f>
        <v/>
      </c>
      <c r="CZ483" s="57">
        <f>IFERROR($S484/$S483-1,"")</f>
        <v/>
      </c>
      <c r="DA483" s="57">
        <f>IFERROR($T484/$T483-1,"")</f>
        <v/>
      </c>
      <c r="DB483" s="57">
        <f>IFERROR($U484/$U483-1,"")</f>
        <v/>
      </c>
      <c r="DC483" s="57">
        <f>IFERROR($V484/$V483-1,"")</f>
        <v/>
      </c>
      <c r="DD483" s="57">
        <f>IFERROR($W484/$W483-1,"")</f>
        <v/>
      </c>
      <c r="DE483" s="57">
        <f>IFERROR($X484/$X483-1,"")</f>
        <v/>
      </c>
      <c r="DF483" s="57">
        <f>IFERROR($Y484/$Y483-1,"")</f>
        <v/>
      </c>
      <c r="DG483" s="57">
        <f>IFERROR($Z484/$Z483-1,"")</f>
        <v/>
      </c>
      <c r="DH483" s="57">
        <f>IFERROR($AA484/$AA483-1,"")</f>
        <v/>
      </c>
      <c r="DI483" s="57">
        <f>IFERROR($AB484/$AB483-1,"")</f>
        <v/>
      </c>
      <c r="DJ483" s="57">
        <f>IFERROR($AC484/$AC483-1,"")</f>
        <v/>
      </c>
      <c r="DK483" s="57">
        <f>IFERROR($AD484/$AD483-1,"")</f>
        <v/>
      </c>
      <c r="DL483" s="57">
        <f>IFERROR($AE484/$AE483-1,"")</f>
        <v/>
      </c>
      <c r="DM483" s="56">
        <f>$AZ483-$AZ484</f>
        <v/>
      </c>
      <c r="DN483" s="56">
        <f>$BA483-$BA484</f>
        <v/>
      </c>
      <c r="DO483" s="56">
        <f>$BB483-$BB484</f>
        <v/>
      </c>
      <c r="DP483" s="56">
        <f>$BC483-$BC484</f>
        <v/>
      </c>
      <c r="DQ483" s="56">
        <f>$BD483-$BD484</f>
        <v/>
      </c>
      <c r="DR483" s="56">
        <f>$BE483-$BE484</f>
        <v/>
      </c>
      <c r="DS483" s="56">
        <f>$BF483-$BF484</f>
        <v/>
      </c>
      <c r="DT483" s="56">
        <f>$BG483-$BG484</f>
        <v/>
      </c>
      <c r="DU483" s="56">
        <f>$BH483-$BH484</f>
        <v/>
      </c>
      <c r="DV483" s="56">
        <f>$BI483-$BI484</f>
        <v/>
      </c>
      <c r="DW483" s="56">
        <f>$BJ483-$BJ484</f>
        <v/>
      </c>
      <c r="DX483" s="56">
        <f>$BK483-$BK484</f>
        <v/>
      </c>
      <c r="DY483" s="56">
        <f>$BL483-$BL484</f>
        <v/>
      </c>
      <c r="DZ483" s="56">
        <f>$BM483-$BM484</f>
        <v/>
      </c>
      <c r="EA483" s="56">
        <f>$BN483-$BN484</f>
        <v/>
      </c>
      <c r="EB483" s="56">
        <f>$BO483-$BO484</f>
        <v/>
      </c>
      <c r="EC483" s="56">
        <f>$BP483-$BP484</f>
        <v/>
      </c>
      <c r="ED483" s="56">
        <f>$BQ483-$BQ484</f>
        <v/>
      </c>
      <c r="EE483" s="56">
        <f>$BR483-$BR484</f>
        <v/>
      </c>
      <c r="EF483" s="56">
        <f>$BS483-$BS484</f>
        <v/>
      </c>
      <c r="EG483" s="56">
        <f>$BT483-$BT484</f>
        <v/>
      </c>
      <c r="EH483" s="56">
        <f>$BU483-$BU484</f>
        <v/>
      </c>
    </row>
    <row r="484">
      <c r="BV484" s="56">
        <f>($D484-$D485)*100</f>
        <v/>
      </c>
      <c r="BW484" s="56">
        <f>($C484-$C485)*100</f>
        <v/>
      </c>
      <c r="BX484" s="57">
        <f>IFERROR($I484/$I485-1,"")</f>
        <v/>
      </c>
      <c r="BY484" s="56">
        <f>($AF484-$AF485)*100</f>
        <v/>
      </c>
      <c r="BZ484" s="56">
        <f>($AG484-$AG485)*100</f>
        <v/>
      </c>
      <c r="CA484" s="56">
        <f>($AH484-$AH485)*100</f>
        <v/>
      </c>
      <c r="CB484" s="56">
        <f>($AI484-$AI485)*100</f>
        <v/>
      </c>
      <c r="CC484" s="56">
        <f>($AJ484-$AJ485)*100</f>
        <v/>
      </c>
      <c r="CD484" s="56">
        <f>($AK484-$AK485)*100</f>
        <v/>
      </c>
      <c r="CE484" s="56">
        <f>($AL484-$AL485)*100</f>
        <v/>
      </c>
      <c r="CF484" s="56">
        <f>($AM484-$AM485)*100</f>
        <v/>
      </c>
      <c r="CG484" s="56">
        <f>($AN484-$AN485)*100</f>
        <v/>
      </c>
      <c r="CH484" s="56">
        <f>($AO484-$AO485)*100</f>
        <v/>
      </c>
      <c r="CI484" s="56">
        <f>($AP484-$AP485)*100</f>
        <v/>
      </c>
      <c r="CJ484" s="56">
        <f>($AQ484-$AQ485)*100</f>
        <v/>
      </c>
      <c r="CK484" s="56">
        <f>($AR484-$AR485)*100</f>
        <v/>
      </c>
      <c r="CL484" s="56">
        <f>($AS484-$AS485)*100</f>
        <v/>
      </c>
      <c r="CM484" s="56">
        <f>($AT484-$AT485)*100</f>
        <v/>
      </c>
      <c r="CN484" s="56">
        <f>($AU484-$AU485)*100</f>
        <v/>
      </c>
      <c r="CO484" s="56">
        <f>($AV484-$AV485)*100</f>
        <v/>
      </c>
      <c r="CP484" s="56">
        <f>($AW484-$AW485)*100</f>
        <v/>
      </c>
      <c r="CQ484" s="56">
        <f>($AX484-$AX485)*100</f>
        <v/>
      </c>
      <c r="CR484" s="56">
        <f>($AY484-$AY485)*100</f>
        <v/>
      </c>
      <c r="CS484" s="57">
        <f>IFERROR($L485/$L484-1,"")</f>
        <v/>
      </c>
      <c r="CT484" s="57">
        <f>IFERROR($M485/$M484-1,"")</f>
        <v/>
      </c>
      <c r="CU484" s="57">
        <f>IFERROR($N485/$N484-1,"")</f>
        <v/>
      </c>
      <c r="CV484" s="57">
        <f>IFERROR($O485/$O484-1,"")</f>
        <v/>
      </c>
      <c r="CW484" s="57">
        <f>IFERROR($P485/$P484-1,"")</f>
        <v/>
      </c>
      <c r="CX484" s="57">
        <f>IFERROR($Q485/$Q484-1,"")</f>
        <v/>
      </c>
      <c r="CY484" s="57">
        <f>IFERROR($R485/$R484-1,"")</f>
        <v/>
      </c>
      <c r="CZ484" s="57">
        <f>IFERROR($S485/$S484-1,"")</f>
        <v/>
      </c>
      <c r="DA484" s="57">
        <f>IFERROR($T485/$T484-1,"")</f>
        <v/>
      </c>
      <c r="DB484" s="57">
        <f>IFERROR($U485/$U484-1,"")</f>
        <v/>
      </c>
      <c r="DC484" s="57">
        <f>IFERROR($V485/$V484-1,"")</f>
        <v/>
      </c>
      <c r="DD484" s="57">
        <f>IFERROR($W485/$W484-1,"")</f>
        <v/>
      </c>
      <c r="DE484" s="57">
        <f>IFERROR($X485/$X484-1,"")</f>
        <v/>
      </c>
      <c r="DF484" s="57">
        <f>IFERROR($Y485/$Y484-1,"")</f>
        <v/>
      </c>
      <c r="DG484" s="57">
        <f>IFERROR($Z485/$Z484-1,"")</f>
        <v/>
      </c>
      <c r="DH484" s="57">
        <f>IFERROR($AA485/$AA484-1,"")</f>
        <v/>
      </c>
      <c r="DI484" s="57">
        <f>IFERROR($AB485/$AB484-1,"")</f>
        <v/>
      </c>
      <c r="DJ484" s="57">
        <f>IFERROR($AC485/$AC484-1,"")</f>
        <v/>
      </c>
      <c r="DK484" s="57">
        <f>IFERROR($AD485/$AD484-1,"")</f>
        <v/>
      </c>
      <c r="DL484" s="57">
        <f>IFERROR($AE485/$AE484-1,"")</f>
        <v/>
      </c>
      <c r="DM484" s="56">
        <f>$AZ484-$AZ485</f>
        <v/>
      </c>
      <c r="DN484" s="56">
        <f>$BA484-$BA485</f>
        <v/>
      </c>
      <c r="DO484" s="56">
        <f>$BB484-$BB485</f>
        <v/>
      </c>
      <c r="DP484" s="56">
        <f>$BC484-$BC485</f>
        <v/>
      </c>
      <c r="DQ484" s="56">
        <f>$BD484-$BD485</f>
        <v/>
      </c>
      <c r="DR484" s="56">
        <f>$BE484-$BE485</f>
        <v/>
      </c>
      <c r="DS484" s="56">
        <f>$BF484-$BF485</f>
        <v/>
      </c>
      <c r="DT484" s="56">
        <f>$BG484-$BG485</f>
        <v/>
      </c>
      <c r="DU484" s="56">
        <f>$BH484-$BH485</f>
        <v/>
      </c>
      <c r="DV484" s="56">
        <f>$BI484-$BI485</f>
        <v/>
      </c>
      <c r="DW484" s="56">
        <f>$BJ484-$BJ485</f>
        <v/>
      </c>
      <c r="DX484" s="56">
        <f>$BK484-$BK485</f>
        <v/>
      </c>
      <c r="DY484" s="56">
        <f>$BL484-$BL485</f>
        <v/>
      </c>
      <c r="DZ484" s="56">
        <f>$BM484-$BM485</f>
        <v/>
      </c>
      <c r="EA484" s="56">
        <f>$BN484-$BN485</f>
        <v/>
      </c>
      <c r="EB484" s="56">
        <f>$BO484-$BO485</f>
        <v/>
      </c>
      <c r="EC484" s="56">
        <f>$BP484-$BP485</f>
        <v/>
      </c>
      <c r="ED484" s="56">
        <f>$BQ484-$BQ485</f>
        <v/>
      </c>
      <c r="EE484" s="56">
        <f>$BR484-$BR485</f>
        <v/>
      </c>
      <c r="EF484" s="56">
        <f>$BS484-$BS485</f>
        <v/>
      </c>
      <c r="EG484" s="56">
        <f>$BT484-$BT485</f>
        <v/>
      </c>
      <c r="EH484" s="56">
        <f>$BU484-$BU485</f>
        <v/>
      </c>
    </row>
    <row r="485">
      <c r="BV485" s="56">
        <f>($D485-$D486)*100</f>
        <v/>
      </c>
      <c r="BW485" s="56">
        <f>($C485-$C486)*100</f>
        <v/>
      </c>
      <c r="BX485" s="57">
        <f>IFERROR($I485/$I486-1,"")</f>
        <v/>
      </c>
      <c r="BY485" s="56">
        <f>($AF485-$AF486)*100</f>
        <v/>
      </c>
      <c r="BZ485" s="56">
        <f>($AG485-$AG486)*100</f>
        <v/>
      </c>
      <c r="CA485" s="56">
        <f>($AH485-$AH486)*100</f>
        <v/>
      </c>
      <c r="CB485" s="56">
        <f>($AI485-$AI486)*100</f>
        <v/>
      </c>
      <c r="CC485" s="56">
        <f>($AJ485-$AJ486)*100</f>
        <v/>
      </c>
      <c r="CD485" s="56">
        <f>($AK485-$AK486)*100</f>
        <v/>
      </c>
      <c r="CE485" s="56">
        <f>($AL485-$AL486)*100</f>
        <v/>
      </c>
      <c r="CF485" s="56">
        <f>($AM485-$AM486)*100</f>
        <v/>
      </c>
      <c r="CG485" s="56">
        <f>($AN485-$AN486)*100</f>
        <v/>
      </c>
      <c r="CH485" s="56">
        <f>($AO485-$AO486)*100</f>
        <v/>
      </c>
      <c r="CI485" s="56">
        <f>($AP485-$AP486)*100</f>
        <v/>
      </c>
      <c r="CJ485" s="56">
        <f>($AQ485-$AQ486)*100</f>
        <v/>
      </c>
      <c r="CK485" s="56">
        <f>($AR485-$AR486)*100</f>
        <v/>
      </c>
      <c r="CL485" s="56">
        <f>($AS485-$AS486)*100</f>
        <v/>
      </c>
      <c r="CM485" s="56">
        <f>($AT485-$AT486)*100</f>
        <v/>
      </c>
      <c r="CN485" s="56">
        <f>($AU485-$AU486)*100</f>
        <v/>
      </c>
      <c r="CO485" s="56">
        <f>($AV485-$AV486)*100</f>
        <v/>
      </c>
      <c r="CP485" s="56">
        <f>($AW485-$AW486)*100</f>
        <v/>
      </c>
      <c r="CQ485" s="56">
        <f>($AX485-$AX486)*100</f>
        <v/>
      </c>
      <c r="CR485" s="56">
        <f>($AY485-$AY486)*100</f>
        <v/>
      </c>
      <c r="CS485" s="57">
        <f>IFERROR($L486/$L485-1,"")</f>
        <v/>
      </c>
      <c r="CT485" s="57">
        <f>IFERROR($M486/$M485-1,"")</f>
        <v/>
      </c>
      <c r="CU485" s="57">
        <f>IFERROR($N486/$N485-1,"")</f>
        <v/>
      </c>
      <c r="CV485" s="57">
        <f>IFERROR($O486/$O485-1,"")</f>
        <v/>
      </c>
      <c r="CW485" s="57">
        <f>IFERROR($P486/$P485-1,"")</f>
        <v/>
      </c>
      <c r="CX485" s="57">
        <f>IFERROR($Q486/$Q485-1,"")</f>
        <v/>
      </c>
      <c r="CY485" s="57">
        <f>IFERROR($R486/$R485-1,"")</f>
        <v/>
      </c>
      <c r="CZ485" s="57">
        <f>IFERROR($S486/$S485-1,"")</f>
        <v/>
      </c>
      <c r="DA485" s="57">
        <f>IFERROR($T486/$T485-1,"")</f>
        <v/>
      </c>
      <c r="DB485" s="57">
        <f>IFERROR($U486/$U485-1,"")</f>
        <v/>
      </c>
      <c r="DC485" s="57">
        <f>IFERROR($V486/$V485-1,"")</f>
        <v/>
      </c>
      <c r="DD485" s="57">
        <f>IFERROR($W486/$W485-1,"")</f>
        <v/>
      </c>
      <c r="DE485" s="57">
        <f>IFERROR($X486/$X485-1,"")</f>
        <v/>
      </c>
      <c r="DF485" s="57">
        <f>IFERROR($Y486/$Y485-1,"")</f>
        <v/>
      </c>
      <c r="DG485" s="57">
        <f>IFERROR($Z486/$Z485-1,"")</f>
        <v/>
      </c>
      <c r="DH485" s="57">
        <f>IFERROR($AA486/$AA485-1,"")</f>
        <v/>
      </c>
      <c r="DI485" s="57">
        <f>IFERROR($AB486/$AB485-1,"")</f>
        <v/>
      </c>
      <c r="DJ485" s="57">
        <f>IFERROR($AC486/$AC485-1,"")</f>
        <v/>
      </c>
      <c r="DK485" s="57">
        <f>IFERROR($AD486/$AD485-1,"")</f>
        <v/>
      </c>
      <c r="DL485" s="57">
        <f>IFERROR($AE486/$AE485-1,"")</f>
        <v/>
      </c>
      <c r="DM485" s="56">
        <f>$AZ485-$AZ486</f>
        <v/>
      </c>
      <c r="DN485" s="56">
        <f>$BA485-$BA486</f>
        <v/>
      </c>
      <c r="DO485" s="56">
        <f>$BB485-$BB486</f>
        <v/>
      </c>
      <c r="DP485" s="56">
        <f>$BC485-$BC486</f>
        <v/>
      </c>
      <c r="DQ485" s="56">
        <f>$BD485-$BD486</f>
        <v/>
      </c>
      <c r="DR485" s="56">
        <f>$BE485-$BE486</f>
        <v/>
      </c>
      <c r="DS485" s="56">
        <f>$BF485-$BF486</f>
        <v/>
      </c>
      <c r="DT485" s="56">
        <f>$BG485-$BG486</f>
        <v/>
      </c>
      <c r="DU485" s="56">
        <f>$BH485-$BH486</f>
        <v/>
      </c>
      <c r="DV485" s="56">
        <f>$BI485-$BI486</f>
        <v/>
      </c>
      <c r="DW485" s="56">
        <f>$BJ485-$BJ486</f>
        <v/>
      </c>
      <c r="DX485" s="56">
        <f>$BK485-$BK486</f>
        <v/>
      </c>
      <c r="DY485" s="56">
        <f>$BL485-$BL486</f>
        <v/>
      </c>
      <c r="DZ485" s="56">
        <f>$BM485-$BM486</f>
        <v/>
      </c>
      <c r="EA485" s="56">
        <f>$BN485-$BN486</f>
        <v/>
      </c>
      <c r="EB485" s="56">
        <f>$BO485-$BO486</f>
        <v/>
      </c>
      <c r="EC485" s="56">
        <f>$BP485-$BP486</f>
        <v/>
      </c>
      <c r="ED485" s="56">
        <f>$BQ485-$BQ486</f>
        <v/>
      </c>
      <c r="EE485" s="56">
        <f>$BR485-$BR486</f>
        <v/>
      </c>
      <c r="EF485" s="56">
        <f>$BS485-$BS486</f>
        <v/>
      </c>
      <c r="EG485" s="56">
        <f>$BT485-$BT486</f>
        <v/>
      </c>
      <c r="EH485" s="56">
        <f>$BU485-$BU486</f>
        <v/>
      </c>
    </row>
    <row r="486">
      <c r="BV486" s="56">
        <f>($D486-$D487)*100</f>
        <v/>
      </c>
      <c r="BW486" s="56">
        <f>($C486-$C487)*100</f>
        <v/>
      </c>
      <c r="BX486" s="57">
        <f>IFERROR($I486/$I487-1,"")</f>
        <v/>
      </c>
      <c r="BY486" s="56">
        <f>($AF486-$AF487)*100</f>
        <v/>
      </c>
      <c r="BZ486" s="56">
        <f>($AG486-$AG487)*100</f>
        <v/>
      </c>
      <c r="CA486" s="56">
        <f>($AH486-$AH487)*100</f>
        <v/>
      </c>
      <c r="CB486" s="56">
        <f>($AI486-$AI487)*100</f>
        <v/>
      </c>
      <c r="CC486" s="56">
        <f>($AJ486-$AJ487)*100</f>
        <v/>
      </c>
      <c r="CD486" s="56">
        <f>($AK486-$AK487)*100</f>
        <v/>
      </c>
      <c r="CE486" s="56">
        <f>($AL486-$AL487)*100</f>
        <v/>
      </c>
      <c r="CF486" s="56">
        <f>($AM486-$AM487)*100</f>
        <v/>
      </c>
      <c r="CG486" s="56">
        <f>($AN486-$AN487)*100</f>
        <v/>
      </c>
      <c r="CH486" s="56">
        <f>($AO486-$AO487)*100</f>
        <v/>
      </c>
      <c r="CI486" s="56">
        <f>($AP486-$AP487)*100</f>
        <v/>
      </c>
      <c r="CJ486" s="56">
        <f>($AQ486-$AQ487)*100</f>
        <v/>
      </c>
      <c r="CK486" s="56">
        <f>($AR486-$AR487)*100</f>
        <v/>
      </c>
      <c r="CL486" s="56">
        <f>($AS486-$AS487)*100</f>
        <v/>
      </c>
      <c r="CM486" s="56">
        <f>($AT486-$AT487)*100</f>
        <v/>
      </c>
      <c r="CN486" s="56">
        <f>($AU486-$AU487)*100</f>
        <v/>
      </c>
      <c r="CO486" s="56">
        <f>($AV486-$AV487)*100</f>
        <v/>
      </c>
      <c r="CP486" s="56">
        <f>($AW486-$AW487)*100</f>
        <v/>
      </c>
      <c r="CQ486" s="56">
        <f>($AX486-$AX487)*100</f>
        <v/>
      </c>
      <c r="CR486" s="56">
        <f>($AY486-$AY487)*100</f>
        <v/>
      </c>
      <c r="CS486" s="57">
        <f>IFERROR($L487/$L486-1,"")</f>
        <v/>
      </c>
      <c r="CT486" s="57">
        <f>IFERROR($M487/$M486-1,"")</f>
        <v/>
      </c>
      <c r="CU486" s="57">
        <f>IFERROR($N487/$N486-1,"")</f>
        <v/>
      </c>
      <c r="CV486" s="57">
        <f>IFERROR($O487/$O486-1,"")</f>
        <v/>
      </c>
      <c r="CW486" s="57">
        <f>IFERROR($P487/$P486-1,"")</f>
        <v/>
      </c>
      <c r="CX486" s="57">
        <f>IFERROR($Q487/$Q486-1,"")</f>
        <v/>
      </c>
      <c r="CY486" s="57">
        <f>IFERROR($R487/$R486-1,"")</f>
        <v/>
      </c>
      <c r="CZ486" s="57">
        <f>IFERROR($S487/$S486-1,"")</f>
        <v/>
      </c>
      <c r="DA486" s="57">
        <f>IFERROR($T487/$T486-1,"")</f>
        <v/>
      </c>
      <c r="DB486" s="57">
        <f>IFERROR($U487/$U486-1,"")</f>
        <v/>
      </c>
      <c r="DC486" s="57">
        <f>IFERROR($V487/$V486-1,"")</f>
        <v/>
      </c>
      <c r="DD486" s="57">
        <f>IFERROR($W487/$W486-1,"")</f>
        <v/>
      </c>
      <c r="DE486" s="57">
        <f>IFERROR($X487/$X486-1,"")</f>
        <v/>
      </c>
      <c r="DF486" s="57">
        <f>IFERROR($Y487/$Y486-1,"")</f>
        <v/>
      </c>
      <c r="DG486" s="57">
        <f>IFERROR($Z487/$Z486-1,"")</f>
        <v/>
      </c>
      <c r="DH486" s="57">
        <f>IFERROR($AA487/$AA486-1,"")</f>
        <v/>
      </c>
      <c r="DI486" s="57">
        <f>IFERROR($AB487/$AB486-1,"")</f>
        <v/>
      </c>
      <c r="DJ486" s="57">
        <f>IFERROR($AC487/$AC486-1,"")</f>
        <v/>
      </c>
      <c r="DK486" s="57">
        <f>IFERROR($AD487/$AD486-1,"")</f>
        <v/>
      </c>
      <c r="DL486" s="57">
        <f>IFERROR($AE487/$AE486-1,"")</f>
        <v/>
      </c>
      <c r="DM486" s="56">
        <f>$AZ486-$AZ487</f>
        <v/>
      </c>
      <c r="DN486" s="56">
        <f>$BA486-$BA487</f>
        <v/>
      </c>
      <c r="DO486" s="56">
        <f>$BB486-$BB487</f>
        <v/>
      </c>
      <c r="DP486" s="56">
        <f>$BC486-$BC487</f>
        <v/>
      </c>
      <c r="DQ486" s="56">
        <f>$BD486-$BD487</f>
        <v/>
      </c>
      <c r="DR486" s="56">
        <f>$BE486-$BE487</f>
        <v/>
      </c>
      <c r="DS486" s="56">
        <f>$BF486-$BF487</f>
        <v/>
      </c>
      <c r="DT486" s="56">
        <f>$BG486-$BG487</f>
        <v/>
      </c>
      <c r="DU486" s="56">
        <f>$BH486-$BH487</f>
        <v/>
      </c>
      <c r="DV486" s="56">
        <f>$BI486-$BI487</f>
        <v/>
      </c>
      <c r="DW486" s="56">
        <f>$BJ486-$BJ487</f>
        <v/>
      </c>
      <c r="DX486" s="56">
        <f>$BK486-$BK487</f>
        <v/>
      </c>
      <c r="DY486" s="56">
        <f>$BL486-$BL487</f>
        <v/>
      </c>
      <c r="DZ486" s="56">
        <f>$BM486-$BM487</f>
        <v/>
      </c>
      <c r="EA486" s="56">
        <f>$BN486-$BN487</f>
        <v/>
      </c>
      <c r="EB486" s="56">
        <f>$BO486-$BO487</f>
        <v/>
      </c>
      <c r="EC486" s="56">
        <f>$BP486-$BP487</f>
        <v/>
      </c>
      <c r="ED486" s="56">
        <f>$BQ486-$BQ487</f>
        <v/>
      </c>
      <c r="EE486" s="56">
        <f>$BR486-$BR487</f>
        <v/>
      </c>
      <c r="EF486" s="56">
        <f>$BS486-$BS487</f>
        <v/>
      </c>
      <c r="EG486" s="56">
        <f>$BT486-$BT487</f>
        <v/>
      </c>
      <c r="EH486" s="56">
        <f>$BU486-$BU487</f>
        <v/>
      </c>
    </row>
    <row r="487">
      <c r="BV487" s="56">
        <f>($D487-$D488)*100</f>
        <v/>
      </c>
      <c r="BW487" s="56">
        <f>($C487-$C488)*100</f>
        <v/>
      </c>
      <c r="BX487" s="57">
        <f>IFERROR($I487/$I488-1,"")</f>
        <v/>
      </c>
      <c r="BY487" s="56">
        <f>($AF487-$AF488)*100</f>
        <v/>
      </c>
      <c r="BZ487" s="56">
        <f>($AG487-$AG488)*100</f>
        <v/>
      </c>
      <c r="CA487" s="56">
        <f>($AH487-$AH488)*100</f>
        <v/>
      </c>
      <c r="CB487" s="56">
        <f>($AI487-$AI488)*100</f>
        <v/>
      </c>
      <c r="CC487" s="56">
        <f>($AJ487-$AJ488)*100</f>
        <v/>
      </c>
      <c r="CD487" s="56">
        <f>($AK487-$AK488)*100</f>
        <v/>
      </c>
      <c r="CE487" s="56">
        <f>($AL487-$AL488)*100</f>
        <v/>
      </c>
      <c r="CF487" s="56">
        <f>($AM487-$AM488)*100</f>
        <v/>
      </c>
      <c r="CG487" s="56">
        <f>($AN487-$AN488)*100</f>
        <v/>
      </c>
      <c r="CH487" s="56">
        <f>($AO487-$AO488)*100</f>
        <v/>
      </c>
      <c r="CI487" s="56">
        <f>($AP487-$AP488)*100</f>
        <v/>
      </c>
      <c r="CJ487" s="56">
        <f>($AQ487-$AQ488)*100</f>
        <v/>
      </c>
      <c r="CK487" s="56">
        <f>($AR487-$AR488)*100</f>
        <v/>
      </c>
      <c r="CL487" s="56">
        <f>($AS487-$AS488)*100</f>
        <v/>
      </c>
      <c r="CM487" s="56">
        <f>($AT487-$AT488)*100</f>
        <v/>
      </c>
      <c r="CN487" s="56">
        <f>($AU487-$AU488)*100</f>
        <v/>
      </c>
      <c r="CO487" s="56">
        <f>($AV487-$AV488)*100</f>
        <v/>
      </c>
      <c r="CP487" s="56">
        <f>($AW487-$AW488)*100</f>
        <v/>
      </c>
      <c r="CQ487" s="56">
        <f>($AX487-$AX488)*100</f>
        <v/>
      </c>
      <c r="CR487" s="56">
        <f>($AY487-$AY488)*100</f>
        <v/>
      </c>
      <c r="CS487" s="57">
        <f>IFERROR($L488/$L487-1,"")</f>
        <v/>
      </c>
      <c r="CT487" s="57">
        <f>IFERROR($M488/$M487-1,"")</f>
        <v/>
      </c>
      <c r="CU487" s="57">
        <f>IFERROR($N488/$N487-1,"")</f>
        <v/>
      </c>
      <c r="CV487" s="57">
        <f>IFERROR($O488/$O487-1,"")</f>
        <v/>
      </c>
      <c r="CW487" s="57">
        <f>IFERROR($P488/$P487-1,"")</f>
        <v/>
      </c>
      <c r="CX487" s="57">
        <f>IFERROR($Q488/$Q487-1,"")</f>
        <v/>
      </c>
      <c r="CY487" s="57">
        <f>IFERROR($R488/$R487-1,"")</f>
        <v/>
      </c>
      <c r="CZ487" s="57">
        <f>IFERROR($S488/$S487-1,"")</f>
        <v/>
      </c>
      <c r="DA487" s="57">
        <f>IFERROR($T488/$T487-1,"")</f>
        <v/>
      </c>
      <c r="DB487" s="57">
        <f>IFERROR($U488/$U487-1,"")</f>
        <v/>
      </c>
      <c r="DC487" s="57">
        <f>IFERROR($V488/$V487-1,"")</f>
        <v/>
      </c>
      <c r="DD487" s="57">
        <f>IFERROR($W488/$W487-1,"")</f>
        <v/>
      </c>
      <c r="DE487" s="57">
        <f>IFERROR($X488/$X487-1,"")</f>
        <v/>
      </c>
      <c r="DF487" s="57">
        <f>IFERROR($Y488/$Y487-1,"")</f>
        <v/>
      </c>
      <c r="DG487" s="57">
        <f>IFERROR($Z488/$Z487-1,"")</f>
        <v/>
      </c>
      <c r="DH487" s="57">
        <f>IFERROR($AA488/$AA487-1,"")</f>
        <v/>
      </c>
      <c r="DI487" s="57">
        <f>IFERROR($AB488/$AB487-1,"")</f>
        <v/>
      </c>
      <c r="DJ487" s="57">
        <f>IFERROR($AC488/$AC487-1,"")</f>
        <v/>
      </c>
      <c r="DK487" s="57">
        <f>IFERROR($AD488/$AD487-1,"")</f>
        <v/>
      </c>
      <c r="DL487" s="57">
        <f>IFERROR($AE488/$AE487-1,"")</f>
        <v/>
      </c>
      <c r="DM487" s="56">
        <f>$AZ487-$AZ488</f>
        <v/>
      </c>
      <c r="DN487" s="56">
        <f>$BA487-$BA488</f>
        <v/>
      </c>
      <c r="DO487" s="56">
        <f>$BB487-$BB488</f>
        <v/>
      </c>
      <c r="DP487" s="56">
        <f>$BC487-$BC488</f>
        <v/>
      </c>
      <c r="DQ487" s="56">
        <f>$BD487-$BD488</f>
        <v/>
      </c>
      <c r="DR487" s="56">
        <f>$BE487-$BE488</f>
        <v/>
      </c>
      <c r="DS487" s="56">
        <f>$BF487-$BF488</f>
        <v/>
      </c>
      <c r="DT487" s="56">
        <f>$BG487-$BG488</f>
        <v/>
      </c>
      <c r="DU487" s="56">
        <f>$BH487-$BH488</f>
        <v/>
      </c>
      <c r="DV487" s="56">
        <f>$BI487-$BI488</f>
        <v/>
      </c>
      <c r="DW487" s="56">
        <f>$BJ487-$BJ488</f>
        <v/>
      </c>
      <c r="DX487" s="56">
        <f>$BK487-$BK488</f>
        <v/>
      </c>
      <c r="DY487" s="56">
        <f>$BL487-$BL488</f>
        <v/>
      </c>
      <c r="DZ487" s="56">
        <f>$BM487-$BM488</f>
        <v/>
      </c>
      <c r="EA487" s="56">
        <f>$BN487-$BN488</f>
        <v/>
      </c>
      <c r="EB487" s="56">
        <f>$BO487-$BO488</f>
        <v/>
      </c>
      <c r="EC487" s="56">
        <f>$BP487-$BP488</f>
        <v/>
      </c>
      <c r="ED487" s="56">
        <f>$BQ487-$BQ488</f>
        <v/>
      </c>
      <c r="EE487" s="56">
        <f>$BR487-$BR488</f>
        <v/>
      </c>
      <c r="EF487" s="56">
        <f>$BS487-$BS488</f>
        <v/>
      </c>
      <c r="EG487" s="56">
        <f>$BT487-$BT488</f>
        <v/>
      </c>
      <c r="EH487" s="56">
        <f>$BU487-$BU488</f>
        <v/>
      </c>
    </row>
    <row r="488">
      <c r="BV488" s="56">
        <f>($D488-$D489)*100</f>
        <v/>
      </c>
      <c r="BW488" s="56">
        <f>($C488-$C489)*100</f>
        <v/>
      </c>
      <c r="BX488" s="57">
        <f>IFERROR($I488/$I489-1,"")</f>
        <v/>
      </c>
      <c r="BY488" s="56">
        <f>($AF488-$AF489)*100</f>
        <v/>
      </c>
      <c r="BZ488" s="56">
        <f>($AG488-$AG489)*100</f>
        <v/>
      </c>
      <c r="CA488" s="56">
        <f>($AH488-$AH489)*100</f>
        <v/>
      </c>
      <c r="CB488" s="56">
        <f>($AI488-$AI489)*100</f>
        <v/>
      </c>
      <c r="CC488" s="56">
        <f>($AJ488-$AJ489)*100</f>
        <v/>
      </c>
      <c r="CD488" s="56">
        <f>($AK488-$AK489)*100</f>
        <v/>
      </c>
      <c r="CE488" s="56">
        <f>($AL488-$AL489)*100</f>
        <v/>
      </c>
      <c r="CF488" s="56">
        <f>($AM488-$AM489)*100</f>
        <v/>
      </c>
      <c r="CG488" s="56">
        <f>($AN488-$AN489)*100</f>
        <v/>
      </c>
      <c r="CH488" s="56">
        <f>($AO488-$AO489)*100</f>
        <v/>
      </c>
      <c r="CI488" s="56">
        <f>($AP488-$AP489)*100</f>
        <v/>
      </c>
      <c r="CJ488" s="56">
        <f>($AQ488-$AQ489)*100</f>
        <v/>
      </c>
      <c r="CK488" s="56">
        <f>($AR488-$AR489)*100</f>
        <v/>
      </c>
      <c r="CL488" s="56">
        <f>($AS488-$AS489)*100</f>
        <v/>
      </c>
      <c r="CM488" s="56">
        <f>($AT488-$AT489)*100</f>
        <v/>
      </c>
      <c r="CN488" s="56">
        <f>($AU488-$AU489)*100</f>
        <v/>
      </c>
      <c r="CO488" s="56">
        <f>($AV488-$AV489)*100</f>
        <v/>
      </c>
      <c r="CP488" s="56">
        <f>($AW488-$AW489)*100</f>
        <v/>
      </c>
      <c r="CQ488" s="56">
        <f>($AX488-$AX489)*100</f>
        <v/>
      </c>
      <c r="CR488" s="56">
        <f>($AY488-$AY489)*100</f>
        <v/>
      </c>
      <c r="CS488" s="57">
        <f>IFERROR($L489/$L488-1,"")</f>
        <v/>
      </c>
      <c r="CT488" s="57">
        <f>IFERROR($M489/$M488-1,"")</f>
        <v/>
      </c>
      <c r="CU488" s="57">
        <f>IFERROR($N489/$N488-1,"")</f>
        <v/>
      </c>
      <c r="CV488" s="57">
        <f>IFERROR($O489/$O488-1,"")</f>
        <v/>
      </c>
      <c r="CW488" s="57">
        <f>IFERROR($P489/$P488-1,"")</f>
        <v/>
      </c>
      <c r="CX488" s="57">
        <f>IFERROR($Q489/$Q488-1,"")</f>
        <v/>
      </c>
      <c r="CY488" s="57">
        <f>IFERROR($R489/$R488-1,"")</f>
        <v/>
      </c>
      <c r="CZ488" s="57">
        <f>IFERROR($S489/$S488-1,"")</f>
        <v/>
      </c>
      <c r="DA488" s="57">
        <f>IFERROR($T489/$T488-1,"")</f>
        <v/>
      </c>
      <c r="DB488" s="57">
        <f>IFERROR($U489/$U488-1,"")</f>
        <v/>
      </c>
      <c r="DC488" s="57">
        <f>IFERROR($V489/$V488-1,"")</f>
        <v/>
      </c>
      <c r="DD488" s="57">
        <f>IFERROR($W489/$W488-1,"")</f>
        <v/>
      </c>
      <c r="DE488" s="57">
        <f>IFERROR($X489/$X488-1,"")</f>
        <v/>
      </c>
      <c r="DF488" s="57">
        <f>IFERROR($Y489/$Y488-1,"")</f>
        <v/>
      </c>
      <c r="DG488" s="57">
        <f>IFERROR($Z489/$Z488-1,"")</f>
        <v/>
      </c>
      <c r="DH488" s="57">
        <f>IFERROR($AA489/$AA488-1,"")</f>
        <v/>
      </c>
      <c r="DI488" s="57">
        <f>IFERROR($AB489/$AB488-1,"")</f>
        <v/>
      </c>
      <c r="DJ488" s="57">
        <f>IFERROR($AC489/$AC488-1,"")</f>
        <v/>
      </c>
      <c r="DK488" s="57">
        <f>IFERROR($AD489/$AD488-1,"")</f>
        <v/>
      </c>
      <c r="DL488" s="57">
        <f>IFERROR($AE489/$AE488-1,"")</f>
        <v/>
      </c>
      <c r="DM488" s="56">
        <f>$AZ488-$AZ489</f>
        <v/>
      </c>
      <c r="DN488" s="56">
        <f>$BA488-$BA489</f>
        <v/>
      </c>
      <c r="DO488" s="56">
        <f>$BB488-$BB489</f>
        <v/>
      </c>
      <c r="DP488" s="56">
        <f>$BC488-$BC489</f>
        <v/>
      </c>
      <c r="DQ488" s="56">
        <f>$BD488-$BD489</f>
        <v/>
      </c>
      <c r="DR488" s="56">
        <f>$BE488-$BE489</f>
        <v/>
      </c>
      <c r="DS488" s="56">
        <f>$BF488-$BF489</f>
        <v/>
      </c>
      <c r="DT488" s="56">
        <f>$BG488-$BG489</f>
        <v/>
      </c>
      <c r="DU488" s="56">
        <f>$BH488-$BH489</f>
        <v/>
      </c>
      <c r="DV488" s="56">
        <f>$BI488-$BI489</f>
        <v/>
      </c>
      <c r="DW488" s="56">
        <f>$BJ488-$BJ489</f>
        <v/>
      </c>
      <c r="DX488" s="56">
        <f>$BK488-$BK489</f>
        <v/>
      </c>
      <c r="DY488" s="56">
        <f>$BL488-$BL489</f>
        <v/>
      </c>
      <c r="DZ488" s="56">
        <f>$BM488-$BM489</f>
        <v/>
      </c>
      <c r="EA488" s="56">
        <f>$BN488-$BN489</f>
        <v/>
      </c>
      <c r="EB488" s="56">
        <f>$BO488-$BO489</f>
        <v/>
      </c>
      <c r="EC488" s="56">
        <f>$BP488-$BP489</f>
        <v/>
      </c>
      <c r="ED488" s="56">
        <f>$BQ488-$BQ489</f>
        <v/>
      </c>
      <c r="EE488" s="56">
        <f>$BR488-$BR489</f>
        <v/>
      </c>
      <c r="EF488" s="56">
        <f>$BS488-$BS489</f>
        <v/>
      </c>
      <c r="EG488" s="56">
        <f>$BT488-$BT489</f>
        <v/>
      </c>
      <c r="EH488" s="56">
        <f>$BU488-$BU489</f>
        <v/>
      </c>
    </row>
    <row r="489">
      <c r="BV489" s="56">
        <f>($D489-$D490)*100</f>
        <v/>
      </c>
      <c r="BW489" s="56">
        <f>($C489-$C490)*100</f>
        <v/>
      </c>
      <c r="BX489" s="57">
        <f>IFERROR($I489/$I490-1,"")</f>
        <v/>
      </c>
      <c r="BY489" s="56">
        <f>($AF489-$AF490)*100</f>
        <v/>
      </c>
      <c r="BZ489" s="56">
        <f>($AG489-$AG490)*100</f>
        <v/>
      </c>
      <c r="CA489" s="56">
        <f>($AH489-$AH490)*100</f>
        <v/>
      </c>
      <c r="CB489" s="56">
        <f>($AI489-$AI490)*100</f>
        <v/>
      </c>
      <c r="CC489" s="56">
        <f>($AJ489-$AJ490)*100</f>
        <v/>
      </c>
      <c r="CD489" s="56">
        <f>($AK489-$AK490)*100</f>
        <v/>
      </c>
      <c r="CE489" s="56">
        <f>($AL489-$AL490)*100</f>
        <v/>
      </c>
      <c r="CF489" s="56">
        <f>($AM489-$AM490)*100</f>
        <v/>
      </c>
      <c r="CG489" s="56">
        <f>($AN489-$AN490)*100</f>
        <v/>
      </c>
      <c r="CH489" s="56">
        <f>($AO489-$AO490)*100</f>
        <v/>
      </c>
      <c r="CI489" s="56">
        <f>($AP489-$AP490)*100</f>
        <v/>
      </c>
      <c r="CJ489" s="56">
        <f>($AQ489-$AQ490)*100</f>
        <v/>
      </c>
      <c r="CK489" s="56">
        <f>($AR489-$AR490)*100</f>
        <v/>
      </c>
      <c r="CL489" s="56">
        <f>($AS489-$AS490)*100</f>
        <v/>
      </c>
      <c r="CM489" s="56">
        <f>($AT489-$AT490)*100</f>
        <v/>
      </c>
      <c r="CN489" s="56">
        <f>($AU489-$AU490)*100</f>
        <v/>
      </c>
      <c r="CO489" s="56">
        <f>($AV489-$AV490)*100</f>
        <v/>
      </c>
      <c r="CP489" s="56">
        <f>($AW489-$AW490)*100</f>
        <v/>
      </c>
      <c r="CQ489" s="56">
        <f>($AX489-$AX490)*100</f>
        <v/>
      </c>
      <c r="CR489" s="56">
        <f>($AY489-$AY490)*100</f>
        <v/>
      </c>
      <c r="CS489" s="57">
        <f>IFERROR($L490/$L489-1,"")</f>
        <v/>
      </c>
      <c r="CT489" s="57">
        <f>IFERROR($M490/$M489-1,"")</f>
        <v/>
      </c>
      <c r="CU489" s="57">
        <f>IFERROR($N490/$N489-1,"")</f>
        <v/>
      </c>
      <c r="CV489" s="57">
        <f>IFERROR($O490/$O489-1,"")</f>
        <v/>
      </c>
      <c r="CW489" s="57">
        <f>IFERROR($P490/$P489-1,"")</f>
        <v/>
      </c>
      <c r="CX489" s="57">
        <f>IFERROR($Q490/$Q489-1,"")</f>
        <v/>
      </c>
      <c r="CY489" s="57">
        <f>IFERROR($R490/$R489-1,"")</f>
        <v/>
      </c>
      <c r="CZ489" s="57">
        <f>IFERROR($S490/$S489-1,"")</f>
        <v/>
      </c>
      <c r="DA489" s="57">
        <f>IFERROR($T490/$T489-1,"")</f>
        <v/>
      </c>
      <c r="DB489" s="57">
        <f>IFERROR($U490/$U489-1,"")</f>
        <v/>
      </c>
      <c r="DC489" s="57">
        <f>IFERROR($V490/$V489-1,"")</f>
        <v/>
      </c>
      <c r="DD489" s="57">
        <f>IFERROR($W490/$W489-1,"")</f>
        <v/>
      </c>
      <c r="DE489" s="57">
        <f>IFERROR($X490/$X489-1,"")</f>
        <v/>
      </c>
      <c r="DF489" s="57">
        <f>IFERROR($Y490/$Y489-1,"")</f>
        <v/>
      </c>
      <c r="DG489" s="57">
        <f>IFERROR($Z490/$Z489-1,"")</f>
        <v/>
      </c>
      <c r="DH489" s="57">
        <f>IFERROR($AA490/$AA489-1,"")</f>
        <v/>
      </c>
      <c r="DI489" s="57">
        <f>IFERROR($AB490/$AB489-1,"")</f>
        <v/>
      </c>
      <c r="DJ489" s="57">
        <f>IFERROR($AC490/$AC489-1,"")</f>
        <v/>
      </c>
      <c r="DK489" s="57">
        <f>IFERROR($AD490/$AD489-1,"")</f>
        <v/>
      </c>
      <c r="DL489" s="57">
        <f>IFERROR($AE490/$AE489-1,"")</f>
        <v/>
      </c>
      <c r="DM489" s="56">
        <f>$AZ489-$AZ490</f>
        <v/>
      </c>
      <c r="DN489" s="56">
        <f>$BA489-$BA490</f>
        <v/>
      </c>
      <c r="DO489" s="56">
        <f>$BB489-$BB490</f>
        <v/>
      </c>
      <c r="DP489" s="56">
        <f>$BC489-$BC490</f>
        <v/>
      </c>
      <c r="DQ489" s="56">
        <f>$BD489-$BD490</f>
        <v/>
      </c>
      <c r="DR489" s="56">
        <f>$BE489-$BE490</f>
        <v/>
      </c>
      <c r="DS489" s="56">
        <f>$BF489-$BF490</f>
        <v/>
      </c>
      <c r="DT489" s="56">
        <f>$BG489-$BG490</f>
        <v/>
      </c>
      <c r="DU489" s="56">
        <f>$BH489-$BH490</f>
        <v/>
      </c>
      <c r="DV489" s="56">
        <f>$BI489-$BI490</f>
        <v/>
      </c>
      <c r="DW489" s="56">
        <f>$BJ489-$BJ490</f>
        <v/>
      </c>
      <c r="DX489" s="56">
        <f>$BK489-$BK490</f>
        <v/>
      </c>
      <c r="DY489" s="56">
        <f>$BL489-$BL490</f>
        <v/>
      </c>
      <c r="DZ489" s="56">
        <f>$BM489-$BM490</f>
        <v/>
      </c>
      <c r="EA489" s="56">
        <f>$BN489-$BN490</f>
        <v/>
      </c>
      <c r="EB489" s="56">
        <f>$BO489-$BO490</f>
        <v/>
      </c>
      <c r="EC489" s="56">
        <f>$BP489-$BP490</f>
        <v/>
      </c>
      <c r="ED489" s="56">
        <f>$BQ489-$BQ490</f>
        <v/>
      </c>
      <c r="EE489" s="56">
        <f>$BR489-$BR490</f>
        <v/>
      </c>
      <c r="EF489" s="56">
        <f>$BS489-$BS490</f>
        <v/>
      </c>
      <c r="EG489" s="56">
        <f>$BT489-$BT490</f>
        <v/>
      </c>
      <c r="EH489" s="56">
        <f>$BU489-$BU490</f>
        <v/>
      </c>
    </row>
    <row r="490">
      <c r="BV490" s="56">
        <f>($D490-$D491)*100</f>
        <v/>
      </c>
      <c r="BW490" s="56">
        <f>($C490-$C491)*100</f>
        <v/>
      </c>
      <c r="BX490" s="57">
        <f>IFERROR($I490/$I491-1,"")</f>
        <v/>
      </c>
      <c r="BY490" s="56">
        <f>($AF490-$AF491)*100</f>
        <v/>
      </c>
      <c r="BZ490" s="56">
        <f>($AG490-$AG491)*100</f>
        <v/>
      </c>
      <c r="CA490" s="56">
        <f>($AH490-$AH491)*100</f>
        <v/>
      </c>
      <c r="CB490" s="56">
        <f>($AI490-$AI491)*100</f>
        <v/>
      </c>
      <c r="CC490" s="56">
        <f>($AJ490-$AJ491)*100</f>
        <v/>
      </c>
      <c r="CD490" s="56">
        <f>($AK490-$AK491)*100</f>
        <v/>
      </c>
      <c r="CE490" s="56">
        <f>($AL490-$AL491)*100</f>
        <v/>
      </c>
      <c r="CF490" s="56">
        <f>($AM490-$AM491)*100</f>
        <v/>
      </c>
      <c r="CG490" s="56">
        <f>($AN490-$AN491)*100</f>
        <v/>
      </c>
      <c r="CH490" s="56">
        <f>($AO490-$AO491)*100</f>
        <v/>
      </c>
      <c r="CI490" s="56">
        <f>($AP490-$AP491)*100</f>
        <v/>
      </c>
      <c r="CJ490" s="56">
        <f>($AQ490-$AQ491)*100</f>
        <v/>
      </c>
      <c r="CK490" s="56">
        <f>($AR490-$AR491)*100</f>
        <v/>
      </c>
      <c r="CL490" s="56">
        <f>($AS490-$AS491)*100</f>
        <v/>
      </c>
      <c r="CM490" s="56">
        <f>($AT490-$AT491)*100</f>
        <v/>
      </c>
      <c r="CN490" s="56">
        <f>($AU490-$AU491)*100</f>
        <v/>
      </c>
      <c r="CO490" s="56">
        <f>($AV490-$AV491)*100</f>
        <v/>
      </c>
      <c r="CP490" s="56">
        <f>($AW490-$AW491)*100</f>
        <v/>
      </c>
      <c r="CQ490" s="56">
        <f>($AX490-$AX491)*100</f>
        <v/>
      </c>
      <c r="CR490" s="56">
        <f>($AY490-$AY491)*100</f>
        <v/>
      </c>
      <c r="CS490" s="57">
        <f>IFERROR($L491/$L490-1,"")</f>
        <v/>
      </c>
      <c r="CT490" s="57">
        <f>IFERROR($M491/$M490-1,"")</f>
        <v/>
      </c>
      <c r="CU490" s="57">
        <f>IFERROR($N491/$N490-1,"")</f>
        <v/>
      </c>
      <c r="CV490" s="57">
        <f>IFERROR($O491/$O490-1,"")</f>
        <v/>
      </c>
      <c r="CW490" s="57">
        <f>IFERROR($P491/$P490-1,"")</f>
        <v/>
      </c>
      <c r="CX490" s="57">
        <f>IFERROR($Q491/$Q490-1,"")</f>
        <v/>
      </c>
      <c r="CY490" s="57">
        <f>IFERROR($R491/$R490-1,"")</f>
        <v/>
      </c>
      <c r="CZ490" s="57">
        <f>IFERROR($S491/$S490-1,"")</f>
        <v/>
      </c>
      <c r="DA490" s="57">
        <f>IFERROR($T491/$T490-1,"")</f>
        <v/>
      </c>
      <c r="DB490" s="57">
        <f>IFERROR($U491/$U490-1,"")</f>
        <v/>
      </c>
      <c r="DC490" s="57">
        <f>IFERROR($V491/$V490-1,"")</f>
        <v/>
      </c>
      <c r="DD490" s="57">
        <f>IFERROR($W491/$W490-1,"")</f>
        <v/>
      </c>
      <c r="DE490" s="57">
        <f>IFERROR($X491/$X490-1,"")</f>
        <v/>
      </c>
      <c r="DF490" s="57">
        <f>IFERROR($Y491/$Y490-1,"")</f>
        <v/>
      </c>
      <c r="DG490" s="57">
        <f>IFERROR($Z491/$Z490-1,"")</f>
        <v/>
      </c>
      <c r="DH490" s="57">
        <f>IFERROR($AA491/$AA490-1,"")</f>
        <v/>
      </c>
      <c r="DI490" s="57">
        <f>IFERROR($AB491/$AB490-1,"")</f>
        <v/>
      </c>
      <c r="DJ490" s="57">
        <f>IFERROR($AC491/$AC490-1,"")</f>
        <v/>
      </c>
      <c r="DK490" s="57">
        <f>IFERROR($AD491/$AD490-1,"")</f>
        <v/>
      </c>
      <c r="DL490" s="57">
        <f>IFERROR($AE491/$AE490-1,"")</f>
        <v/>
      </c>
      <c r="DM490" s="56">
        <f>$AZ490-$AZ491</f>
        <v/>
      </c>
      <c r="DN490" s="56">
        <f>$BA490-$BA491</f>
        <v/>
      </c>
      <c r="DO490" s="56">
        <f>$BB490-$BB491</f>
        <v/>
      </c>
      <c r="DP490" s="56">
        <f>$BC490-$BC491</f>
        <v/>
      </c>
      <c r="DQ490" s="56">
        <f>$BD490-$BD491</f>
        <v/>
      </c>
      <c r="DR490" s="56">
        <f>$BE490-$BE491</f>
        <v/>
      </c>
      <c r="DS490" s="56">
        <f>$BF490-$BF491</f>
        <v/>
      </c>
      <c r="DT490" s="56">
        <f>$BG490-$BG491</f>
        <v/>
      </c>
      <c r="DU490" s="56">
        <f>$BH490-$BH491</f>
        <v/>
      </c>
      <c r="DV490" s="56">
        <f>$BI490-$BI491</f>
        <v/>
      </c>
      <c r="DW490" s="56">
        <f>$BJ490-$BJ491</f>
        <v/>
      </c>
      <c r="DX490" s="56">
        <f>$BK490-$BK491</f>
        <v/>
      </c>
      <c r="DY490" s="56">
        <f>$BL490-$BL491</f>
        <v/>
      </c>
      <c r="DZ490" s="56">
        <f>$BM490-$BM491</f>
        <v/>
      </c>
      <c r="EA490" s="56">
        <f>$BN490-$BN491</f>
        <v/>
      </c>
      <c r="EB490" s="56">
        <f>$BO490-$BO491</f>
        <v/>
      </c>
      <c r="EC490" s="56">
        <f>$BP490-$BP491</f>
        <v/>
      </c>
      <c r="ED490" s="56">
        <f>$BQ490-$BQ491</f>
        <v/>
      </c>
      <c r="EE490" s="56">
        <f>$BR490-$BR491</f>
        <v/>
      </c>
      <c r="EF490" s="56">
        <f>$BS490-$BS491</f>
        <v/>
      </c>
      <c r="EG490" s="56">
        <f>$BT490-$BT491</f>
        <v/>
      </c>
      <c r="EH490" s="56">
        <f>$BU490-$BU491</f>
        <v/>
      </c>
    </row>
    <row r="491">
      <c r="BV491" s="56">
        <f>($D491-$D492)*100</f>
        <v/>
      </c>
      <c r="BW491" s="56">
        <f>($C491-$C492)*100</f>
        <v/>
      </c>
      <c r="BX491" s="57">
        <f>IFERROR($I491/$I492-1,"")</f>
        <v/>
      </c>
      <c r="BY491" s="56">
        <f>($AF491-$AF492)*100</f>
        <v/>
      </c>
      <c r="BZ491" s="56">
        <f>($AG491-$AG492)*100</f>
        <v/>
      </c>
      <c r="CA491" s="56">
        <f>($AH491-$AH492)*100</f>
        <v/>
      </c>
      <c r="CB491" s="56">
        <f>($AI491-$AI492)*100</f>
        <v/>
      </c>
      <c r="CC491" s="56">
        <f>($AJ491-$AJ492)*100</f>
        <v/>
      </c>
      <c r="CD491" s="56">
        <f>($AK491-$AK492)*100</f>
        <v/>
      </c>
      <c r="CE491" s="56">
        <f>($AL491-$AL492)*100</f>
        <v/>
      </c>
      <c r="CF491" s="56">
        <f>($AM491-$AM492)*100</f>
        <v/>
      </c>
      <c r="CG491" s="56">
        <f>($AN491-$AN492)*100</f>
        <v/>
      </c>
      <c r="CH491" s="56">
        <f>($AO491-$AO492)*100</f>
        <v/>
      </c>
      <c r="CI491" s="56">
        <f>($AP491-$AP492)*100</f>
        <v/>
      </c>
      <c r="CJ491" s="56">
        <f>($AQ491-$AQ492)*100</f>
        <v/>
      </c>
      <c r="CK491" s="56">
        <f>($AR491-$AR492)*100</f>
        <v/>
      </c>
      <c r="CL491" s="56">
        <f>($AS491-$AS492)*100</f>
        <v/>
      </c>
      <c r="CM491" s="56">
        <f>($AT491-$AT492)*100</f>
        <v/>
      </c>
      <c r="CN491" s="56">
        <f>($AU491-$AU492)*100</f>
        <v/>
      </c>
      <c r="CO491" s="56">
        <f>($AV491-$AV492)*100</f>
        <v/>
      </c>
      <c r="CP491" s="56">
        <f>($AW491-$AW492)*100</f>
        <v/>
      </c>
      <c r="CQ491" s="56">
        <f>($AX491-$AX492)*100</f>
        <v/>
      </c>
      <c r="CR491" s="56">
        <f>($AY491-$AY492)*100</f>
        <v/>
      </c>
      <c r="CS491" s="57">
        <f>IFERROR($L492/$L491-1,"")</f>
        <v/>
      </c>
      <c r="CT491" s="57">
        <f>IFERROR($M492/$M491-1,"")</f>
        <v/>
      </c>
      <c r="CU491" s="57">
        <f>IFERROR($N492/$N491-1,"")</f>
        <v/>
      </c>
      <c r="CV491" s="57">
        <f>IFERROR($O492/$O491-1,"")</f>
        <v/>
      </c>
      <c r="CW491" s="57">
        <f>IFERROR($P492/$P491-1,"")</f>
        <v/>
      </c>
      <c r="CX491" s="57">
        <f>IFERROR($Q492/$Q491-1,"")</f>
        <v/>
      </c>
      <c r="CY491" s="57">
        <f>IFERROR($R492/$R491-1,"")</f>
        <v/>
      </c>
      <c r="CZ491" s="57">
        <f>IFERROR($S492/$S491-1,"")</f>
        <v/>
      </c>
      <c r="DA491" s="57">
        <f>IFERROR($T492/$T491-1,"")</f>
        <v/>
      </c>
      <c r="DB491" s="57">
        <f>IFERROR($U492/$U491-1,"")</f>
        <v/>
      </c>
      <c r="DC491" s="57">
        <f>IFERROR($V492/$V491-1,"")</f>
        <v/>
      </c>
      <c r="DD491" s="57">
        <f>IFERROR($W492/$W491-1,"")</f>
        <v/>
      </c>
      <c r="DE491" s="57">
        <f>IFERROR($X492/$X491-1,"")</f>
        <v/>
      </c>
      <c r="DF491" s="57">
        <f>IFERROR($Y492/$Y491-1,"")</f>
        <v/>
      </c>
      <c r="DG491" s="57">
        <f>IFERROR($Z492/$Z491-1,"")</f>
        <v/>
      </c>
      <c r="DH491" s="57">
        <f>IFERROR($AA492/$AA491-1,"")</f>
        <v/>
      </c>
      <c r="DI491" s="57">
        <f>IFERROR($AB492/$AB491-1,"")</f>
        <v/>
      </c>
      <c r="DJ491" s="57">
        <f>IFERROR($AC492/$AC491-1,"")</f>
        <v/>
      </c>
      <c r="DK491" s="57">
        <f>IFERROR($AD492/$AD491-1,"")</f>
        <v/>
      </c>
      <c r="DL491" s="57">
        <f>IFERROR($AE492/$AE491-1,"")</f>
        <v/>
      </c>
      <c r="DM491" s="56">
        <f>$AZ491-$AZ492</f>
        <v/>
      </c>
      <c r="DN491" s="56">
        <f>$BA491-$BA492</f>
        <v/>
      </c>
      <c r="DO491" s="56">
        <f>$BB491-$BB492</f>
        <v/>
      </c>
      <c r="DP491" s="56">
        <f>$BC491-$BC492</f>
        <v/>
      </c>
      <c r="DQ491" s="56">
        <f>$BD491-$BD492</f>
        <v/>
      </c>
      <c r="DR491" s="56">
        <f>$BE491-$BE492</f>
        <v/>
      </c>
      <c r="DS491" s="56">
        <f>$BF491-$BF492</f>
        <v/>
      </c>
      <c r="DT491" s="56">
        <f>$BG491-$BG492</f>
        <v/>
      </c>
      <c r="DU491" s="56">
        <f>$BH491-$BH492</f>
        <v/>
      </c>
      <c r="DV491" s="56">
        <f>$BI491-$BI492</f>
        <v/>
      </c>
      <c r="DW491" s="56">
        <f>$BJ491-$BJ492</f>
        <v/>
      </c>
      <c r="DX491" s="56">
        <f>$BK491-$BK492</f>
        <v/>
      </c>
      <c r="DY491" s="56">
        <f>$BL491-$BL492</f>
        <v/>
      </c>
      <c r="DZ491" s="56">
        <f>$BM491-$BM492</f>
        <v/>
      </c>
      <c r="EA491" s="56">
        <f>$BN491-$BN492</f>
        <v/>
      </c>
      <c r="EB491" s="56">
        <f>$BO491-$BO492</f>
        <v/>
      </c>
      <c r="EC491" s="56">
        <f>$BP491-$BP492</f>
        <v/>
      </c>
      <c r="ED491" s="56">
        <f>$BQ491-$BQ492</f>
        <v/>
      </c>
      <c r="EE491" s="56">
        <f>$BR491-$BR492</f>
        <v/>
      </c>
      <c r="EF491" s="56">
        <f>$BS491-$BS492</f>
        <v/>
      </c>
      <c r="EG491" s="56">
        <f>$BT491-$BT492</f>
        <v/>
      </c>
      <c r="EH491" s="56">
        <f>$BU491-$BU492</f>
        <v/>
      </c>
    </row>
    <row r="492">
      <c r="BV492" s="56">
        <f>($D492-$D493)*100</f>
        <v/>
      </c>
      <c r="BW492" s="56">
        <f>($C492-$C493)*100</f>
        <v/>
      </c>
      <c r="BX492" s="57">
        <f>IFERROR($I492/$I493-1,"")</f>
        <v/>
      </c>
      <c r="BY492" s="56">
        <f>($AF492-$AF493)*100</f>
        <v/>
      </c>
      <c r="BZ492" s="56">
        <f>($AG492-$AG493)*100</f>
        <v/>
      </c>
      <c r="CA492" s="56">
        <f>($AH492-$AH493)*100</f>
        <v/>
      </c>
      <c r="CB492" s="56">
        <f>($AI492-$AI493)*100</f>
        <v/>
      </c>
      <c r="CC492" s="56">
        <f>($AJ492-$AJ493)*100</f>
        <v/>
      </c>
      <c r="CD492" s="56">
        <f>($AK492-$AK493)*100</f>
        <v/>
      </c>
      <c r="CE492" s="56">
        <f>($AL492-$AL493)*100</f>
        <v/>
      </c>
      <c r="CF492" s="56">
        <f>($AM492-$AM493)*100</f>
        <v/>
      </c>
      <c r="CG492" s="56">
        <f>($AN492-$AN493)*100</f>
        <v/>
      </c>
      <c r="CH492" s="56">
        <f>($AO492-$AO493)*100</f>
        <v/>
      </c>
      <c r="CI492" s="56">
        <f>($AP492-$AP493)*100</f>
        <v/>
      </c>
      <c r="CJ492" s="56">
        <f>($AQ492-$AQ493)*100</f>
        <v/>
      </c>
      <c r="CK492" s="56">
        <f>($AR492-$AR493)*100</f>
        <v/>
      </c>
      <c r="CL492" s="56">
        <f>($AS492-$AS493)*100</f>
        <v/>
      </c>
      <c r="CM492" s="56">
        <f>($AT492-$AT493)*100</f>
        <v/>
      </c>
      <c r="CN492" s="56">
        <f>($AU492-$AU493)*100</f>
        <v/>
      </c>
      <c r="CO492" s="56">
        <f>($AV492-$AV493)*100</f>
        <v/>
      </c>
      <c r="CP492" s="56">
        <f>($AW492-$AW493)*100</f>
        <v/>
      </c>
      <c r="CQ492" s="56">
        <f>($AX492-$AX493)*100</f>
        <v/>
      </c>
      <c r="CR492" s="56">
        <f>($AY492-$AY493)*100</f>
        <v/>
      </c>
      <c r="CS492" s="57">
        <f>IFERROR($L493/$L492-1,"")</f>
        <v/>
      </c>
      <c r="CT492" s="57">
        <f>IFERROR($M493/$M492-1,"")</f>
        <v/>
      </c>
      <c r="CU492" s="57">
        <f>IFERROR($N493/$N492-1,"")</f>
        <v/>
      </c>
      <c r="CV492" s="57">
        <f>IFERROR($O493/$O492-1,"")</f>
        <v/>
      </c>
      <c r="CW492" s="57">
        <f>IFERROR($P493/$P492-1,"")</f>
        <v/>
      </c>
      <c r="CX492" s="57">
        <f>IFERROR($Q493/$Q492-1,"")</f>
        <v/>
      </c>
      <c r="CY492" s="57">
        <f>IFERROR($R493/$R492-1,"")</f>
        <v/>
      </c>
      <c r="CZ492" s="57">
        <f>IFERROR($S493/$S492-1,"")</f>
        <v/>
      </c>
      <c r="DA492" s="57">
        <f>IFERROR($T493/$T492-1,"")</f>
        <v/>
      </c>
      <c r="DB492" s="57">
        <f>IFERROR($U493/$U492-1,"")</f>
        <v/>
      </c>
      <c r="DC492" s="57">
        <f>IFERROR($V493/$V492-1,"")</f>
        <v/>
      </c>
      <c r="DD492" s="57">
        <f>IFERROR($W493/$W492-1,"")</f>
        <v/>
      </c>
      <c r="DE492" s="57">
        <f>IFERROR($X493/$X492-1,"")</f>
        <v/>
      </c>
      <c r="DF492" s="57">
        <f>IFERROR($Y493/$Y492-1,"")</f>
        <v/>
      </c>
      <c r="DG492" s="57">
        <f>IFERROR($Z493/$Z492-1,"")</f>
        <v/>
      </c>
      <c r="DH492" s="57">
        <f>IFERROR($AA493/$AA492-1,"")</f>
        <v/>
      </c>
      <c r="DI492" s="57">
        <f>IFERROR($AB493/$AB492-1,"")</f>
        <v/>
      </c>
      <c r="DJ492" s="57">
        <f>IFERROR($AC493/$AC492-1,"")</f>
        <v/>
      </c>
      <c r="DK492" s="57">
        <f>IFERROR($AD493/$AD492-1,"")</f>
        <v/>
      </c>
      <c r="DL492" s="57">
        <f>IFERROR($AE493/$AE492-1,"")</f>
        <v/>
      </c>
      <c r="DM492" s="56">
        <f>$AZ492-$AZ493</f>
        <v/>
      </c>
      <c r="DN492" s="56">
        <f>$BA492-$BA493</f>
        <v/>
      </c>
      <c r="DO492" s="56">
        <f>$BB492-$BB493</f>
        <v/>
      </c>
      <c r="DP492" s="56">
        <f>$BC492-$BC493</f>
        <v/>
      </c>
      <c r="DQ492" s="56">
        <f>$BD492-$BD493</f>
        <v/>
      </c>
      <c r="DR492" s="56">
        <f>$BE492-$BE493</f>
        <v/>
      </c>
      <c r="DS492" s="56">
        <f>$BF492-$BF493</f>
        <v/>
      </c>
      <c r="DT492" s="56">
        <f>$BG492-$BG493</f>
        <v/>
      </c>
      <c r="DU492" s="56">
        <f>$BH492-$BH493</f>
        <v/>
      </c>
      <c r="DV492" s="56">
        <f>$BI492-$BI493</f>
        <v/>
      </c>
      <c r="DW492" s="56">
        <f>$BJ492-$BJ493</f>
        <v/>
      </c>
      <c r="DX492" s="56">
        <f>$BK492-$BK493</f>
        <v/>
      </c>
      <c r="DY492" s="56">
        <f>$BL492-$BL493</f>
        <v/>
      </c>
      <c r="DZ492" s="56">
        <f>$BM492-$BM493</f>
        <v/>
      </c>
      <c r="EA492" s="56">
        <f>$BN492-$BN493</f>
        <v/>
      </c>
      <c r="EB492" s="56">
        <f>$BO492-$BO493</f>
        <v/>
      </c>
      <c r="EC492" s="56">
        <f>$BP492-$BP493</f>
        <v/>
      </c>
      <c r="ED492" s="56">
        <f>$BQ492-$BQ493</f>
        <v/>
      </c>
      <c r="EE492" s="56">
        <f>$BR492-$BR493</f>
        <v/>
      </c>
      <c r="EF492" s="56">
        <f>$BS492-$BS493</f>
        <v/>
      </c>
      <c r="EG492" s="56">
        <f>$BT492-$BT493</f>
        <v/>
      </c>
      <c r="EH492" s="56">
        <f>$BU492-$BU493</f>
        <v/>
      </c>
    </row>
    <row r="493">
      <c r="BV493" s="56">
        <f>($D493-$D494)*100</f>
        <v/>
      </c>
      <c r="BW493" s="56">
        <f>($C493-$C494)*100</f>
        <v/>
      </c>
      <c r="BX493" s="57">
        <f>IFERROR($I493/$I494-1,"")</f>
        <v/>
      </c>
      <c r="BY493" s="56">
        <f>($AF493-$AF494)*100</f>
        <v/>
      </c>
      <c r="BZ493" s="56">
        <f>($AG493-$AG494)*100</f>
        <v/>
      </c>
      <c r="CA493" s="56">
        <f>($AH493-$AH494)*100</f>
        <v/>
      </c>
      <c r="CB493" s="56">
        <f>($AI493-$AI494)*100</f>
        <v/>
      </c>
      <c r="CC493" s="56">
        <f>($AJ493-$AJ494)*100</f>
        <v/>
      </c>
      <c r="CD493" s="56">
        <f>($AK493-$AK494)*100</f>
        <v/>
      </c>
      <c r="CE493" s="56">
        <f>($AL493-$AL494)*100</f>
        <v/>
      </c>
      <c r="CF493" s="56">
        <f>($AM493-$AM494)*100</f>
        <v/>
      </c>
      <c r="CG493" s="56">
        <f>($AN493-$AN494)*100</f>
        <v/>
      </c>
      <c r="CH493" s="56">
        <f>($AO493-$AO494)*100</f>
        <v/>
      </c>
      <c r="CI493" s="56">
        <f>($AP493-$AP494)*100</f>
        <v/>
      </c>
      <c r="CJ493" s="56">
        <f>($AQ493-$AQ494)*100</f>
        <v/>
      </c>
      <c r="CK493" s="56">
        <f>($AR493-$AR494)*100</f>
        <v/>
      </c>
      <c r="CL493" s="56">
        <f>($AS493-$AS494)*100</f>
        <v/>
      </c>
      <c r="CM493" s="56">
        <f>($AT493-$AT494)*100</f>
        <v/>
      </c>
      <c r="CN493" s="56">
        <f>($AU493-$AU494)*100</f>
        <v/>
      </c>
      <c r="CO493" s="56">
        <f>($AV493-$AV494)*100</f>
        <v/>
      </c>
      <c r="CP493" s="56">
        <f>($AW493-$AW494)*100</f>
        <v/>
      </c>
      <c r="CQ493" s="56">
        <f>($AX493-$AX494)*100</f>
        <v/>
      </c>
      <c r="CR493" s="56">
        <f>($AY493-$AY494)*100</f>
        <v/>
      </c>
      <c r="CS493" s="57">
        <f>IFERROR($L494/$L493-1,"")</f>
        <v/>
      </c>
      <c r="CT493" s="57">
        <f>IFERROR($M494/$M493-1,"")</f>
        <v/>
      </c>
      <c r="CU493" s="57">
        <f>IFERROR($N494/$N493-1,"")</f>
        <v/>
      </c>
      <c r="CV493" s="57">
        <f>IFERROR($O494/$O493-1,"")</f>
        <v/>
      </c>
      <c r="CW493" s="57">
        <f>IFERROR($P494/$P493-1,"")</f>
        <v/>
      </c>
      <c r="CX493" s="57">
        <f>IFERROR($Q494/$Q493-1,"")</f>
        <v/>
      </c>
      <c r="CY493" s="57">
        <f>IFERROR($R494/$R493-1,"")</f>
        <v/>
      </c>
      <c r="CZ493" s="57">
        <f>IFERROR($S494/$S493-1,"")</f>
        <v/>
      </c>
      <c r="DA493" s="57">
        <f>IFERROR($T494/$T493-1,"")</f>
        <v/>
      </c>
      <c r="DB493" s="57">
        <f>IFERROR($U494/$U493-1,"")</f>
        <v/>
      </c>
      <c r="DC493" s="57">
        <f>IFERROR($V494/$V493-1,"")</f>
        <v/>
      </c>
      <c r="DD493" s="57">
        <f>IFERROR($W494/$W493-1,"")</f>
        <v/>
      </c>
      <c r="DE493" s="57">
        <f>IFERROR($X494/$X493-1,"")</f>
        <v/>
      </c>
      <c r="DF493" s="57">
        <f>IFERROR($Y494/$Y493-1,"")</f>
        <v/>
      </c>
      <c r="DG493" s="57">
        <f>IFERROR($Z494/$Z493-1,"")</f>
        <v/>
      </c>
      <c r="DH493" s="57">
        <f>IFERROR($AA494/$AA493-1,"")</f>
        <v/>
      </c>
      <c r="DI493" s="57">
        <f>IFERROR($AB494/$AB493-1,"")</f>
        <v/>
      </c>
      <c r="DJ493" s="57">
        <f>IFERROR($AC494/$AC493-1,"")</f>
        <v/>
      </c>
      <c r="DK493" s="57">
        <f>IFERROR($AD494/$AD493-1,"")</f>
        <v/>
      </c>
      <c r="DL493" s="57">
        <f>IFERROR($AE494/$AE493-1,"")</f>
        <v/>
      </c>
      <c r="DM493" s="56">
        <f>$AZ493-$AZ494</f>
        <v/>
      </c>
      <c r="DN493" s="56">
        <f>$BA493-$BA494</f>
        <v/>
      </c>
      <c r="DO493" s="56">
        <f>$BB493-$BB494</f>
        <v/>
      </c>
      <c r="DP493" s="56">
        <f>$BC493-$BC494</f>
        <v/>
      </c>
      <c r="DQ493" s="56">
        <f>$BD493-$BD494</f>
        <v/>
      </c>
      <c r="DR493" s="56">
        <f>$BE493-$BE494</f>
        <v/>
      </c>
      <c r="DS493" s="56">
        <f>$BF493-$BF494</f>
        <v/>
      </c>
      <c r="DT493" s="56">
        <f>$BG493-$BG494</f>
        <v/>
      </c>
      <c r="DU493" s="56">
        <f>$BH493-$BH494</f>
        <v/>
      </c>
      <c r="DV493" s="56">
        <f>$BI493-$BI494</f>
        <v/>
      </c>
      <c r="DW493" s="56">
        <f>$BJ493-$BJ494</f>
        <v/>
      </c>
      <c r="DX493" s="56">
        <f>$BK493-$BK494</f>
        <v/>
      </c>
      <c r="DY493" s="56">
        <f>$BL493-$BL494</f>
        <v/>
      </c>
      <c r="DZ493" s="56">
        <f>$BM493-$BM494</f>
        <v/>
      </c>
      <c r="EA493" s="56">
        <f>$BN493-$BN494</f>
        <v/>
      </c>
      <c r="EB493" s="56">
        <f>$BO493-$BO494</f>
        <v/>
      </c>
      <c r="EC493" s="56">
        <f>$BP493-$BP494</f>
        <v/>
      </c>
      <c r="ED493" s="56">
        <f>$BQ493-$BQ494</f>
        <v/>
      </c>
      <c r="EE493" s="56">
        <f>$BR493-$BR494</f>
        <v/>
      </c>
      <c r="EF493" s="56">
        <f>$BS493-$BS494</f>
        <v/>
      </c>
      <c r="EG493" s="56">
        <f>$BT493-$BT494</f>
        <v/>
      </c>
      <c r="EH493" s="56">
        <f>$BU493-$BU494</f>
        <v/>
      </c>
    </row>
    <row r="494">
      <c r="BV494" s="56">
        <f>($D494-$D495)*100</f>
        <v/>
      </c>
      <c r="BW494" s="56">
        <f>($C494-$C495)*100</f>
        <v/>
      </c>
      <c r="BX494" s="57">
        <f>IFERROR($I494/$I495-1,"")</f>
        <v/>
      </c>
      <c r="BY494" s="56">
        <f>($AF494-$AF495)*100</f>
        <v/>
      </c>
      <c r="BZ494" s="56">
        <f>($AG494-$AG495)*100</f>
        <v/>
      </c>
      <c r="CA494" s="56">
        <f>($AH494-$AH495)*100</f>
        <v/>
      </c>
      <c r="CB494" s="56">
        <f>($AI494-$AI495)*100</f>
        <v/>
      </c>
      <c r="CC494" s="56">
        <f>($AJ494-$AJ495)*100</f>
        <v/>
      </c>
      <c r="CD494" s="56">
        <f>($AK494-$AK495)*100</f>
        <v/>
      </c>
      <c r="CE494" s="56">
        <f>($AL494-$AL495)*100</f>
        <v/>
      </c>
      <c r="CF494" s="56">
        <f>($AM494-$AM495)*100</f>
        <v/>
      </c>
      <c r="CG494" s="56">
        <f>($AN494-$AN495)*100</f>
        <v/>
      </c>
      <c r="CH494" s="56">
        <f>($AO494-$AO495)*100</f>
        <v/>
      </c>
      <c r="CI494" s="56">
        <f>($AP494-$AP495)*100</f>
        <v/>
      </c>
      <c r="CJ494" s="56">
        <f>($AQ494-$AQ495)*100</f>
        <v/>
      </c>
      <c r="CK494" s="56">
        <f>($AR494-$AR495)*100</f>
        <v/>
      </c>
      <c r="CL494" s="56">
        <f>($AS494-$AS495)*100</f>
        <v/>
      </c>
      <c r="CM494" s="56">
        <f>($AT494-$AT495)*100</f>
        <v/>
      </c>
      <c r="CN494" s="56">
        <f>($AU494-$AU495)*100</f>
        <v/>
      </c>
      <c r="CO494" s="56">
        <f>($AV494-$AV495)*100</f>
        <v/>
      </c>
      <c r="CP494" s="56">
        <f>($AW494-$AW495)*100</f>
        <v/>
      </c>
      <c r="CQ494" s="56">
        <f>($AX494-$AX495)*100</f>
        <v/>
      </c>
      <c r="CR494" s="56">
        <f>($AY494-$AY495)*100</f>
        <v/>
      </c>
      <c r="CS494" s="57">
        <f>IFERROR($L495/$L494-1,"")</f>
        <v/>
      </c>
      <c r="CT494" s="57">
        <f>IFERROR($M495/$M494-1,"")</f>
        <v/>
      </c>
      <c r="CU494" s="57">
        <f>IFERROR($N495/$N494-1,"")</f>
        <v/>
      </c>
      <c r="CV494" s="57">
        <f>IFERROR($O495/$O494-1,"")</f>
        <v/>
      </c>
      <c r="CW494" s="57">
        <f>IFERROR($P495/$P494-1,"")</f>
        <v/>
      </c>
      <c r="CX494" s="57">
        <f>IFERROR($Q495/$Q494-1,"")</f>
        <v/>
      </c>
      <c r="CY494" s="57">
        <f>IFERROR($R495/$R494-1,"")</f>
        <v/>
      </c>
      <c r="CZ494" s="57">
        <f>IFERROR($S495/$S494-1,"")</f>
        <v/>
      </c>
      <c r="DA494" s="57">
        <f>IFERROR($T495/$T494-1,"")</f>
        <v/>
      </c>
      <c r="DB494" s="57">
        <f>IFERROR($U495/$U494-1,"")</f>
        <v/>
      </c>
      <c r="DC494" s="57">
        <f>IFERROR($V495/$V494-1,"")</f>
        <v/>
      </c>
      <c r="DD494" s="57">
        <f>IFERROR($W495/$W494-1,"")</f>
        <v/>
      </c>
      <c r="DE494" s="57">
        <f>IFERROR($X495/$X494-1,"")</f>
        <v/>
      </c>
      <c r="DF494" s="57">
        <f>IFERROR($Y495/$Y494-1,"")</f>
        <v/>
      </c>
      <c r="DG494" s="57">
        <f>IFERROR($Z495/$Z494-1,"")</f>
        <v/>
      </c>
      <c r="DH494" s="57">
        <f>IFERROR($AA495/$AA494-1,"")</f>
        <v/>
      </c>
      <c r="DI494" s="57">
        <f>IFERROR($AB495/$AB494-1,"")</f>
        <v/>
      </c>
      <c r="DJ494" s="57">
        <f>IFERROR($AC495/$AC494-1,"")</f>
        <v/>
      </c>
      <c r="DK494" s="57">
        <f>IFERROR($AD495/$AD494-1,"")</f>
        <v/>
      </c>
      <c r="DL494" s="57">
        <f>IFERROR($AE495/$AE494-1,"")</f>
        <v/>
      </c>
      <c r="DM494" s="56">
        <f>$AZ494-$AZ495</f>
        <v/>
      </c>
      <c r="DN494" s="56">
        <f>$BA494-$BA495</f>
        <v/>
      </c>
      <c r="DO494" s="56">
        <f>$BB494-$BB495</f>
        <v/>
      </c>
      <c r="DP494" s="56">
        <f>$BC494-$BC495</f>
        <v/>
      </c>
      <c r="DQ494" s="56">
        <f>$BD494-$BD495</f>
        <v/>
      </c>
      <c r="DR494" s="56">
        <f>$BE494-$BE495</f>
        <v/>
      </c>
      <c r="DS494" s="56">
        <f>$BF494-$BF495</f>
        <v/>
      </c>
      <c r="DT494" s="56">
        <f>$BG494-$BG495</f>
        <v/>
      </c>
      <c r="DU494" s="56">
        <f>$BH494-$BH495</f>
        <v/>
      </c>
      <c r="DV494" s="56">
        <f>$BI494-$BI495</f>
        <v/>
      </c>
      <c r="DW494" s="56">
        <f>$BJ494-$BJ495</f>
        <v/>
      </c>
      <c r="DX494" s="56">
        <f>$BK494-$BK495</f>
        <v/>
      </c>
      <c r="DY494" s="56">
        <f>$BL494-$BL495</f>
        <v/>
      </c>
      <c r="DZ494" s="56">
        <f>$BM494-$BM495</f>
        <v/>
      </c>
      <c r="EA494" s="56">
        <f>$BN494-$BN495</f>
        <v/>
      </c>
      <c r="EB494" s="56">
        <f>$BO494-$BO495</f>
        <v/>
      </c>
      <c r="EC494" s="56">
        <f>$BP494-$BP495</f>
        <v/>
      </c>
      <c r="ED494" s="56">
        <f>$BQ494-$BQ495</f>
        <v/>
      </c>
      <c r="EE494" s="56">
        <f>$BR494-$BR495</f>
        <v/>
      </c>
      <c r="EF494" s="56">
        <f>$BS494-$BS495</f>
        <v/>
      </c>
      <c r="EG494" s="56">
        <f>$BT494-$BT495</f>
        <v/>
      </c>
      <c r="EH494" s="56">
        <f>$BU494-$BU495</f>
        <v/>
      </c>
    </row>
    <row r="495">
      <c r="BV495" s="56">
        <f>($D495-$D496)*100</f>
        <v/>
      </c>
      <c r="BW495" s="56">
        <f>($C495-$C496)*100</f>
        <v/>
      </c>
      <c r="BX495" s="57">
        <f>IFERROR($I495/$I496-1,"")</f>
        <v/>
      </c>
      <c r="BY495" s="56">
        <f>($AF495-$AF496)*100</f>
        <v/>
      </c>
      <c r="BZ495" s="56">
        <f>($AG495-$AG496)*100</f>
        <v/>
      </c>
      <c r="CA495" s="56">
        <f>($AH495-$AH496)*100</f>
        <v/>
      </c>
      <c r="CB495" s="56">
        <f>($AI495-$AI496)*100</f>
        <v/>
      </c>
      <c r="CC495" s="56">
        <f>($AJ495-$AJ496)*100</f>
        <v/>
      </c>
      <c r="CD495" s="56">
        <f>($AK495-$AK496)*100</f>
        <v/>
      </c>
      <c r="CE495" s="56">
        <f>($AL495-$AL496)*100</f>
        <v/>
      </c>
      <c r="CF495" s="56">
        <f>($AM495-$AM496)*100</f>
        <v/>
      </c>
      <c r="CG495" s="56">
        <f>($AN495-$AN496)*100</f>
        <v/>
      </c>
      <c r="CH495" s="56">
        <f>($AO495-$AO496)*100</f>
        <v/>
      </c>
      <c r="CI495" s="56">
        <f>($AP495-$AP496)*100</f>
        <v/>
      </c>
      <c r="CJ495" s="56">
        <f>($AQ495-$AQ496)*100</f>
        <v/>
      </c>
      <c r="CK495" s="56">
        <f>($AR495-$AR496)*100</f>
        <v/>
      </c>
      <c r="CL495" s="56">
        <f>($AS495-$AS496)*100</f>
        <v/>
      </c>
      <c r="CM495" s="56">
        <f>($AT495-$AT496)*100</f>
        <v/>
      </c>
      <c r="CN495" s="56">
        <f>($AU495-$AU496)*100</f>
        <v/>
      </c>
      <c r="CO495" s="56">
        <f>($AV495-$AV496)*100</f>
        <v/>
      </c>
      <c r="CP495" s="56">
        <f>($AW495-$AW496)*100</f>
        <v/>
      </c>
      <c r="CQ495" s="56">
        <f>($AX495-$AX496)*100</f>
        <v/>
      </c>
      <c r="CR495" s="56">
        <f>($AY495-$AY496)*100</f>
        <v/>
      </c>
      <c r="CS495" s="57">
        <f>IFERROR($L496/$L495-1,"")</f>
        <v/>
      </c>
      <c r="CT495" s="57">
        <f>IFERROR($M496/$M495-1,"")</f>
        <v/>
      </c>
      <c r="CU495" s="57">
        <f>IFERROR($N496/$N495-1,"")</f>
        <v/>
      </c>
      <c r="CV495" s="57">
        <f>IFERROR($O496/$O495-1,"")</f>
        <v/>
      </c>
      <c r="CW495" s="57">
        <f>IFERROR($P496/$P495-1,"")</f>
        <v/>
      </c>
      <c r="CX495" s="57">
        <f>IFERROR($Q496/$Q495-1,"")</f>
        <v/>
      </c>
      <c r="CY495" s="57">
        <f>IFERROR($R496/$R495-1,"")</f>
        <v/>
      </c>
      <c r="CZ495" s="57">
        <f>IFERROR($S496/$S495-1,"")</f>
        <v/>
      </c>
      <c r="DA495" s="57">
        <f>IFERROR($T496/$T495-1,"")</f>
        <v/>
      </c>
      <c r="DB495" s="57">
        <f>IFERROR($U496/$U495-1,"")</f>
        <v/>
      </c>
      <c r="DC495" s="57">
        <f>IFERROR($V496/$V495-1,"")</f>
        <v/>
      </c>
      <c r="DD495" s="57">
        <f>IFERROR($W496/$W495-1,"")</f>
        <v/>
      </c>
      <c r="DE495" s="57">
        <f>IFERROR($X496/$X495-1,"")</f>
        <v/>
      </c>
      <c r="DF495" s="57">
        <f>IFERROR($Y496/$Y495-1,"")</f>
        <v/>
      </c>
      <c r="DG495" s="57">
        <f>IFERROR($Z496/$Z495-1,"")</f>
        <v/>
      </c>
      <c r="DH495" s="57">
        <f>IFERROR($AA496/$AA495-1,"")</f>
        <v/>
      </c>
      <c r="DI495" s="57">
        <f>IFERROR($AB496/$AB495-1,"")</f>
        <v/>
      </c>
      <c r="DJ495" s="57">
        <f>IFERROR($AC496/$AC495-1,"")</f>
        <v/>
      </c>
      <c r="DK495" s="57">
        <f>IFERROR($AD496/$AD495-1,"")</f>
        <v/>
      </c>
      <c r="DL495" s="57">
        <f>IFERROR($AE496/$AE495-1,"")</f>
        <v/>
      </c>
      <c r="DM495" s="56">
        <f>$AZ495-$AZ496</f>
        <v/>
      </c>
      <c r="DN495" s="56">
        <f>$BA495-$BA496</f>
        <v/>
      </c>
      <c r="DO495" s="56">
        <f>$BB495-$BB496</f>
        <v/>
      </c>
      <c r="DP495" s="56">
        <f>$BC495-$BC496</f>
        <v/>
      </c>
      <c r="DQ495" s="56">
        <f>$BD495-$BD496</f>
        <v/>
      </c>
      <c r="DR495" s="56">
        <f>$BE495-$BE496</f>
        <v/>
      </c>
      <c r="DS495" s="56">
        <f>$BF495-$BF496</f>
        <v/>
      </c>
      <c r="DT495" s="56">
        <f>$BG495-$BG496</f>
        <v/>
      </c>
      <c r="DU495" s="56">
        <f>$BH495-$BH496</f>
        <v/>
      </c>
      <c r="DV495" s="56">
        <f>$BI495-$BI496</f>
        <v/>
      </c>
      <c r="DW495" s="56">
        <f>$BJ495-$BJ496</f>
        <v/>
      </c>
      <c r="DX495" s="56">
        <f>$BK495-$BK496</f>
        <v/>
      </c>
      <c r="DY495" s="56">
        <f>$BL495-$BL496</f>
        <v/>
      </c>
      <c r="DZ495" s="56">
        <f>$BM495-$BM496</f>
        <v/>
      </c>
      <c r="EA495" s="56">
        <f>$BN495-$BN496</f>
        <v/>
      </c>
      <c r="EB495" s="56">
        <f>$BO495-$BO496</f>
        <v/>
      </c>
      <c r="EC495" s="56">
        <f>$BP495-$BP496</f>
        <v/>
      </c>
      <c r="ED495" s="56">
        <f>$BQ495-$BQ496</f>
        <v/>
      </c>
      <c r="EE495" s="56">
        <f>$BR495-$BR496</f>
        <v/>
      </c>
      <c r="EF495" s="56">
        <f>$BS495-$BS496</f>
        <v/>
      </c>
      <c r="EG495" s="56">
        <f>$BT495-$BT496</f>
        <v/>
      </c>
      <c r="EH495" s="56">
        <f>$BU495-$BU496</f>
        <v/>
      </c>
    </row>
    <row r="496">
      <c r="BV496" s="56">
        <f>($D496-$D497)*100</f>
        <v/>
      </c>
      <c r="BW496" s="56">
        <f>($C496-$C497)*100</f>
        <v/>
      </c>
      <c r="BX496" s="57">
        <f>IFERROR($I496/$I497-1,"")</f>
        <v/>
      </c>
      <c r="BY496" s="56">
        <f>($AF496-$AF497)*100</f>
        <v/>
      </c>
      <c r="BZ496" s="56">
        <f>($AG496-$AG497)*100</f>
        <v/>
      </c>
      <c r="CA496" s="56">
        <f>($AH496-$AH497)*100</f>
        <v/>
      </c>
      <c r="CB496" s="56">
        <f>($AI496-$AI497)*100</f>
        <v/>
      </c>
      <c r="CC496" s="56">
        <f>($AJ496-$AJ497)*100</f>
        <v/>
      </c>
      <c r="CD496" s="56">
        <f>($AK496-$AK497)*100</f>
        <v/>
      </c>
      <c r="CE496" s="56">
        <f>($AL496-$AL497)*100</f>
        <v/>
      </c>
      <c r="CF496" s="56">
        <f>($AM496-$AM497)*100</f>
        <v/>
      </c>
      <c r="CG496" s="56">
        <f>($AN496-$AN497)*100</f>
        <v/>
      </c>
      <c r="CH496" s="56">
        <f>($AO496-$AO497)*100</f>
        <v/>
      </c>
      <c r="CI496" s="56">
        <f>($AP496-$AP497)*100</f>
        <v/>
      </c>
      <c r="CJ496" s="56">
        <f>($AQ496-$AQ497)*100</f>
        <v/>
      </c>
      <c r="CK496" s="56">
        <f>($AR496-$AR497)*100</f>
        <v/>
      </c>
      <c r="CL496" s="56">
        <f>($AS496-$AS497)*100</f>
        <v/>
      </c>
      <c r="CM496" s="56">
        <f>($AT496-$AT497)*100</f>
        <v/>
      </c>
      <c r="CN496" s="56">
        <f>($AU496-$AU497)*100</f>
        <v/>
      </c>
      <c r="CO496" s="56">
        <f>($AV496-$AV497)*100</f>
        <v/>
      </c>
      <c r="CP496" s="56">
        <f>($AW496-$AW497)*100</f>
        <v/>
      </c>
      <c r="CQ496" s="56">
        <f>($AX496-$AX497)*100</f>
        <v/>
      </c>
      <c r="CR496" s="56">
        <f>($AY496-$AY497)*100</f>
        <v/>
      </c>
      <c r="CS496" s="57">
        <f>IFERROR($L497/$L496-1,"")</f>
        <v/>
      </c>
      <c r="CT496" s="57">
        <f>IFERROR($M497/$M496-1,"")</f>
        <v/>
      </c>
      <c r="CU496" s="57">
        <f>IFERROR($N497/$N496-1,"")</f>
        <v/>
      </c>
      <c r="CV496" s="57">
        <f>IFERROR($O497/$O496-1,"")</f>
        <v/>
      </c>
      <c r="CW496" s="57">
        <f>IFERROR($P497/$P496-1,"")</f>
        <v/>
      </c>
      <c r="CX496" s="57">
        <f>IFERROR($Q497/$Q496-1,"")</f>
        <v/>
      </c>
      <c r="CY496" s="57">
        <f>IFERROR($R497/$R496-1,"")</f>
        <v/>
      </c>
      <c r="CZ496" s="57">
        <f>IFERROR($S497/$S496-1,"")</f>
        <v/>
      </c>
      <c r="DA496" s="57">
        <f>IFERROR($T497/$T496-1,"")</f>
        <v/>
      </c>
      <c r="DB496" s="57">
        <f>IFERROR($U497/$U496-1,"")</f>
        <v/>
      </c>
      <c r="DC496" s="57">
        <f>IFERROR($V497/$V496-1,"")</f>
        <v/>
      </c>
      <c r="DD496" s="57">
        <f>IFERROR($W497/$W496-1,"")</f>
        <v/>
      </c>
      <c r="DE496" s="57">
        <f>IFERROR($X497/$X496-1,"")</f>
        <v/>
      </c>
      <c r="DF496" s="57">
        <f>IFERROR($Y497/$Y496-1,"")</f>
        <v/>
      </c>
      <c r="DG496" s="57">
        <f>IFERROR($Z497/$Z496-1,"")</f>
        <v/>
      </c>
      <c r="DH496" s="57">
        <f>IFERROR($AA497/$AA496-1,"")</f>
        <v/>
      </c>
      <c r="DI496" s="57">
        <f>IFERROR($AB497/$AB496-1,"")</f>
        <v/>
      </c>
      <c r="DJ496" s="57">
        <f>IFERROR($AC497/$AC496-1,"")</f>
        <v/>
      </c>
      <c r="DK496" s="57">
        <f>IFERROR($AD497/$AD496-1,"")</f>
        <v/>
      </c>
      <c r="DL496" s="57">
        <f>IFERROR($AE497/$AE496-1,"")</f>
        <v/>
      </c>
      <c r="DM496" s="56">
        <f>$AZ496-$AZ497</f>
        <v/>
      </c>
      <c r="DN496" s="56">
        <f>$BA496-$BA497</f>
        <v/>
      </c>
      <c r="DO496" s="56">
        <f>$BB496-$BB497</f>
        <v/>
      </c>
      <c r="DP496" s="56">
        <f>$BC496-$BC497</f>
        <v/>
      </c>
      <c r="DQ496" s="56">
        <f>$BD496-$BD497</f>
        <v/>
      </c>
      <c r="DR496" s="56">
        <f>$BE496-$BE497</f>
        <v/>
      </c>
      <c r="DS496" s="56">
        <f>$BF496-$BF497</f>
        <v/>
      </c>
      <c r="DT496" s="56">
        <f>$BG496-$BG497</f>
        <v/>
      </c>
      <c r="DU496" s="56">
        <f>$BH496-$BH497</f>
        <v/>
      </c>
      <c r="DV496" s="56">
        <f>$BI496-$BI497</f>
        <v/>
      </c>
      <c r="DW496" s="56">
        <f>$BJ496-$BJ497</f>
        <v/>
      </c>
      <c r="DX496" s="56">
        <f>$BK496-$BK497</f>
        <v/>
      </c>
      <c r="DY496" s="56">
        <f>$BL496-$BL497</f>
        <v/>
      </c>
      <c r="DZ496" s="56">
        <f>$BM496-$BM497</f>
        <v/>
      </c>
      <c r="EA496" s="56">
        <f>$BN496-$BN497</f>
        <v/>
      </c>
      <c r="EB496" s="56">
        <f>$BO496-$BO497</f>
        <v/>
      </c>
      <c r="EC496" s="56">
        <f>$BP496-$BP497</f>
        <v/>
      </c>
      <c r="ED496" s="56">
        <f>$BQ496-$BQ497</f>
        <v/>
      </c>
      <c r="EE496" s="56">
        <f>$BR496-$BR497</f>
        <v/>
      </c>
      <c r="EF496" s="56">
        <f>$BS496-$BS497</f>
        <v/>
      </c>
      <c r="EG496" s="56">
        <f>$BT496-$BT497</f>
        <v/>
      </c>
      <c r="EH496" s="56">
        <f>$BU496-$BU497</f>
        <v/>
      </c>
    </row>
    <row r="497">
      <c r="BV497" s="56">
        <f>($D497-$D498)*100</f>
        <v/>
      </c>
      <c r="BW497" s="56">
        <f>($C497-$C498)*100</f>
        <v/>
      </c>
      <c r="BX497" s="57">
        <f>IFERROR($I497/$I498-1,"")</f>
        <v/>
      </c>
      <c r="BY497" s="56">
        <f>($AF497-$AF498)*100</f>
        <v/>
      </c>
      <c r="BZ497" s="56">
        <f>($AG497-$AG498)*100</f>
        <v/>
      </c>
      <c r="CA497" s="56">
        <f>($AH497-$AH498)*100</f>
        <v/>
      </c>
      <c r="CB497" s="56">
        <f>($AI497-$AI498)*100</f>
        <v/>
      </c>
      <c r="CC497" s="56">
        <f>($AJ497-$AJ498)*100</f>
        <v/>
      </c>
      <c r="CD497" s="56">
        <f>($AK497-$AK498)*100</f>
        <v/>
      </c>
      <c r="CE497" s="56">
        <f>($AL497-$AL498)*100</f>
        <v/>
      </c>
      <c r="CF497" s="56">
        <f>($AM497-$AM498)*100</f>
        <v/>
      </c>
      <c r="CG497" s="56">
        <f>($AN497-$AN498)*100</f>
        <v/>
      </c>
      <c r="CH497" s="56">
        <f>($AO497-$AO498)*100</f>
        <v/>
      </c>
      <c r="CI497" s="56">
        <f>($AP497-$AP498)*100</f>
        <v/>
      </c>
      <c r="CJ497" s="56">
        <f>($AQ497-$AQ498)*100</f>
        <v/>
      </c>
      <c r="CK497" s="56">
        <f>($AR497-$AR498)*100</f>
        <v/>
      </c>
      <c r="CL497" s="56">
        <f>($AS497-$AS498)*100</f>
        <v/>
      </c>
      <c r="CM497" s="56">
        <f>($AT497-$AT498)*100</f>
        <v/>
      </c>
      <c r="CN497" s="56">
        <f>($AU497-$AU498)*100</f>
        <v/>
      </c>
      <c r="CO497" s="56">
        <f>($AV497-$AV498)*100</f>
        <v/>
      </c>
      <c r="CP497" s="56">
        <f>($AW497-$AW498)*100</f>
        <v/>
      </c>
      <c r="CQ497" s="56">
        <f>($AX497-$AX498)*100</f>
        <v/>
      </c>
      <c r="CR497" s="56">
        <f>($AY497-$AY498)*100</f>
        <v/>
      </c>
      <c r="CS497" s="57">
        <f>IFERROR($L498/$L497-1,"")</f>
        <v/>
      </c>
      <c r="CT497" s="57">
        <f>IFERROR($M498/$M497-1,"")</f>
        <v/>
      </c>
      <c r="CU497" s="57">
        <f>IFERROR($N498/$N497-1,"")</f>
        <v/>
      </c>
      <c r="CV497" s="57">
        <f>IFERROR($O498/$O497-1,"")</f>
        <v/>
      </c>
      <c r="CW497" s="57">
        <f>IFERROR($P498/$P497-1,"")</f>
        <v/>
      </c>
      <c r="CX497" s="57">
        <f>IFERROR($Q498/$Q497-1,"")</f>
        <v/>
      </c>
      <c r="CY497" s="57">
        <f>IFERROR($R498/$R497-1,"")</f>
        <v/>
      </c>
      <c r="CZ497" s="57">
        <f>IFERROR($S498/$S497-1,"")</f>
        <v/>
      </c>
      <c r="DA497" s="57">
        <f>IFERROR($T498/$T497-1,"")</f>
        <v/>
      </c>
      <c r="DB497" s="57">
        <f>IFERROR($U498/$U497-1,"")</f>
        <v/>
      </c>
      <c r="DC497" s="57">
        <f>IFERROR($V498/$V497-1,"")</f>
        <v/>
      </c>
      <c r="DD497" s="57">
        <f>IFERROR($W498/$W497-1,"")</f>
        <v/>
      </c>
      <c r="DE497" s="57">
        <f>IFERROR($X498/$X497-1,"")</f>
        <v/>
      </c>
      <c r="DF497" s="57">
        <f>IFERROR($Y498/$Y497-1,"")</f>
        <v/>
      </c>
      <c r="DG497" s="57">
        <f>IFERROR($Z498/$Z497-1,"")</f>
        <v/>
      </c>
      <c r="DH497" s="57">
        <f>IFERROR($AA498/$AA497-1,"")</f>
        <v/>
      </c>
      <c r="DI497" s="57">
        <f>IFERROR($AB498/$AB497-1,"")</f>
        <v/>
      </c>
      <c r="DJ497" s="57">
        <f>IFERROR($AC498/$AC497-1,"")</f>
        <v/>
      </c>
      <c r="DK497" s="57">
        <f>IFERROR($AD498/$AD497-1,"")</f>
        <v/>
      </c>
      <c r="DL497" s="57">
        <f>IFERROR($AE498/$AE497-1,"")</f>
        <v/>
      </c>
      <c r="DM497" s="56">
        <f>$AZ497-$AZ498</f>
        <v/>
      </c>
      <c r="DN497" s="56">
        <f>$BA497-$BA498</f>
        <v/>
      </c>
      <c r="DO497" s="56">
        <f>$BB497-$BB498</f>
        <v/>
      </c>
      <c r="DP497" s="56">
        <f>$BC497-$BC498</f>
        <v/>
      </c>
      <c r="DQ497" s="56">
        <f>$BD497-$BD498</f>
        <v/>
      </c>
      <c r="DR497" s="56">
        <f>$BE497-$BE498</f>
        <v/>
      </c>
      <c r="DS497" s="56">
        <f>$BF497-$BF498</f>
        <v/>
      </c>
      <c r="DT497" s="56">
        <f>$BG497-$BG498</f>
        <v/>
      </c>
      <c r="DU497" s="56">
        <f>$BH497-$BH498</f>
        <v/>
      </c>
      <c r="DV497" s="56">
        <f>$BI497-$BI498</f>
        <v/>
      </c>
      <c r="DW497" s="56">
        <f>$BJ497-$BJ498</f>
        <v/>
      </c>
      <c r="DX497" s="56">
        <f>$BK497-$BK498</f>
        <v/>
      </c>
      <c r="DY497" s="56">
        <f>$BL497-$BL498</f>
        <v/>
      </c>
      <c r="DZ497" s="56">
        <f>$BM497-$BM498</f>
        <v/>
      </c>
      <c r="EA497" s="56">
        <f>$BN497-$BN498</f>
        <v/>
      </c>
      <c r="EB497" s="56">
        <f>$BO497-$BO498</f>
        <v/>
      </c>
      <c r="EC497" s="56">
        <f>$BP497-$BP498</f>
        <v/>
      </c>
      <c r="ED497" s="56">
        <f>$BQ497-$BQ498</f>
        <v/>
      </c>
      <c r="EE497" s="56">
        <f>$BR497-$BR498</f>
        <v/>
      </c>
      <c r="EF497" s="56">
        <f>$BS497-$BS498</f>
        <v/>
      </c>
      <c r="EG497" s="56">
        <f>$BT497-$BT498</f>
        <v/>
      </c>
      <c r="EH497" s="56">
        <f>$BU497-$BU498</f>
        <v/>
      </c>
    </row>
    <row r="498">
      <c r="BV498" s="56">
        <f>($D498-$D499)*100</f>
        <v/>
      </c>
      <c r="BW498" s="56">
        <f>($C498-$C499)*100</f>
        <v/>
      </c>
      <c r="BX498" s="57">
        <f>IFERROR($I498/$I499-1,"")</f>
        <v/>
      </c>
      <c r="BY498" s="56">
        <f>($AF498-$AF499)*100</f>
        <v/>
      </c>
      <c r="BZ498" s="56">
        <f>($AG498-$AG499)*100</f>
        <v/>
      </c>
      <c r="CA498" s="56">
        <f>($AH498-$AH499)*100</f>
        <v/>
      </c>
      <c r="CB498" s="56">
        <f>($AI498-$AI499)*100</f>
        <v/>
      </c>
      <c r="CC498" s="56">
        <f>($AJ498-$AJ499)*100</f>
        <v/>
      </c>
      <c r="CD498" s="56">
        <f>($AK498-$AK499)*100</f>
        <v/>
      </c>
      <c r="CE498" s="56">
        <f>($AL498-$AL499)*100</f>
        <v/>
      </c>
      <c r="CF498" s="56">
        <f>($AM498-$AM499)*100</f>
        <v/>
      </c>
      <c r="CG498" s="56">
        <f>($AN498-$AN499)*100</f>
        <v/>
      </c>
      <c r="CH498" s="56">
        <f>($AO498-$AO499)*100</f>
        <v/>
      </c>
      <c r="CI498" s="56">
        <f>($AP498-$AP499)*100</f>
        <v/>
      </c>
      <c r="CJ498" s="56">
        <f>($AQ498-$AQ499)*100</f>
        <v/>
      </c>
      <c r="CK498" s="56">
        <f>($AR498-$AR499)*100</f>
        <v/>
      </c>
      <c r="CL498" s="56">
        <f>($AS498-$AS499)*100</f>
        <v/>
      </c>
      <c r="CM498" s="56">
        <f>($AT498-$AT499)*100</f>
        <v/>
      </c>
      <c r="CN498" s="56">
        <f>($AU498-$AU499)*100</f>
        <v/>
      </c>
      <c r="CO498" s="56">
        <f>($AV498-$AV499)*100</f>
        <v/>
      </c>
      <c r="CP498" s="56">
        <f>($AW498-$AW499)*100</f>
        <v/>
      </c>
      <c r="CQ498" s="56">
        <f>($AX498-$AX499)*100</f>
        <v/>
      </c>
      <c r="CR498" s="56">
        <f>($AY498-$AY499)*100</f>
        <v/>
      </c>
      <c r="CS498" s="57">
        <f>IFERROR($L499/$L498-1,"")</f>
        <v/>
      </c>
      <c r="CT498" s="57">
        <f>IFERROR($M499/$M498-1,"")</f>
        <v/>
      </c>
      <c r="CU498" s="57">
        <f>IFERROR($N499/$N498-1,"")</f>
        <v/>
      </c>
      <c r="CV498" s="57">
        <f>IFERROR($O499/$O498-1,"")</f>
        <v/>
      </c>
      <c r="CW498" s="57">
        <f>IFERROR($P499/$P498-1,"")</f>
        <v/>
      </c>
      <c r="CX498" s="57">
        <f>IFERROR($Q499/$Q498-1,"")</f>
        <v/>
      </c>
      <c r="CY498" s="57">
        <f>IFERROR($R499/$R498-1,"")</f>
        <v/>
      </c>
      <c r="CZ498" s="57">
        <f>IFERROR($S499/$S498-1,"")</f>
        <v/>
      </c>
      <c r="DA498" s="57">
        <f>IFERROR($T499/$T498-1,"")</f>
        <v/>
      </c>
      <c r="DB498" s="57">
        <f>IFERROR($U499/$U498-1,"")</f>
        <v/>
      </c>
      <c r="DC498" s="57">
        <f>IFERROR($V499/$V498-1,"")</f>
        <v/>
      </c>
      <c r="DD498" s="57">
        <f>IFERROR($W499/$W498-1,"")</f>
        <v/>
      </c>
      <c r="DE498" s="57">
        <f>IFERROR($X499/$X498-1,"")</f>
        <v/>
      </c>
      <c r="DF498" s="57">
        <f>IFERROR($Y499/$Y498-1,"")</f>
        <v/>
      </c>
      <c r="DG498" s="57">
        <f>IFERROR($Z499/$Z498-1,"")</f>
        <v/>
      </c>
      <c r="DH498" s="57">
        <f>IFERROR($AA499/$AA498-1,"")</f>
        <v/>
      </c>
      <c r="DI498" s="57">
        <f>IFERROR($AB499/$AB498-1,"")</f>
        <v/>
      </c>
      <c r="DJ498" s="57">
        <f>IFERROR($AC499/$AC498-1,"")</f>
        <v/>
      </c>
      <c r="DK498" s="57">
        <f>IFERROR($AD499/$AD498-1,"")</f>
        <v/>
      </c>
      <c r="DL498" s="57">
        <f>IFERROR($AE499/$AE498-1,"")</f>
        <v/>
      </c>
      <c r="DM498" s="56">
        <f>$AZ498-$AZ499</f>
        <v/>
      </c>
      <c r="DN498" s="56">
        <f>$BA498-$BA499</f>
        <v/>
      </c>
      <c r="DO498" s="56">
        <f>$BB498-$BB499</f>
        <v/>
      </c>
      <c r="DP498" s="56">
        <f>$BC498-$BC499</f>
        <v/>
      </c>
      <c r="DQ498" s="56">
        <f>$BD498-$BD499</f>
        <v/>
      </c>
      <c r="DR498" s="56">
        <f>$BE498-$BE499</f>
        <v/>
      </c>
      <c r="DS498" s="56">
        <f>$BF498-$BF499</f>
        <v/>
      </c>
      <c r="DT498" s="56">
        <f>$BG498-$BG499</f>
        <v/>
      </c>
      <c r="DU498" s="56">
        <f>$BH498-$BH499</f>
        <v/>
      </c>
      <c r="DV498" s="56">
        <f>$BI498-$BI499</f>
        <v/>
      </c>
      <c r="DW498" s="56">
        <f>$BJ498-$BJ499</f>
        <v/>
      </c>
      <c r="DX498" s="56">
        <f>$BK498-$BK499</f>
        <v/>
      </c>
      <c r="DY498" s="56">
        <f>$BL498-$BL499</f>
        <v/>
      </c>
      <c r="DZ498" s="56">
        <f>$BM498-$BM499</f>
        <v/>
      </c>
      <c r="EA498" s="56">
        <f>$BN498-$BN499</f>
        <v/>
      </c>
      <c r="EB498" s="56">
        <f>$BO498-$BO499</f>
        <v/>
      </c>
      <c r="EC498" s="56">
        <f>$BP498-$BP499</f>
        <v/>
      </c>
      <c r="ED498" s="56">
        <f>$BQ498-$BQ499</f>
        <v/>
      </c>
      <c r="EE498" s="56">
        <f>$BR498-$BR499</f>
        <v/>
      </c>
      <c r="EF498" s="56">
        <f>$BS498-$BS499</f>
        <v/>
      </c>
      <c r="EG498" s="56">
        <f>$BT498-$BT499</f>
        <v/>
      </c>
      <c r="EH498" s="56">
        <f>$BU498-$BU499</f>
        <v/>
      </c>
    </row>
    <row r="499">
      <c r="BV499" s="56">
        <f>($D499-$D500)*100</f>
        <v/>
      </c>
      <c r="BW499" s="56">
        <f>($C499-$C500)*100</f>
        <v/>
      </c>
      <c r="BX499" s="57">
        <f>IFERROR($I499/$I500-1,"")</f>
        <v/>
      </c>
      <c r="BY499" s="56">
        <f>($AF499-$AF500)*100</f>
        <v/>
      </c>
      <c r="BZ499" s="56">
        <f>($AG499-$AG500)*100</f>
        <v/>
      </c>
      <c r="CA499" s="56">
        <f>($AH499-$AH500)*100</f>
        <v/>
      </c>
      <c r="CB499" s="56">
        <f>($AI499-$AI500)*100</f>
        <v/>
      </c>
      <c r="CC499" s="56">
        <f>($AJ499-$AJ500)*100</f>
        <v/>
      </c>
      <c r="CD499" s="56">
        <f>($AK499-$AK500)*100</f>
        <v/>
      </c>
      <c r="CE499" s="56">
        <f>($AL499-$AL500)*100</f>
        <v/>
      </c>
      <c r="CF499" s="56">
        <f>($AM499-$AM500)*100</f>
        <v/>
      </c>
      <c r="CG499" s="56">
        <f>($AN499-$AN500)*100</f>
        <v/>
      </c>
      <c r="CH499" s="56">
        <f>($AO499-$AO500)*100</f>
        <v/>
      </c>
      <c r="CI499" s="56">
        <f>($AP499-$AP500)*100</f>
        <v/>
      </c>
      <c r="CJ499" s="56">
        <f>($AQ499-$AQ500)*100</f>
        <v/>
      </c>
      <c r="CK499" s="56">
        <f>($AR499-$AR500)*100</f>
        <v/>
      </c>
      <c r="CL499" s="56">
        <f>($AS499-$AS500)*100</f>
        <v/>
      </c>
      <c r="CM499" s="56">
        <f>($AT499-$AT500)*100</f>
        <v/>
      </c>
      <c r="CN499" s="56">
        <f>($AU499-$AU500)*100</f>
        <v/>
      </c>
      <c r="CO499" s="56">
        <f>($AV499-$AV500)*100</f>
        <v/>
      </c>
      <c r="CP499" s="56">
        <f>($AW499-$AW500)*100</f>
        <v/>
      </c>
      <c r="CQ499" s="56">
        <f>($AX499-$AX500)*100</f>
        <v/>
      </c>
      <c r="CR499" s="56">
        <f>($AY499-$AY500)*100</f>
        <v/>
      </c>
      <c r="CS499" s="57">
        <f>IFERROR($L500/$L499-1,"")</f>
        <v/>
      </c>
      <c r="CT499" s="57">
        <f>IFERROR($M500/$M499-1,"")</f>
        <v/>
      </c>
      <c r="CU499" s="57">
        <f>IFERROR($N500/$N499-1,"")</f>
        <v/>
      </c>
      <c r="CV499" s="57">
        <f>IFERROR($O500/$O499-1,"")</f>
        <v/>
      </c>
      <c r="CW499" s="57">
        <f>IFERROR($P500/$P499-1,"")</f>
        <v/>
      </c>
      <c r="CX499" s="57">
        <f>IFERROR($Q500/$Q499-1,"")</f>
        <v/>
      </c>
      <c r="CY499" s="57">
        <f>IFERROR($R500/$R499-1,"")</f>
        <v/>
      </c>
      <c r="CZ499" s="57">
        <f>IFERROR($S500/$S499-1,"")</f>
        <v/>
      </c>
      <c r="DA499" s="57">
        <f>IFERROR($T500/$T499-1,"")</f>
        <v/>
      </c>
      <c r="DB499" s="57">
        <f>IFERROR($U500/$U499-1,"")</f>
        <v/>
      </c>
      <c r="DC499" s="57">
        <f>IFERROR($V500/$V499-1,"")</f>
        <v/>
      </c>
      <c r="DD499" s="57">
        <f>IFERROR($W500/$W499-1,"")</f>
        <v/>
      </c>
      <c r="DE499" s="57">
        <f>IFERROR($X500/$X499-1,"")</f>
        <v/>
      </c>
      <c r="DF499" s="57">
        <f>IFERROR($Y500/$Y499-1,"")</f>
        <v/>
      </c>
      <c r="DG499" s="57">
        <f>IFERROR($Z500/$Z499-1,"")</f>
        <v/>
      </c>
      <c r="DH499" s="57">
        <f>IFERROR($AA500/$AA499-1,"")</f>
        <v/>
      </c>
      <c r="DI499" s="57">
        <f>IFERROR($AB500/$AB499-1,"")</f>
        <v/>
      </c>
      <c r="DJ499" s="57">
        <f>IFERROR($AC500/$AC499-1,"")</f>
        <v/>
      </c>
      <c r="DK499" s="57">
        <f>IFERROR($AD500/$AD499-1,"")</f>
        <v/>
      </c>
      <c r="DL499" s="57">
        <f>IFERROR($AE500/$AE499-1,"")</f>
        <v/>
      </c>
      <c r="DM499" s="56">
        <f>$AZ499-$AZ500</f>
        <v/>
      </c>
      <c r="DN499" s="56">
        <f>$BA499-$BA500</f>
        <v/>
      </c>
      <c r="DO499" s="56">
        <f>$BB499-$BB500</f>
        <v/>
      </c>
      <c r="DP499" s="56">
        <f>$BC499-$BC500</f>
        <v/>
      </c>
      <c r="DQ499" s="56">
        <f>$BD499-$BD500</f>
        <v/>
      </c>
      <c r="DR499" s="56">
        <f>$BE499-$BE500</f>
        <v/>
      </c>
      <c r="DS499" s="56">
        <f>$BF499-$BF500</f>
        <v/>
      </c>
      <c r="DT499" s="56">
        <f>$BG499-$BG500</f>
        <v/>
      </c>
      <c r="DU499" s="56">
        <f>$BH499-$BH500</f>
        <v/>
      </c>
      <c r="DV499" s="56">
        <f>$BI499-$BI500</f>
        <v/>
      </c>
      <c r="DW499" s="56">
        <f>$BJ499-$BJ500</f>
        <v/>
      </c>
      <c r="DX499" s="56">
        <f>$BK499-$BK500</f>
        <v/>
      </c>
      <c r="DY499" s="56">
        <f>$BL499-$BL500</f>
        <v/>
      </c>
      <c r="DZ499" s="56">
        <f>$BM499-$BM500</f>
        <v/>
      </c>
      <c r="EA499" s="56">
        <f>$BN499-$BN500</f>
        <v/>
      </c>
      <c r="EB499" s="56">
        <f>$BO499-$BO500</f>
        <v/>
      </c>
      <c r="EC499" s="56">
        <f>$BP499-$BP500</f>
        <v/>
      </c>
      <c r="ED499" s="56">
        <f>$BQ499-$BQ500</f>
        <v/>
      </c>
      <c r="EE499" s="56">
        <f>$BR499-$BR500</f>
        <v/>
      </c>
      <c r="EF499" s="56">
        <f>$BS499-$BS500</f>
        <v/>
      </c>
      <c r="EG499" s="56">
        <f>$BT499-$BT500</f>
        <v/>
      </c>
      <c r="EH499" s="56">
        <f>$BU499-$BU500</f>
        <v/>
      </c>
    </row>
    <row r="500">
      <c r="BV500" s="56">
        <f>($D500-$D501)*100</f>
        <v/>
      </c>
      <c r="BW500" s="56">
        <f>($C500-$C501)*100</f>
        <v/>
      </c>
      <c r="BX500" s="57">
        <f>IFERROR($I500/$I501-1,"")</f>
        <v/>
      </c>
      <c r="BY500" s="56">
        <f>($AF500-$AF501)*100</f>
        <v/>
      </c>
      <c r="BZ500" s="56">
        <f>($AG500-$AG501)*100</f>
        <v/>
      </c>
      <c r="CA500" s="56">
        <f>($AH500-$AH501)*100</f>
        <v/>
      </c>
      <c r="CB500" s="56">
        <f>($AI500-$AI501)*100</f>
        <v/>
      </c>
      <c r="CC500" s="56">
        <f>($AJ500-$AJ501)*100</f>
        <v/>
      </c>
      <c r="CD500" s="56">
        <f>($AK500-$AK501)*100</f>
        <v/>
      </c>
      <c r="CE500" s="56">
        <f>($AL500-$AL501)*100</f>
        <v/>
      </c>
      <c r="CF500" s="56">
        <f>($AM500-$AM501)*100</f>
        <v/>
      </c>
      <c r="CG500" s="56">
        <f>($AN500-$AN501)*100</f>
        <v/>
      </c>
      <c r="CH500" s="56">
        <f>($AO500-$AO501)*100</f>
        <v/>
      </c>
      <c r="CI500" s="56">
        <f>($AP500-$AP501)*100</f>
        <v/>
      </c>
      <c r="CJ500" s="56">
        <f>($AQ500-$AQ501)*100</f>
        <v/>
      </c>
      <c r="CK500" s="56">
        <f>($AR500-$AR501)*100</f>
        <v/>
      </c>
      <c r="CL500" s="56">
        <f>($AS500-$AS501)*100</f>
        <v/>
      </c>
      <c r="CM500" s="56">
        <f>($AT500-$AT501)*100</f>
        <v/>
      </c>
      <c r="CN500" s="56">
        <f>($AU500-$AU501)*100</f>
        <v/>
      </c>
      <c r="CO500" s="56">
        <f>($AV500-$AV501)*100</f>
        <v/>
      </c>
      <c r="CP500" s="56">
        <f>($AW500-$AW501)*100</f>
        <v/>
      </c>
      <c r="CQ500" s="56">
        <f>($AX500-$AX501)*100</f>
        <v/>
      </c>
      <c r="CR500" s="56">
        <f>($AY500-$AY501)*100</f>
        <v/>
      </c>
      <c r="CS500" s="57">
        <f>IFERROR($L501/$L500-1,"")</f>
        <v/>
      </c>
      <c r="CT500" s="57">
        <f>IFERROR($M501/$M500-1,"")</f>
        <v/>
      </c>
      <c r="CU500" s="57">
        <f>IFERROR($N501/$N500-1,"")</f>
        <v/>
      </c>
      <c r="CV500" s="57">
        <f>IFERROR($O501/$O500-1,"")</f>
        <v/>
      </c>
      <c r="CW500" s="57">
        <f>IFERROR($P501/$P500-1,"")</f>
        <v/>
      </c>
      <c r="CX500" s="57">
        <f>IFERROR($Q501/$Q500-1,"")</f>
        <v/>
      </c>
      <c r="CY500" s="57">
        <f>IFERROR($R501/$R500-1,"")</f>
        <v/>
      </c>
      <c r="CZ500" s="57">
        <f>IFERROR($S501/$S500-1,"")</f>
        <v/>
      </c>
      <c r="DA500" s="57">
        <f>IFERROR($T501/$T500-1,"")</f>
        <v/>
      </c>
      <c r="DB500" s="57">
        <f>IFERROR($U501/$U500-1,"")</f>
        <v/>
      </c>
      <c r="DC500" s="57">
        <f>IFERROR($V501/$V500-1,"")</f>
        <v/>
      </c>
      <c r="DD500" s="57">
        <f>IFERROR($W501/$W500-1,"")</f>
        <v/>
      </c>
      <c r="DE500" s="57">
        <f>IFERROR($X501/$X500-1,"")</f>
        <v/>
      </c>
      <c r="DF500" s="57">
        <f>IFERROR($Y501/$Y500-1,"")</f>
        <v/>
      </c>
      <c r="DG500" s="57">
        <f>IFERROR($Z501/$Z500-1,"")</f>
        <v/>
      </c>
      <c r="DH500" s="57">
        <f>IFERROR($AA501/$AA500-1,"")</f>
        <v/>
      </c>
      <c r="DI500" s="57">
        <f>IFERROR($AB501/$AB500-1,"")</f>
        <v/>
      </c>
      <c r="DJ500" s="57">
        <f>IFERROR($AC501/$AC500-1,"")</f>
        <v/>
      </c>
      <c r="DK500" s="57">
        <f>IFERROR($AD501/$AD500-1,"")</f>
        <v/>
      </c>
      <c r="DL500" s="57">
        <f>IFERROR($AE501/$AE500-1,"")</f>
        <v/>
      </c>
      <c r="DM500" s="56">
        <f>$AZ500-$AZ501</f>
        <v/>
      </c>
      <c r="DN500" s="56">
        <f>$BA500-$BA501</f>
        <v/>
      </c>
      <c r="DO500" s="56">
        <f>$BB500-$BB501</f>
        <v/>
      </c>
      <c r="DP500" s="56">
        <f>$BC500-$BC501</f>
        <v/>
      </c>
      <c r="DQ500" s="56">
        <f>$BD500-$BD501</f>
        <v/>
      </c>
      <c r="DR500" s="56">
        <f>$BE500-$BE501</f>
        <v/>
      </c>
      <c r="DS500" s="56">
        <f>$BF500-$BF501</f>
        <v/>
      </c>
      <c r="DT500" s="56">
        <f>$BG500-$BG501</f>
        <v/>
      </c>
      <c r="DU500" s="56">
        <f>$BH500-$BH501</f>
        <v/>
      </c>
      <c r="DV500" s="56">
        <f>$BI500-$BI501</f>
        <v/>
      </c>
      <c r="DW500" s="56">
        <f>$BJ500-$BJ501</f>
        <v/>
      </c>
      <c r="DX500" s="56">
        <f>$BK500-$BK501</f>
        <v/>
      </c>
      <c r="DY500" s="56">
        <f>$BL500-$BL501</f>
        <v/>
      </c>
      <c r="DZ500" s="56">
        <f>$BM500-$BM501</f>
        <v/>
      </c>
      <c r="EA500" s="56">
        <f>$BN500-$BN501</f>
        <v/>
      </c>
      <c r="EB500" s="56">
        <f>$BO500-$BO501</f>
        <v/>
      </c>
      <c r="EC500" s="56">
        <f>$BP500-$BP501</f>
        <v/>
      </c>
      <c r="ED500" s="56">
        <f>$BQ500-$BQ501</f>
        <v/>
      </c>
      <c r="EE500" s="56">
        <f>$BR500-$BR501</f>
        <v/>
      </c>
      <c r="EF500" s="56">
        <f>$BS500-$BS501</f>
        <v/>
      </c>
      <c r="EG500" s="56">
        <f>$BT500-$BT501</f>
        <v/>
      </c>
      <c r="EH500" s="56">
        <f>$BU500-$BU501</f>
        <v/>
      </c>
    </row>
    <row r="501">
      <c r="BV501" s="56">
        <f>($D501-$D502)*100</f>
        <v/>
      </c>
      <c r="BW501" s="56">
        <f>($C501-$C502)*100</f>
        <v/>
      </c>
      <c r="BX501" s="57">
        <f>IFERROR($I501/$I502-1,"")</f>
        <v/>
      </c>
      <c r="BY501" s="56">
        <f>($AF501-$AF502)*100</f>
        <v/>
      </c>
      <c r="BZ501" s="56">
        <f>($AG501-$AG502)*100</f>
        <v/>
      </c>
      <c r="CA501" s="56">
        <f>($AH501-$AH502)*100</f>
        <v/>
      </c>
      <c r="CB501" s="56">
        <f>($AI501-$AI502)*100</f>
        <v/>
      </c>
      <c r="CC501" s="56">
        <f>($AJ501-$AJ502)*100</f>
        <v/>
      </c>
      <c r="CD501" s="56">
        <f>($AK501-$AK502)*100</f>
        <v/>
      </c>
      <c r="CE501" s="56">
        <f>($AL501-$AL502)*100</f>
        <v/>
      </c>
      <c r="CF501" s="56">
        <f>($AM501-$AM502)*100</f>
        <v/>
      </c>
      <c r="CG501" s="56">
        <f>($AN501-$AN502)*100</f>
        <v/>
      </c>
      <c r="CH501" s="56">
        <f>($AO501-$AO502)*100</f>
        <v/>
      </c>
      <c r="CI501" s="56">
        <f>($AP501-$AP502)*100</f>
        <v/>
      </c>
      <c r="CJ501" s="56">
        <f>($AQ501-$AQ502)*100</f>
        <v/>
      </c>
      <c r="CK501" s="56">
        <f>($AR501-$AR502)*100</f>
        <v/>
      </c>
      <c r="CL501" s="56">
        <f>($AS501-$AS502)*100</f>
        <v/>
      </c>
      <c r="CM501" s="56">
        <f>($AT501-$AT502)*100</f>
        <v/>
      </c>
      <c r="CN501" s="56">
        <f>($AU501-$AU502)*100</f>
        <v/>
      </c>
      <c r="CO501" s="56">
        <f>($AV501-$AV502)*100</f>
        <v/>
      </c>
      <c r="CP501" s="56">
        <f>($AW501-$AW502)*100</f>
        <v/>
      </c>
      <c r="CQ501" s="56">
        <f>($AX501-$AX502)*100</f>
        <v/>
      </c>
      <c r="CR501" s="56">
        <f>($AY501-$AY502)*100</f>
        <v/>
      </c>
      <c r="CS501" s="57">
        <f>IFERROR($L502/$L501-1,"")</f>
        <v/>
      </c>
      <c r="CT501" s="57">
        <f>IFERROR($M502/$M501-1,"")</f>
        <v/>
      </c>
      <c r="CU501" s="57">
        <f>IFERROR($N502/$N501-1,"")</f>
        <v/>
      </c>
      <c r="CV501" s="57">
        <f>IFERROR($O502/$O501-1,"")</f>
        <v/>
      </c>
      <c r="CW501" s="57">
        <f>IFERROR($P502/$P501-1,"")</f>
        <v/>
      </c>
      <c r="CX501" s="57">
        <f>IFERROR($Q502/$Q501-1,"")</f>
        <v/>
      </c>
      <c r="CY501" s="57">
        <f>IFERROR($R502/$R501-1,"")</f>
        <v/>
      </c>
      <c r="CZ501" s="57">
        <f>IFERROR($S502/$S501-1,"")</f>
        <v/>
      </c>
      <c r="DA501" s="57">
        <f>IFERROR($T502/$T501-1,"")</f>
        <v/>
      </c>
      <c r="DB501" s="57">
        <f>IFERROR($U502/$U501-1,"")</f>
        <v/>
      </c>
      <c r="DC501" s="57">
        <f>IFERROR($V502/$V501-1,"")</f>
        <v/>
      </c>
      <c r="DD501" s="57">
        <f>IFERROR($W502/$W501-1,"")</f>
        <v/>
      </c>
      <c r="DE501" s="57">
        <f>IFERROR($X502/$X501-1,"")</f>
        <v/>
      </c>
      <c r="DF501" s="57">
        <f>IFERROR($Y502/$Y501-1,"")</f>
        <v/>
      </c>
      <c r="DG501" s="57">
        <f>IFERROR($Z502/$Z501-1,"")</f>
        <v/>
      </c>
      <c r="DH501" s="57">
        <f>IFERROR($AA502/$AA501-1,"")</f>
        <v/>
      </c>
      <c r="DI501" s="57">
        <f>IFERROR($AB502/$AB501-1,"")</f>
        <v/>
      </c>
      <c r="DJ501" s="57">
        <f>IFERROR($AC502/$AC501-1,"")</f>
        <v/>
      </c>
      <c r="DK501" s="57">
        <f>IFERROR($AD502/$AD501-1,"")</f>
        <v/>
      </c>
      <c r="DL501" s="57">
        <f>IFERROR($AE502/$AE501-1,"")</f>
        <v/>
      </c>
      <c r="DM501" s="56">
        <f>$AZ501-$AZ502</f>
        <v/>
      </c>
      <c r="DN501" s="56">
        <f>$BA501-$BA502</f>
        <v/>
      </c>
      <c r="DO501" s="56">
        <f>$BB501-$BB502</f>
        <v/>
      </c>
      <c r="DP501" s="56">
        <f>$BC501-$BC502</f>
        <v/>
      </c>
      <c r="DQ501" s="56">
        <f>$BD501-$BD502</f>
        <v/>
      </c>
      <c r="DR501" s="56">
        <f>$BE501-$BE502</f>
        <v/>
      </c>
      <c r="DS501" s="56">
        <f>$BF501-$BF502</f>
        <v/>
      </c>
      <c r="DT501" s="56">
        <f>$BG501-$BG502</f>
        <v/>
      </c>
      <c r="DU501" s="56">
        <f>$BH501-$BH502</f>
        <v/>
      </c>
      <c r="DV501" s="56">
        <f>$BI501-$BI502</f>
        <v/>
      </c>
      <c r="DW501" s="56">
        <f>$BJ501-$BJ502</f>
        <v/>
      </c>
      <c r="DX501" s="56">
        <f>$BK501-$BK502</f>
        <v/>
      </c>
      <c r="DY501" s="56">
        <f>$BL501-$BL502</f>
        <v/>
      </c>
      <c r="DZ501" s="56">
        <f>$BM501-$BM502</f>
        <v/>
      </c>
      <c r="EA501" s="56">
        <f>$BN501-$BN502</f>
        <v/>
      </c>
      <c r="EB501" s="56">
        <f>$BO501-$BO502</f>
        <v/>
      </c>
      <c r="EC501" s="56">
        <f>$BP501-$BP502</f>
        <v/>
      </c>
      <c r="ED501" s="56">
        <f>$BQ501-$BQ502</f>
        <v/>
      </c>
      <c r="EE501" s="56">
        <f>$BR501-$BR502</f>
        <v/>
      </c>
      <c r="EF501" s="56">
        <f>$BS501-$BS502</f>
        <v/>
      </c>
      <c r="EG501" s="56">
        <f>$BT501-$BT502</f>
        <v/>
      </c>
      <c r="EH501" s="56">
        <f>$BU501-$BU502</f>
        <v/>
      </c>
    </row>
    <row r="502">
      <c r="BV502" s="56">
        <f>($D502-$D503)*100</f>
        <v/>
      </c>
      <c r="BW502" s="56">
        <f>($C502-$C503)*100</f>
        <v/>
      </c>
      <c r="BX502" s="57">
        <f>IFERROR($I502/$I503-1,"")</f>
        <v/>
      </c>
      <c r="BY502" s="56">
        <f>($AF502-$AF503)*100</f>
        <v/>
      </c>
      <c r="BZ502" s="56">
        <f>($AG502-$AG503)*100</f>
        <v/>
      </c>
      <c r="CA502" s="56">
        <f>($AH502-$AH503)*100</f>
        <v/>
      </c>
      <c r="CB502" s="56">
        <f>($AI502-$AI503)*100</f>
        <v/>
      </c>
      <c r="CC502" s="56">
        <f>($AJ502-$AJ503)*100</f>
        <v/>
      </c>
      <c r="CD502" s="56">
        <f>($AK502-$AK503)*100</f>
        <v/>
      </c>
      <c r="CE502" s="56">
        <f>($AL502-$AL503)*100</f>
        <v/>
      </c>
      <c r="CF502" s="56">
        <f>($AM502-$AM503)*100</f>
        <v/>
      </c>
      <c r="CG502" s="56">
        <f>($AN502-$AN503)*100</f>
        <v/>
      </c>
      <c r="CH502" s="56">
        <f>($AO502-$AO503)*100</f>
        <v/>
      </c>
      <c r="CI502" s="56">
        <f>($AP502-$AP503)*100</f>
        <v/>
      </c>
      <c r="CJ502" s="56">
        <f>($AQ502-$AQ503)*100</f>
        <v/>
      </c>
      <c r="CK502" s="56">
        <f>($AR502-$AR503)*100</f>
        <v/>
      </c>
      <c r="CL502" s="56">
        <f>($AS502-$AS503)*100</f>
        <v/>
      </c>
      <c r="CM502" s="56">
        <f>($AT502-$AT503)*100</f>
        <v/>
      </c>
      <c r="CN502" s="56">
        <f>($AU502-$AU503)*100</f>
        <v/>
      </c>
      <c r="CO502" s="56">
        <f>($AV502-$AV503)*100</f>
        <v/>
      </c>
      <c r="CP502" s="56">
        <f>($AW502-$AW503)*100</f>
        <v/>
      </c>
      <c r="CQ502" s="56">
        <f>($AX502-$AX503)*100</f>
        <v/>
      </c>
      <c r="CR502" s="56">
        <f>($AY502-$AY503)*100</f>
        <v/>
      </c>
      <c r="CS502" s="57">
        <f>IFERROR($L503/$L502-1,"")</f>
        <v/>
      </c>
      <c r="CT502" s="57">
        <f>IFERROR($M503/$M502-1,"")</f>
        <v/>
      </c>
      <c r="CU502" s="57">
        <f>IFERROR($N503/$N502-1,"")</f>
        <v/>
      </c>
      <c r="CV502" s="57">
        <f>IFERROR($O503/$O502-1,"")</f>
        <v/>
      </c>
      <c r="CW502" s="57">
        <f>IFERROR($P503/$P502-1,"")</f>
        <v/>
      </c>
      <c r="CX502" s="57">
        <f>IFERROR($Q503/$Q502-1,"")</f>
        <v/>
      </c>
      <c r="CY502" s="57">
        <f>IFERROR($R503/$R502-1,"")</f>
        <v/>
      </c>
      <c r="CZ502" s="57">
        <f>IFERROR($S503/$S502-1,"")</f>
        <v/>
      </c>
      <c r="DA502" s="57">
        <f>IFERROR($T503/$T502-1,"")</f>
        <v/>
      </c>
      <c r="DB502" s="57">
        <f>IFERROR($U503/$U502-1,"")</f>
        <v/>
      </c>
      <c r="DC502" s="57">
        <f>IFERROR($V503/$V502-1,"")</f>
        <v/>
      </c>
      <c r="DD502" s="57">
        <f>IFERROR($W503/$W502-1,"")</f>
        <v/>
      </c>
      <c r="DE502" s="57">
        <f>IFERROR($X503/$X502-1,"")</f>
        <v/>
      </c>
      <c r="DF502" s="57">
        <f>IFERROR($Y503/$Y502-1,"")</f>
        <v/>
      </c>
      <c r="DG502" s="57">
        <f>IFERROR($Z503/$Z502-1,"")</f>
        <v/>
      </c>
      <c r="DH502" s="57">
        <f>IFERROR($AA503/$AA502-1,"")</f>
        <v/>
      </c>
      <c r="DI502" s="57">
        <f>IFERROR($AB503/$AB502-1,"")</f>
        <v/>
      </c>
      <c r="DJ502" s="57">
        <f>IFERROR($AC503/$AC502-1,"")</f>
        <v/>
      </c>
      <c r="DK502" s="57">
        <f>IFERROR($AD503/$AD502-1,"")</f>
        <v/>
      </c>
      <c r="DL502" s="57">
        <f>IFERROR($AE503/$AE502-1,"")</f>
        <v/>
      </c>
      <c r="DM502" s="56">
        <f>$AZ502-$AZ503</f>
        <v/>
      </c>
      <c r="DN502" s="56">
        <f>$BA502-$BA503</f>
        <v/>
      </c>
      <c r="DO502" s="56">
        <f>$BB502-$BB503</f>
        <v/>
      </c>
      <c r="DP502" s="56">
        <f>$BC502-$BC503</f>
        <v/>
      </c>
      <c r="DQ502" s="56">
        <f>$BD502-$BD503</f>
        <v/>
      </c>
      <c r="DR502" s="56">
        <f>$BE502-$BE503</f>
        <v/>
      </c>
      <c r="DS502" s="56">
        <f>$BF502-$BF503</f>
        <v/>
      </c>
      <c r="DT502" s="56">
        <f>$BG502-$BG503</f>
        <v/>
      </c>
      <c r="DU502" s="56">
        <f>$BH502-$BH503</f>
        <v/>
      </c>
      <c r="DV502" s="56">
        <f>$BI502-$BI503</f>
        <v/>
      </c>
      <c r="DW502" s="56">
        <f>$BJ502-$BJ503</f>
        <v/>
      </c>
      <c r="DX502" s="56">
        <f>$BK502-$BK503</f>
        <v/>
      </c>
      <c r="DY502" s="56">
        <f>$BL502-$BL503</f>
        <v/>
      </c>
      <c r="DZ502" s="56">
        <f>$BM502-$BM503</f>
        <v/>
      </c>
      <c r="EA502" s="56">
        <f>$BN502-$BN503</f>
        <v/>
      </c>
      <c r="EB502" s="56">
        <f>$BO502-$BO503</f>
        <v/>
      </c>
      <c r="EC502" s="56">
        <f>$BP502-$BP503</f>
        <v/>
      </c>
      <c r="ED502" s="56">
        <f>$BQ502-$BQ503</f>
        <v/>
      </c>
      <c r="EE502" s="56">
        <f>$BR502-$BR503</f>
        <v/>
      </c>
      <c r="EF502" s="56">
        <f>$BS502-$BS503</f>
        <v/>
      </c>
      <c r="EG502" s="56">
        <f>$BT502-$BT503</f>
        <v/>
      </c>
      <c r="EH502" s="56">
        <f>$BU502-$BU503</f>
        <v/>
      </c>
    </row>
    <row r="503">
      <c r="BV503" s="56">
        <f>($D503-$D504)*100</f>
        <v/>
      </c>
      <c r="BW503" s="56">
        <f>($C503-$C504)*100</f>
        <v/>
      </c>
      <c r="BX503" s="57">
        <f>IFERROR($I503/$I504-1,"")</f>
        <v/>
      </c>
      <c r="BY503" s="56">
        <f>($AF503-$AF504)*100</f>
        <v/>
      </c>
      <c r="BZ503" s="56">
        <f>($AG503-$AG504)*100</f>
        <v/>
      </c>
      <c r="CA503" s="56">
        <f>($AH503-$AH504)*100</f>
        <v/>
      </c>
      <c r="CB503" s="56">
        <f>($AI503-$AI504)*100</f>
        <v/>
      </c>
      <c r="CC503" s="56">
        <f>($AJ503-$AJ504)*100</f>
        <v/>
      </c>
      <c r="CD503" s="56">
        <f>($AK503-$AK504)*100</f>
        <v/>
      </c>
      <c r="CE503" s="56">
        <f>($AL503-$AL504)*100</f>
        <v/>
      </c>
      <c r="CF503" s="56">
        <f>($AM503-$AM504)*100</f>
        <v/>
      </c>
      <c r="CG503" s="56">
        <f>($AN503-$AN504)*100</f>
        <v/>
      </c>
      <c r="CH503" s="56">
        <f>($AO503-$AO504)*100</f>
        <v/>
      </c>
      <c r="CI503" s="56">
        <f>($AP503-$AP504)*100</f>
        <v/>
      </c>
      <c r="CJ503" s="56">
        <f>($AQ503-$AQ504)*100</f>
        <v/>
      </c>
      <c r="CK503" s="56">
        <f>($AR503-$AR504)*100</f>
        <v/>
      </c>
      <c r="CL503" s="56">
        <f>($AS503-$AS504)*100</f>
        <v/>
      </c>
      <c r="CM503" s="56">
        <f>($AT503-$AT504)*100</f>
        <v/>
      </c>
      <c r="CN503" s="56">
        <f>($AU503-$AU504)*100</f>
        <v/>
      </c>
      <c r="CO503" s="56">
        <f>($AV503-$AV504)*100</f>
        <v/>
      </c>
      <c r="CP503" s="56">
        <f>($AW503-$AW504)*100</f>
        <v/>
      </c>
      <c r="CQ503" s="56">
        <f>($AX503-$AX504)*100</f>
        <v/>
      </c>
      <c r="CR503" s="56">
        <f>($AY503-$AY504)*100</f>
        <v/>
      </c>
      <c r="CS503" s="57">
        <f>IFERROR($L504/$L503-1,"")</f>
        <v/>
      </c>
      <c r="CT503" s="57">
        <f>IFERROR($M504/$M503-1,"")</f>
        <v/>
      </c>
      <c r="CU503" s="57">
        <f>IFERROR($N504/$N503-1,"")</f>
        <v/>
      </c>
      <c r="CV503" s="57">
        <f>IFERROR($O504/$O503-1,"")</f>
        <v/>
      </c>
      <c r="CW503" s="57">
        <f>IFERROR($P504/$P503-1,"")</f>
        <v/>
      </c>
      <c r="CX503" s="57">
        <f>IFERROR($Q504/$Q503-1,"")</f>
        <v/>
      </c>
      <c r="CY503" s="57">
        <f>IFERROR($R504/$R503-1,"")</f>
        <v/>
      </c>
      <c r="CZ503" s="57">
        <f>IFERROR($S504/$S503-1,"")</f>
        <v/>
      </c>
      <c r="DA503" s="57">
        <f>IFERROR($T504/$T503-1,"")</f>
        <v/>
      </c>
      <c r="DB503" s="57">
        <f>IFERROR($U504/$U503-1,"")</f>
        <v/>
      </c>
      <c r="DC503" s="57">
        <f>IFERROR($V504/$V503-1,"")</f>
        <v/>
      </c>
      <c r="DD503" s="57">
        <f>IFERROR($W504/$W503-1,"")</f>
        <v/>
      </c>
      <c r="DE503" s="57">
        <f>IFERROR($X504/$X503-1,"")</f>
        <v/>
      </c>
      <c r="DF503" s="57">
        <f>IFERROR($Y504/$Y503-1,"")</f>
        <v/>
      </c>
      <c r="DG503" s="57">
        <f>IFERROR($Z504/$Z503-1,"")</f>
        <v/>
      </c>
      <c r="DH503" s="57">
        <f>IFERROR($AA504/$AA503-1,"")</f>
        <v/>
      </c>
      <c r="DI503" s="57">
        <f>IFERROR($AB504/$AB503-1,"")</f>
        <v/>
      </c>
      <c r="DJ503" s="57">
        <f>IFERROR($AC504/$AC503-1,"")</f>
        <v/>
      </c>
      <c r="DK503" s="57">
        <f>IFERROR($AD504/$AD503-1,"")</f>
        <v/>
      </c>
      <c r="DL503" s="57">
        <f>IFERROR($AE504/$AE503-1,"")</f>
        <v/>
      </c>
      <c r="DM503" s="56">
        <f>$AZ503-$AZ504</f>
        <v/>
      </c>
      <c r="DN503" s="56">
        <f>$BA503-$BA504</f>
        <v/>
      </c>
      <c r="DO503" s="56">
        <f>$BB503-$BB504</f>
        <v/>
      </c>
      <c r="DP503" s="56">
        <f>$BC503-$BC504</f>
        <v/>
      </c>
      <c r="DQ503" s="56">
        <f>$BD503-$BD504</f>
        <v/>
      </c>
      <c r="DR503" s="56">
        <f>$BE503-$BE504</f>
        <v/>
      </c>
      <c r="DS503" s="56">
        <f>$BF503-$BF504</f>
        <v/>
      </c>
      <c r="DT503" s="56">
        <f>$BG503-$BG504</f>
        <v/>
      </c>
      <c r="DU503" s="56">
        <f>$BH503-$BH504</f>
        <v/>
      </c>
      <c r="DV503" s="56">
        <f>$BI503-$BI504</f>
        <v/>
      </c>
      <c r="DW503" s="56">
        <f>$BJ503-$BJ504</f>
        <v/>
      </c>
      <c r="DX503" s="56">
        <f>$BK503-$BK504</f>
        <v/>
      </c>
      <c r="DY503" s="56">
        <f>$BL503-$BL504</f>
        <v/>
      </c>
      <c r="DZ503" s="56">
        <f>$BM503-$BM504</f>
        <v/>
      </c>
      <c r="EA503" s="56">
        <f>$BN503-$BN504</f>
        <v/>
      </c>
      <c r="EB503" s="56">
        <f>$BO503-$BO504</f>
        <v/>
      </c>
      <c r="EC503" s="56">
        <f>$BP503-$BP504</f>
        <v/>
      </c>
      <c r="ED503" s="56">
        <f>$BQ503-$BQ504</f>
        <v/>
      </c>
      <c r="EE503" s="56">
        <f>$BR503-$BR504</f>
        <v/>
      </c>
      <c r="EF503" s="56">
        <f>$BS503-$BS504</f>
        <v/>
      </c>
      <c r="EG503" s="56">
        <f>$BT503-$BT504</f>
        <v/>
      </c>
      <c r="EH503" s="56">
        <f>$BU503-$BU504</f>
        <v/>
      </c>
    </row>
    <row r="504">
      <c r="BV504" s="56">
        <f>($D504-$D505)*100</f>
        <v/>
      </c>
      <c r="BW504" s="56">
        <f>($C504-$C505)*100</f>
        <v/>
      </c>
      <c r="BX504" s="57">
        <f>IFERROR($I504/$I505-1,"")</f>
        <v/>
      </c>
      <c r="BY504" s="56">
        <f>($AF504-$AF505)*100</f>
        <v/>
      </c>
      <c r="BZ504" s="56">
        <f>($AG504-$AG505)*100</f>
        <v/>
      </c>
      <c r="CA504" s="56">
        <f>($AH504-$AH505)*100</f>
        <v/>
      </c>
      <c r="CB504" s="56">
        <f>($AI504-$AI505)*100</f>
        <v/>
      </c>
      <c r="CC504" s="56">
        <f>($AJ504-$AJ505)*100</f>
        <v/>
      </c>
      <c r="CD504" s="56">
        <f>($AK504-$AK505)*100</f>
        <v/>
      </c>
      <c r="CE504" s="56">
        <f>($AL504-$AL505)*100</f>
        <v/>
      </c>
      <c r="CF504" s="56">
        <f>($AM504-$AM505)*100</f>
        <v/>
      </c>
      <c r="CG504" s="56">
        <f>($AN504-$AN505)*100</f>
        <v/>
      </c>
      <c r="CH504" s="56">
        <f>($AO504-$AO505)*100</f>
        <v/>
      </c>
      <c r="CI504" s="56">
        <f>($AP504-$AP505)*100</f>
        <v/>
      </c>
      <c r="CJ504" s="56">
        <f>($AQ504-$AQ505)*100</f>
        <v/>
      </c>
      <c r="CK504" s="56">
        <f>($AR504-$AR505)*100</f>
        <v/>
      </c>
      <c r="CL504" s="56">
        <f>($AS504-$AS505)*100</f>
        <v/>
      </c>
      <c r="CM504" s="56">
        <f>($AT504-$AT505)*100</f>
        <v/>
      </c>
      <c r="CN504" s="56">
        <f>($AU504-$AU505)*100</f>
        <v/>
      </c>
      <c r="CO504" s="56">
        <f>($AV504-$AV505)*100</f>
        <v/>
      </c>
      <c r="CP504" s="56">
        <f>($AW504-$AW505)*100</f>
        <v/>
      </c>
      <c r="CQ504" s="56">
        <f>($AX504-$AX505)*100</f>
        <v/>
      </c>
      <c r="CR504" s="56">
        <f>($AY504-$AY505)*100</f>
        <v/>
      </c>
      <c r="CS504" s="57">
        <f>IFERROR($L505/$L504-1,"")</f>
        <v/>
      </c>
      <c r="CT504" s="57">
        <f>IFERROR($M505/$M504-1,"")</f>
        <v/>
      </c>
      <c r="CU504" s="57">
        <f>IFERROR($N505/$N504-1,"")</f>
        <v/>
      </c>
      <c r="CV504" s="57">
        <f>IFERROR($O505/$O504-1,"")</f>
        <v/>
      </c>
      <c r="CW504" s="57">
        <f>IFERROR($P505/$P504-1,"")</f>
        <v/>
      </c>
      <c r="CX504" s="57">
        <f>IFERROR($Q505/$Q504-1,"")</f>
        <v/>
      </c>
      <c r="CY504" s="57">
        <f>IFERROR($R505/$R504-1,"")</f>
        <v/>
      </c>
      <c r="CZ504" s="57">
        <f>IFERROR($S505/$S504-1,"")</f>
        <v/>
      </c>
      <c r="DA504" s="57">
        <f>IFERROR($T505/$T504-1,"")</f>
        <v/>
      </c>
      <c r="DB504" s="57">
        <f>IFERROR($U505/$U504-1,"")</f>
        <v/>
      </c>
      <c r="DC504" s="57">
        <f>IFERROR($V505/$V504-1,"")</f>
        <v/>
      </c>
      <c r="DD504" s="57">
        <f>IFERROR($W505/$W504-1,"")</f>
        <v/>
      </c>
      <c r="DE504" s="57">
        <f>IFERROR($X505/$X504-1,"")</f>
        <v/>
      </c>
      <c r="DF504" s="57">
        <f>IFERROR($Y505/$Y504-1,"")</f>
        <v/>
      </c>
      <c r="DG504" s="57">
        <f>IFERROR($Z505/$Z504-1,"")</f>
        <v/>
      </c>
      <c r="DH504" s="57">
        <f>IFERROR($AA505/$AA504-1,"")</f>
        <v/>
      </c>
      <c r="DI504" s="57">
        <f>IFERROR($AB505/$AB504-1,"")</f>
        <v/>
      </c>
      <c r="DJ504" s="57">
        <f>IFERROR($AC505/$AC504-1,"")</f>
        <v/>
      </c>
      <c r="DK504" s="57">
        <f>IFERROR($AD505/$AD504-1,"")</f>
        <v/>
      </c>
      <c r="DL504" s="57">
        <f>IFERROR($AE505/$AE504-1,"")</f>
        <v/>
      </c>
      <c r="DM504" s="56">
        <f>$AZ504-$AZ505</f>
        <v/>
      </c>
      <c r="DN504" s="56">
        <f>$BA504-$BA505</f>
        <v/>
      </c>
      <c r="DO504" s="56">
        <f>$BB504-$BB505</f>
        <v/>
      </c>
      <c r="DP504" s="56">
        <f>$BC504-$BC505</f>
        <v/>
      </c>
      <c r="DQ504" s="56">
        <f>$BD504-$BD505</f>
        <v/>
      </c>
      <c r="DR504" s="56">
        <f>$BE504-$BE505</f>
        <v/>
      </c>
      <c r="DS504" s="56">
        <f>$BF504-$BF505</f>
        <v/>
      </c>
      <c r="DT504" s="56">
        <f>$BG504-$BG505</f>
        <v/>
      </c>
      <c r="DU504" s="56">
        <f>$BH504-$BH505</f>
        <v/>
      </c>
      <c r="DV504" s="56">
        <f>$BI504-$BI505</f>
        <v/>
      </c>
      <c r="DW504" s="56">
        <f>$BJ504-$BJ505</f>
        <v/>
      </c>
      <c r="DX504" s="56">
        <f>$BK504-$BK505</f>
        <v/>
      </c>
      <c r="DY504" s="56">
        <f>$BL504-$BL505</f>
        <v/>
      </c>
      <c r="DZ504" s="56">
        <f>$BM504-$BM505</f>
        <v/>
      </c>
      <c r="EA504" s="56">
        <f>$BN504-$BN505</f>
        <v/>
      </c>
      <c r="EB504" s="56">
        <f>$BO504-$BO505</f>
        <v/>
      </c>
      <c r="EC504" s="56">
        <f>$BP504-$BP505</f>
        <v/>
      </c>
      <c r="ED504" s="56">
        <f>$BQ504-$BQ505</f>
        <v/>
      </c>
      <c r="EE504" s="56">
        <f>$BR504-$BR505</f>
        <v/>
      </c>
      <c r="EF504" s="56">
        <f>$BS504-$BS505</f>
        <v/>
      </c>
      <c r="EG504" s="56">
        <f>$BT504-$BT505</f>
        <v/>
      </c>
      <c r="EH504" s="56">
        <f>$BU504-$BU505</f>
        <v/>
      </c>
    </row>
    <row r="505">
      <c r="BV505" s="56">
        <f>($D505-$D506)*100</f>
        <v/>
      </c>
      <c r="BW505" s="56">
        <f>($C505-$C506)*100</f>
        <v/>
      </c>
      <c r="BX505" s="57">
        <f>IFERROR($I505/$I506-1,"")</f>
        <v/>
      </c>
      <c r="BY505" s="56">
        <f>($AF505-$AF506)*100</f>
        <v/>
      </c>
      <c r="BZ505" s="56">
        <f>($AG505-$AG506)*100</f>
        <v/>
      </c>
      <c r="CA505" s="56">
        <f>($AH505-$AH506)*100</f>
        <v/>
      </c>
      <c r="CB505" s="56">
        <f>($AI505-$AI506)*100</f>
        <v/>
      </c>
      <c r="CC505" s="56">
        <f>($AJ505-$AJ506)*100</f>
        <v/>
      </c>
      <c r="CD505" s="56">
        <f>($AK505-$AK506)*100</f>
        <v/>
      </c>
      <c r="CE505" s="56">
        <f>($AL505-$AL506)*100</f>
        <v/>
      </c>
      <c r="CF505" s="56">
        <f>($AM505-$AM506)*100</f>
        <v/>
      </c>
      <c r="CG505" s="56">
        <f>($AN505-$AN506)*100</f>
        <v/>
      </c>
      <c r="CH505" s="56">
        <f>($AO505-$AO506)*100</f>
        <v/>
      </c>
      <c r="CI505" s="56">
        <f>($AP505-$AP506)*100</f>
        <v/>
      </c>
      <c r="CJ505" s="56">
        <f>($AQ505-$AQ506)*100</f>
        <v/>
      </c>
      <c r="CK505" s="56">
        <f>($AR505-$AR506)*100</f>
        <v/>
      </c>
      <c r="CL505" s="56">
        <f>($AS505-$AS506)*100</f>
        <v/>
      </c>
      <c r="CM505" s="56">
        <f>($AT505-$AT506)*100</f>
        <v/>
      </c>
      <c r="CN505" s="56">
        <f>($AU505-$AU506)*100</f>
        <v/>
      </c>
      <c r="CO505" s="56">
        <f>($AV505-$AV506)*100</f>
        <v/>
      </c>
      <c r="CP505" s="56">
        <f>($AW505-$AW506)*100</f>
        <v/>
      </c>
      <c r="CQ505" s="56">
        <f>($AX505-$AX506)*100</f>
        <v/>
      </c>
      <c r="CR505" s="56">
        <f>($AY505-$AY506)*100</f>
        <v/>
      </c>
      <c r="CS505" s="57">
        <f>IFERROR($L506/$L505-1,"")</f>
        <v/>
      </c>
      <c r="CT505" s="57">
        <f>IFERROR($M506/$M505-1,"")</f>
        <v/>
      </c>
      <c r="CU505" s="57">
        <f>IFERROR($N506/$N505-1,"")</f>
        <v/>
      </c>
      <c r="CV505" s="57">
        <f>IFERROR($O506/$O505-1,"")</f>
        <v/>
      </c>
      <c r="CW505" s="57">
        <f>IFERROR($P506/$P505-1,"")</f>
        <v/>
      </c>
      <c r="CX505" s="57">
        <f>IFERROR($Q506/$Q505-1,"")</f>
        <v/>
      </c>
      <c r="CY505" s="57">
        <f>IFERROR($R506/$R505-1,"")</f>
        <v/>
      </c>
      <c r="CZ505" s="57">
        <f>IFERROR($S506/$S505-1,"")</f>
        <v/>
      </c>
      <c r="DA505" s="57">
        <f>IFERROR($T506/$T505-1,"")</f>
        <v/>
      </c>
      <c r="DB505" s="57">
        <f>IFERROR($U506/$U505-1,"")</f>
        <v/>
      </c>
      <c r="DC505" s="57">
        <f>IFERROR($V506/$V505-1,"")</f>
        <v/>
      </c>
      <c r="DD505" s="57">
        <f>IFERROR($W506/$W505-1,"")</f>
        <v/>
      </c>
      <c r="DE505" s="57">
        <f>IFERROR($X506/$X505-1,"")</f>
        <v/>
      </c>
      <c r="DF505" s="57">
        <f>IFERROR($Y506/$Y505-1,"")</f>
        <v/>
      </c>
      <c r="DG505" s="57">
        <f>IFERROR($Z506/$Z505-1,"")</f>
        <v/>
      </c>
      <c r="DH505" s="57">
        <f>IFERROR($AA506/$AA505-1,"")</f>
        <v/>
      </c>
      <c r="DI505" s="57">
        <f>IFERROR($AB506/$AB505-1,"")</f>
        <v/>
      </c>
      <c r="DJ505" s="57">
        <f>IFERROR($AC506/$AC505-1,"")</f>
        <v/>
      </c>
      <c r="DK505" s="57">
        <f>IFERROR($AD506/$AD505-1,"")</f>
        <v/>
      </c>
      <c r="DL505" s="57">
        <f>IFERROR($AE506/$AE505-1,"")</f>
        <v/>
      </c>
      <c r="DM505" s="56">
        <f>$AZ505-$AZ506</f>
        <v/>
      </c>
      <c r="DN505" s="56">
        <f>$BA505-$BA506</f>
        <v/>
      </c>
      <c r="DO505" s="56">
        <f>$BB505-$BB506</f>
        <v/>
      </c>
      <c r="DP505" s="56">
        <f>$BC505-$BC506</f>
        <v/>
      </c>
      <c r="DQ505" s="56">
        <f>$BD505-$BD506</f>
        <v/>
      </c>
      <c r="DR505" s="56">
        <f>$BE505-$BE506</f>
        <v/>
      </c>
      <c r="DS505" s="56">
        <f>$BF505-$BF506</f>
        <v/>
      </c>
      <c r="DT505" s="56">
        <f>$BG505-$BG506</f>
        <v/>
      </c>
      <c r="DU505" s="56">
        <f>$BH505-$BH506</f>
        <v/>
      </c>
      <c r="DV505" s="56">
        <f>$BI505-$BI506</f>
        <v/>
      </c>
      <c r="DW505" s="56">
        <f>$BJ505-$BJ506</f>
        <v/>
      </c>
      <c r="DX505" s="56">
        <f>$BK505-$BK506</f>
        <v/>
      </c>
      <c r="DY505" s="56">
        <f>$BL505-$BL506</f>
        <v/>
      </c>
      <c r="DZ505" s="56">
        <f>$BM505-$BM506</f>
        <v/>
      </c>
      <c r="EA505" s="56">
        <f>$BN505-$BN506</f>
        <v/>
      </c>
      <c r="EB505" s="56">
        <f>$BO505-$BO506</f>
        <v/>
      </c>
      <c r="EC505" s="56">
        <f>$BP505-$BP506</f>
        <v/>
      </c>
      <c r="ED505" s="56">
        <f>$BQ505-$BQ506</f>
        <v/>
      </c>
      <c r="EE505" s="56">
        <f>$BR505-$BR506</f>
        <v/>
      </c>
      <c r="EF505" s="56">
        <f>$BS505-$BS506</f>
        <v/>
      </c>
      <c r="EG505" s="56">
        <f>$BT505-$BT506</f>
        <v/>
      </c>
      <c r="EH505" s="56">
        <f>$BU505-$BU506</f>
        <v/>
      </c>
    </row>
    <row r="506">
      <c r="BV506" s="56">
        <f>($D506-$D507)*100</f>
        <v/>
      </c>
      <c r="BW506" s="56">
        <f>($C506-$C507)*100</f>
        <v/>
      </c>
      <c r="BX506" s="57">
        <f>IFERROR($I506/$I507-1,"")</f>
        <v/>
      </c>
      <c r="BY506" s="56">
        <f>($AF506-$AF507)*100</f>
        <v/>
      </c>
      <c r="BZ506" s="56">
        <f>($AG506-$AG507)*100</f>
        <v/>
      </c>
      <c r="CA506" s="56">
        <f>($AH506-$AH507)*100</f>
        <v/>
      </c>
      <c r="CB506" s="56">
        <f>($AI506-$AI507)*100</f>
        <v/>
      </c>
      <c r="CC506" s="56">
        <f>($AJ506-$AJ507)*100</f>
        <v/>
      </c>
      <c r="CD506" s="56">
        <f>($AK506-$AK507)*100</f>
        <v/>
      </c>
      <c r="CE506" s="56">
        <f>($AL506-$AL507)*100</f>
        <v/>
      </c>
      <c r="CF506" s="56">
        <f>($AM506-$AM507)*100</f>
        <v/>
      </c>
      <c r="CG506" s="56">
        <f>($AN506-$AN507)*100</f>
        <v/>
      </c>
      <c r="CH506" s="56">
        <f>($AO506-$AO507)*100</f>
        <v/>
      </c>
      <c r="CI506" s="56">
        <f>($AP506-$AP507)*100</f>
        <v/>
      </c>
      <c r="CJ506" s="56">
        <f>($AQ506-$AQ507)*100</f>
        <v/>
      </c>
      <c r="CK506" s="56">
        <f>($AR506-$AR507)*100</f>
        <v/>
      </c>
      <c r="CL506" s="56">
        <f>($AS506-$AS507)*100</f>
        <v/>
      </c>
      <c r="CM506" s="56">
        <f>($AT506-$AT507)*100</f>
        <v/>
      </c>
      <c r="CN506" s="56">
        <f>($AU506-$AU507)*100</f>
        <v/>
      </c>
      <c r="CO506" s="56">
        <f>($AV506-$AV507)*100</f>
        <v/>
      </c>
      <c r="CP506" s="56">
        <f>($AW506-$AW507)*100</f>
        <v/>
      </c>
      <c r="CQ506" s="56">
        <f>($AX506-$AX507)*100</f>
        <v/>
      </c>
      <c r="CR506" s="56">
        <f>($AY506-$AY507)*100</f>
        <v/>
      </c>
      <c r="CS506" s="57">
        <f>IFERROR($L507/$L506-1,"")</f>
        <v/>
      </c>
      <c r="CT506" s="57">
        <f>IFERROR($M507/$M506-1,"")</f>
        <v/>
      </c>
      <c r="CU506" s="57">
        <f>IFERROR($N507/$N506-1,"")</f>
        <v/>
      </c>
      <c r="CV506" s="57">
        <f>IFERROR($O507/$O506-1,"")</f>
        <v/>
      </c>
      <c r="CW506" s="57">
        <f>IFERROR($P507/$P506-1,"")</f>
        <v/>
      </c>
      <c r="CX506" s="57">
        <f>IFERROR($Q507/$Q506-1,"")</f>
        <v/>
      </c>
      <c r="CY506" s="57">
        <f>IFERROR($R507/$R506-1,"")</f>
        <v/>
      </c>
      <c r="CZ506" s="57">
        <f>IFERROR($S507/$S506-1,"")</f>
        <v/>
      </c>
      <c r="DA506" s="57">
        <f>IFERROR($T507/$T506-1,"")</f>
        <v/>
      </c>
      <c r="DB506" s="57">
        <f>IFERROR($U507/$U506-1,"")</f>
        <v/>
      </c>
      <c r="DC506" s="57">
        <f>IFERROR($V507/$V506-1,"")</f>
        <v/>
      </c>
      <c r="DD506" s="57">
        <f>IFERROR($W507/$W506-1,"")</f>
        <v/>
      </c>
      <c r="DE506" s="57">
        <f>IFERROR($X507/$X506-1,"")</f>
        <v/>
      </c>
      <c r="DF506" s="57">
        <f>IFERROR($Y507/$Y506-1,"")</f>
        <v/>
      </c>
      <c r="DG506" s="57">
        <f>IFERROR($Z507/$Z506-1,"")</f>
        <v/>
      </c>
      <c r="DH506" s="57">
        <f>IFERROR($AA507/$AA506-1,"")</f>
        <v/>
      </c>
      <c r="DI506" s="57">
        <f>IFERROR($AB507/$AB506-1,"")</f>
        <v/>
      </c>
      <c r="DJ506" s="57">
        <f>IFERROR($AC507/$AC506-1,"")</f>
        <v/>
      </c>
      <c r="DK506" s="57">
        <f>IFERROR($AD507/$AD506-1,"")</f>
        <v/>
      </c>
      <c r="DL506" s="57">
        <f>IFERROR($AE507/$AE506-1,"")</f>
        <v/>
      </c>
      <c r="DM506" s="56">
        <f>$AZ506-$AZ507</f>
        <v/>
      </c>
      <c r="DN506" s="56">
        <f>$BA506-$BA507</f>
        <v/>
      </c>
      <c r="DO506" s="56">
        <f>$BB506-$BB507</f>
        <v/>
      </c>
      <c r="DP506" s="56">
        <f>$BC506-$BC507</f>
        <v/>
      </c>
      <c r="DQ506" s="56">
        <f>$BD506-$BD507</f>
        <v/>
      </c>
      <c r="DR506" s="56">
        <f>$BE506-$BE507</f>
        <v/>
      </c>
      <c r="DS506" s="56">
        <f>$BF506-$BF507</f>
        <v/>
      </c>
      <c r="DT506" s="56">
        <f>$BG506-$BG507</f>
        <v/>
      </c>
      <c r="DU506" s="56">
        <f>$BH506-$BH507</f>
        <v/>
      </c>
      <c r="DV506" s="56">
        <f>$BI506-$BI507</f>
        <v/>
      </c>
      <c r="DW506" s="56">
        <f>$BJ506-$BJ507</f>
        <v/>
      </c>
      <c r="DX506" s="56">
        <f>$BK506-$BK507</f>
        <v/>
      </c>
      <c r="DY506" s="56">
        <f>$BL506-$BL507</f>
        <v/>
      </c>
      <c r="DZ506" s="56">
        <f>$BM506-$BM507</f>
        <v/>
      </c>
      <c r="EA506" s="56">
        <f>$BN506-$BN507</f>
        <v/>
      </c>
      <c r="EB506" s="56">
        <f>$BO506-$BO507</f>
        <v/>
      </c>
      <c r="EC506" s="56">
        <f>$BP506-$BP507</f>
        <v/>
      </c>
      <c r="ED506" s="56">
        <f>$BQ506-$BQ507</f>
        <v/>
      </c>
      <c r="EE506" s="56">
        <f>$BR506-$BR507</f>
        <v/>
      </c>
      <c r="EF506" s="56">
        <f>$BS506-$BS507</f>
        <v/>
      </c>
      <c r="EG506" s="56">
        <f>$BT506-$BT507</f>
        <v/>
      </c>
      <c r="EH506" s="56">
        <f>$BU506-$BU507</f>
        <v/>
      </c>
    </row>
    <row r="507">
      <c r="BV507" s="56">
        <f>($D507-$D508)*100</f>
        <v/>
      </c>
      <c r="BW507" s="56">
        <f>($C507-$C508)*100</f>
        <v/>
      </c>
      <c r="BX507" s="57">
        <f>IFERROR($I507/$I508-1,"")</f>
        <v/>
      </c>
      <c r="BY507" s="56">
        <f>($AF507-$AF508)*100</f>
        <v/>
      </c>
      <c r="BZ507" s="56">
        <f>($AG507-$AG508)*100</f>
        <v/>
      </c>
      <c r="CA507" s="56">
        <f>($AH507-$AH508)*100</f>
        <v/>
      </c>
      <c r="CB507" s="56">
        <f>($AI507-$AI508)*100</f>
        <v/>
      </c>
      <c r="CC507" s="56">
        <f>($AJ507-$AJ508)*100</f>
        <v/>
      </c>
      <c r="CD507" s="56">
        <f>($AK507-$AK508)*100</f>
        <v/>
      </c>
      <c r="CE507" s="56">
        <f>($AL507-$AL508)*100</f>
        <v/>
      </c>
      <c r="CF507" s="56">
        <f>($AM507-$AM508)*100</f>
        <v/>
      </c>
      <c r="CG507" s="56">
        <f>($AN507-$AN508)*100</f>
        <v/>
      </c>
      <c r="CH507" s="56">
        <f>($AO507-$AO508)*100</f>
        <v/>
      </c>
      <c r="CI507" s="56">
        <f>($AP507-$AP508)*100</f>
        <v/>
      </c>
      <c r="CJ507" s="56">
        <f>($AQ507-$AQ508)*100</f>
        <v/>
      </c>
      <c r="CK507" s="56">
        <f>($AR507-$AR508)*100</f>
        <v/>
      </c>
      <c r="CL507" s="56">
        <f>($AS507-$AS508)*100</f>
        <v/>
      </c>
      <c r="CM507" s="56">
        <f>($AT507-$AT508)*100</f>
        <v/>
      </c>
      <c r="CN507" s="56">
        <f>($AU507-$AU508)*100</f>
        <v/>
      </c>
      <c r="CO507" s="56">
        <f>($AV507-$AV508)*100</f>
        <v/>
      </c>
      <c r="CP507" s="56">
        <f>($AW507-$AW508)*100</f>
        <v/>
      </c>
      <c r="CQ507" s="56">
        <f>($AX507-$AX508)*100</f>
        <v/>
      </c>
      <c r="CR507" s="56">
        <f>($AY507-$AY508)*100</f>
        <v/>
      </c>
      <c r="CS507" s="57">
        <f>IFERROR($L508/$L507-1,"")</f>
        <v/>
      </c>
      <c r="CT507" s="57">
        <f>IFERROR($M508/$M507-1,"")</f>
        <v/>
      </c>
      <c r="CU507" s="57">
        <f>IFERROR($N508/$N507-1,"")</f>
        <v/>
      </c>
      <c r="CV507" s="57">
        <f>IFERROR($O508/$O507-1,"")</f>
        <v/>
      </c>
      <c r="CW507" s="57">
        <f>IFERROR($P508/$P507-1,"")</f>
        <v/>
      </c>
      <c r="CX507" s="57">
        <f>IFERROR($Q508/$Q507-1,"")</f>
        <v/>
      </c>
      <c r="CY507" s="57">
        <f>IFERROR($R508/$R507-1,"")</f>
        <v/>
      </c>
      <c r="CZ507" s="57">
        <f>IFERROR($S508/$S507-1,"")</f>
        <v/>
      </c>
      <c r="DA507" s="57">
        <f>IFERROR($T508/$T507-1,"")</f>
        <v/>
      </c>
      <c r="DB507" s="57">
        <f>IFERROR($U508/$U507-1,"")</f>
        <v/>
      </c>
      <c r="DC507" s="57">
        <f>IFERROR($V508/$V507-1,"")</f>
        <v/>
      </c>
      <c r="DD507" s="57">
        <f>IFERROR($W508/$W507-1,"")</f>
        <v/>
      </c>
      <c r="DE507" s="57">
        <f>IFERROR($X508/$X507-1,"")</f>
        <v/>
      </c>
      <c r="DF507" s="57">
        <f>IFERROR($Y508/$Y507-1,"")</f>
        <v/>
      </c>
      <c r="DG507" s="57">
        <f>IFERROR($Z508/$Z507-1,"")</f>
        <v/>
      </c>
      <c r="DH507" s="57">
        <f>IFERROR($AA508/$AA507-1,"")</f>
        <v/>
      </c>
      <c r="DI507" s="57">
        <f>IFERROR($AB508/$AB507-1,"")</f>
        <v/>
      </c>
      <c r="DJ507" s="57">
        <f>IFERROR($AC508/$AC507-1,"")</f>
        <v/>
      </c>
      <c r="DK507" s="57">
        <f>IFERROR($AD508/$AD507-1,"")</f>
        <v/>
      </c>
      <c r="DL507" s="57">
        <f>IFERROR($AE508/$AE507-1,"")</f>
        <v/>
      </c>
      <c r="DM507" s="56">
        <f>$AZ507-$AZ508</f>
        <v/>
      </c>
      <c r="DN507" s="56">
        <f>$BA507-$BA508</f>
        <v/>
      </c>
      <c r="DO507" s="56">
        <f>$BB507-$BB508</f>
        <v/>
      </c>
      <c r="DP507" s="56">
        <f>$BC507-$BC508</f>
        <v/>
      </c>
      <c r="DQ507" s="56">
        <f>$BD507-$BD508</f>
        <v/>
      </c>
      <c r="DR507" s="56">
        <f>$BE507-$BE508</f>
        <v/>
      </c>
      <c r="DS507" s="56">
        <f>$BF507-$BF508</f>
        <v/>
      </c>
      <c r="DT507" s="56">
        <f>$BG507-$BG508</f>
        <v/>
      </c>
      <c r="DU507" s="56">
        <f>$BH507-$BH508</f>
        <v/>
      </c>
      <c r="DV507" s="56">
        <f>$BI507-$BI508</f>
        <v/>
      </c>
      <c r="DW507" s="56">
        <f>$BJ507-$BJ508</f>
        <v/>
      </c>
      <c r="DX507" s="56">
        <f>$BK507-$BK508</f>
        <v/>
      </c>
      <c r="DY507" s="56">
        <f>$BL507-$BL508</f>
        <v/>
      </c>
      <c r="DZ507" s="56">
        <f>$BM507-$BM508</f>
        <v/>
      </c>
      <c r="EA507" s="56">
        <f>$BN507-$BN508</f>
        <v/>
      </c>
      <c r="EB507" s="56">
        <f>$BO507-$BO508</f>
        <v/>
      </c>
      <c r="EC507" s="56">
        <f>$BP507-$BP508</f>
        <v/>
      </c>
      <c r="ED507" s="56">
        <f>$BQ507-$BQ508</f>
        <v/>
      </c>
      <c r="EE507" s="56">
        <f>$BR507-$BR508</f>
        <v/>
      </c>
      <c r="EF507" s="56">
        <f>$BS507-$BS508</f>
        <v/>
      </c>
      <c r="EG507" s="56">
        <f>$BT507-$BT508</f>
        <v/>
      </c>
      <c r="EH507" s="56">
        <f>$BU507-$BU508</f>
        <v/>
      </c>
    </row>
    <row r="508">
      <c r="BV508" s="56">
        <f>($D508-$D509)*100</f>
        <v/>
      </c>
      <c r="BW508" s="56">
        <f>($C508-$C509)*100</f>
        <v/>
      </c>
      <c r="BX508" s="57">
        <f>IFERROR($I508/$I509-1,"")</f>
        <v/>
      </c>
      <c r="BY508" s="56">
        <f>($AF508-$AF509)*100</f>
        <v/>
      </c>
      <c r="BZ508" s="56">
        <f>($AG508-$AG509)*100</f>
        <v/>
      </c>
      <c r="CA508" s="56">
        <f>($AH508-$AH509)*100</f>
        <v/>
      </c>
      <c r="CB508" s="56">
        <f>($AI508-$AI509)*100</f>
        <v/>
      </c>
      <c r="CC508" s="56">
        <f>($AJ508-$AJ509)*100</f>
        <v/>
      </c>
      <c r="CD508" s="56">
        <f>($AK508-$AK509)*100</f>
        <v/>
      </c>
      <c r="CE508" s="56">
        <f>($AL508-$AL509)*100</f>
        <v/>
      </c>
      <c r="CF508" s="56">
        <f>($AM508-$AM509)*100</f>
        <v/>
      </c>
      <c r="CG508" s="56">
        <f>($AN508-$AN509)*100</f>
        <v/>
      </c>
      <c r="CH508" s="56">
        <f>($AO508-$AO509)*100</f>
        <v/>
      </c>
      <c r="CI508" s="56">
        <f>($AP508-$AP509)*100</f>
        <v/>
      </c>
      <c r="CJ508" s="56">
        <f>($AQ508-$AQ509)*100</f>
        <v/>
      </c>
      <c r="CK508" s="56">
        <f>($AR508-$AR509)*100</f>
        <v/>
      </c>
      <c r="CL508" s="56">
        <f>($AS508-$AS509)*100</f>
        <v/>
      </c>
      <c r="CM508" s="56">
        <f>($AT508-$AT509)*100</f>
        <v/>
      </c>
      <c r="CN508" s="56">
        <f>($AU508-$AU509)*100</f>
        <v/>
      </c>
      <c r="CO508" s="56">
        <f>($AV508-$AV509)*100</f>
        <v/>
      </c>
      <c r="CP508" s="56">
        <f>($AW508-$AW509)*100</f>
        <v/>
      </c>
      <c r="CQ508" s="56">
        <f>($AX508-$AX509)*100</f>
        <v/>
      </c>
      <c r="CR508" s="56">
        <f>($AY508-$AY509)*100</f>
        <v/>
      </c>
      <c r="CS508" s="57">
        <f>IFERROR($L509/$L508-1,"")</f>
        <v/>
      </c>
      <c r="CT508" s="57">
        <f>IFERROR($M509/$M508-1,"")</f>
        <v/>
      </c>
      <c r="CU508" s="57">
        <f>IFERROR($N509/$N508-1,"")</f>
        <v/>
      </c>
      <c r="CV508" s="57">
        <f>IFERROR($O509/$O508-1,"")</f>
        <v/>
      </c>
      <c r="CW508" s="57">
        <f>IFERROR($P509/$P508-1,"")</f>
        <v/>
      </c>
      <c r="CX508" s="57">
        <f>IFERROR($Q509/$Q508-1,"")</f>
        <v/>
      </c>
      <c r="CY508" s="57">
        <f>IFERROR($R509/$R508-1,"")</f>
        <v/>
      </c>
      <c r="CZ508" s="57">
        <f>IFERROR($S509/$S508-1,"")</f>
        <v/>
      </c>
      <c r="DA508" s="57">
        <f>IFERROR($T509/$T508-1,"")</f>
        <v/>
      </c>
      <c r="DB508" s="57">
        <f>IFERROR($U509/$U508-1,"")</f>
        <v/>
      </c>
      <c r="DC508" s="57">
        <f>IFERROR($V509/$V508-1,"")</f>
        <v/>
      </c>
      <c r="DD508" s="57">
        <f>IFERROR($W509/$W508-1,"")</f>
        <v/>
      </c>
      <c r="DE508" s="57">
        <f>IFERROR($X509/$X508-1,"")</f>
        <v/>
      </c>
      <c r="DF508" s="57">
        <f>IFERROR($Y509/$Y508-1,"")</f>
        <v/>
      </c>
      <c r="DG508" s="57">
        <f>IFERROR($Z509/$Z508-1,"")</f>
        <v/>
      </c>
      <c r="DH508" s="57">
        <f>IFERROR($AA509/$AA508-1,"")</f>
        <v/>
      </c>
      <c r="DI508" s="57">
        <f>IFERROR($AB509/$AB508-1,"")</f>
        <v/>
      </c>
      <c r="DJ508" s="57">
        <f>IFERROR($AC509/$AC508-1,"")</f>
        <v/>
      </c>
      <c r="DK508" s="57">
        <f>IFERROR($AD509/$AD508-1,"")</f>
        <v/>
      </c>
      <c r="DL508" s="57">
        <f>IFERROR($AE509/$AE508-1,"")</f>
        <v/>
      </c>
      <c r="DM508" s="56">
        <f>$AZ508-$AZ509</f>
        <v/>
      </c>
      <c r="DN508" s="56">
        <f>$BA508-$BA509</f>
        <v/>
      </c>
      <c r="DO508" s="56">
        <f>$BB508-$BB509</f>
        <v/>
      </c>
      <c r="DP508" s="56">
        <f>$BC508-$BC509</f>
        <v/>
      </c>
      <c r="DQ508" s="56">
        <f>$BD508-$BD509</f>
        <v/>
      </c>
      <c r="DR508" s="56">
        <f>$BE508-$BE509</f>
        <v/>
      </c>
      <c r="DS508" s="56">
        <f>$BF508-$BF509</f>
        <v/>
      </c>
      <c r="DT508" s="56">
        <f>$BG508-$BG509</f>
        <v/>
      </c>
      <c r="DU508" s="56">
        <f>$BH508-$BH509</f>
        <v/>
      </c>
      <c r="DV508" s="56">
        <f>$BI508-$BI509</f>
        <v/>
      </c>
      <c r="DW508" s="56">
        <f>$BJ508-$BJ509</f>
        <v/>
      </c>
      <c r="DX508" s="56">
        <f>$BK508-$BK509</f>
        <v/>
      </c>
      <c r="DY508" s="56">
        <f>$BL508-$BL509</f>
        <v/>
      </c>
      <c r="DZ508" s="56">
        <f>$BM508-$BM509</f>
        <v/>
      </c>
      <c r="EA508" s="56">
        <f>$BN508-$BN509</f>
        <v/>
      </c>
      <c r="EB508" s="56">
        <f>$BO508-$BO509</f>
        <v/>
      </c>
      <c r="EC508" s="56">
        <f>$BP508-$BP509</f>
        <v/>
      </c>
      <c r="ED508" s="56">
        <f>$BQ508-$BQ509</f>
        <v/>
      </c>
      <c r="EE508" s="56">
        <f>$BR508-$BR509</f>
        <v/>
      </c>
      <c r="EF508" s="56">
        <f>$BS508-$BS509</f>
        <v/>
      </c>
      <c r="EG508" s="56">
        <f>$BT508-$BT509</f>
        <v/>
      </c>
      <c r="EH508" s="56">
        <f>$BU508-$BU509</f>
        <v/>
      </c>
    </row>
    <row r="509">
      <c r="BV509" s="56">
        <f>($D509-$D510)*100</f>
        <v/>
      </c>
      <c r="BW509" s="56">
        <f>($C509-$C510)*100</f>
        <v/>
      </c>
      <c r="BX509" s="57">
        <f>IFERROR($I509/$I510-1,"")</f>
        <v/>
      </c>
      <c r="BY509" s="56">
        <f>($AF509-$AF510)*100</f>
        <v/>
      </c>
      <c r="BZ509" s="56">
        <f>($AG509-$AG510)*100</f>
        <v/>
      </c>
      <c r="CA509" s="56">
        <f>($AH509-$AH510)*100</f>
        <v/>
      </c>
      <c r="CB509" s="56">
        <f>($AI509-$AI510)*100</f>
        <v/>
      </c>
      <c r="CC509" s="56">
        <f>($AJ509-$AJ510)*100</f>
        <v/>
      </c>
      <c r="CD509" s="56">
        <f>($AK509-$AK510)*100</f>
        <v/>
      </c>
      <c r="CE509" s="56">
        <f>($AL509-$AL510)*100</f>
        <v/>
      </c>
      <c r="CF509" s="56">
        <f>($AM509-$AM510)*100</f>
        <v/>
      </c>
      <c r="CG509" s="56">
        <f>($AN509-$AN510)*100</f>
        <v/>
      </c>
      <c r="CH509" s="56">
        <f>($AO509-$AO510)*100</f>
        <v/>
      </c>
      <c r="CI509" s="56">
        <f>($AP509-$AP510)*100</f>
        <v/>
      </c>
      <c r="CJ509" s="56">
        <f>($AQ509-$AQ510)*100</f>
        <v/>
      </c>
      <c r="CK509" s="56">
        <f>($AR509-$AR510)*100</f>
        <v/>
      </c>
      <c r="CL509" s="56">
        <f>($AS509-$AS510)*100</f>
        <v/>
      </c>
      <c r="CM509" s="56">
        <f>($AT509-$AT510)*100</f>
        <v/>
      </c>
      <c r="CN509" s="56">
        <f>($AU509-$AU510)*100</f>
        <v/>
      </c>
      <c r="CO509" s="56">
        <f>($AV509-$AV510)*100</f>
        <v/>
      </c>
      <c r="CP509" s="56">
        <f>($AW509-$AW510)*100</f>
        <v/>
      </c>
      <c r="CQ509" s="56">
        <f>($AX509-$AX510)*100</f>
        <v/>
      </c>
      <c r="CR509" s="56">
        <f>($AY509-$AY510)*100</f>
        <v/>
      </c>
      <c r="CS509" s="57">
        <f>IFERROR($L510/$L509-1,"")</f>
        <v/>
      </c>
      <c r="CT509" s="57">
        <f>IFERROR($M510/$M509-1,"")</f>
        <v/>
      </c>
      <c r="CU509" s="57">
        <f>IFERROR($N510/$N509-1,"")</f>
        <v/>
      </c>
      <c r="CV509" s="57">
        <f>IFERROR($O510/$O509-1,"")</f>
        <v/>
      </c>
      <c r="CW509" s="57">
        <f>IFERROR($P510/$P509-1,"")</f>
        <v/>
      </c>
      <c r="CX509" s="57">
        <f>IFERROR($Q510/$Q509-1,"")</f>
        <v/>
      </c>
      <c r="CY509" s="57">
        <f>IFERROR($R510/$R509-1,"")</f>
        <v/>
      </c>
      <c r="CZ509" s="57">
        <f>IFERROR($S510/$S509-1,"")</f>
        <v/>
      </c>
      <c r="DA509" s="57">
        <f>IFERROR($T510/$T509-1,"")</f>
        <v/>
      </c>
      <c r="DB509" s="57">
        <f>IFERROR($U510/$U509-1,"")</f>
        <v/>
      </c>
      <c r="DC509" s="57">
        <f>IFERROR($V510/$V509-1,"")</f>
        <v/>
      </c>
      <c r="DD509" s="57">
        <f>IFERROR($W510/$W509-1,"")</f>
        <v/>
      </c>
      <c r="DE509" s="57">
        <f>IFERROR($X510/$X509-1,"")</f>
        <v/>
      </c>
      <c r="DF509" s="57">
        <f>IFERROR($Y510/$Y509-1,"")</f>
        <v/>
      </c>
      <c r="DG509" s="57">
        <f>IFERROR($Z510/$Z509-1,"")</f>
        <v/>
      </c>
      <c r="DH509" s="57">
        <f>IFERROR($AA510/$AA509-1,"")</f>
        <v/>
      </c>
      <c r="DI509" s="57">
        <f>IFERROR($AB510/$AB509-1,"")</f>
        <v/>
      </c>
      <c r="DJ509" s="57">
        <f>IFERROR($AC510/$AC509-1,"")</f>
        <v/>
      </c>
      <c r="DK509" s="57">
        <f>IFERROR($AD510/$AD509-1,"")</f>
        <v/>
      </c>
      <c r="DL509" s="57">
        <f>IFERROR($AE510/$AE509-1,"")</f>
        <v/>
      </c>
      <c r="DM509" s="56">
        <f>$AZ509-$AZ510</f>
        <v/>
      </c>
      <c r="DN509" s="56">
        <f>$BA509-$BA510</f>
        <v/>
      </c>
      <c r="DO509" s="56">
        <f>$BB509-$BB510</f>
        <v/>
      </c>
      <c r="DP509" s="56">
        <f>$BC509-$BC510</f>
        <v/>
      </c>
      <c r="DQ509" s="56">
        <f>$BD509-$BD510</f>
        <v/>
      </c>
      <c r="DR509" s="56">
        <f>$BE509-$BE510</f>
        <v/>
      </c>
      <c r="DS509" s="56">
        <f>$BF509-$BF510</f>
        <v/>
      </c>
      <c r="DT509" s="56">
        <f>$BG509-$BG510</f>
        <v/>
      </c>
      <c r="DU509" s="56">
        <f>$BH509-$BH510</f>
        <v/>
      </c>
      <c r="DV509" s="56">
        <f>$BI509-$BI510</f>
        <v/>
      </c>
      <c r="DW509" s="56">
        <f>$BJ509-$BJ510</f>
        <v/>
      </c>
      <c r="DX509" s="56">
        <f>$BK509-$BK510</f>
        <v/>
      </c>
      <c r="DY509" s="56">
        <f>$BL509-$BL510</f>
        <v/>
      </c>
      <c r="DZ509" s="56">
        <f>$BM509-$BM510</f>
        <v/>
      </c>
      <c r="EA509" s="56">
        <f>$BN509-$BN510</f>
        <v/>
      </c>
      <c r="EB509" s="56">
        <f>$BO509-$BO510</f>
        <v/>
      </c>
      <c r="EC509" s="56">
        <f>$BP509-$BP510</f>
        <v/>
      </c>
      <c r="ED509" s="56">
        <f>$BQ509-$BQ510</f>
        <v/>
      </c>
      <c r="EE509" s="56">
        <f>$BR509-$BR510</f>
        <v/>
      </c>
      <c r="EF509" s="56">
        <f>$BS509-$BS510</f>
        <v/>
      </c>
      <c r="EG509" s="56">
        <f>$BT509-$BT510</f>
        <v/>
      </c>
      <c r="EH509" s="56">
        <f>$BU509-$BU510</f>
        <v/>
      </c>
    </row>
    <row r="510">
      <c r="BV510" s="56">
        <f>($D510-$D511)*100</f>
        <v/>
      </c>
      <c r="BW510" s="56">
        <f>($C510-$C511)*100</f>
        <v/>
      </c>
      <c r="BX510" s="57">
        <f>IFERROR($I510/$I511-1,"")</f>
        <v/>
      </c>
      <c r="BY510" s="56">
        <f>($AF510-$AF511)*100</f>
        <v/>
      </c>
      <c r="BZ510" s="56">
        <f>($AG510-$AG511)*100</f>
        <v/>
      </c>
      <c r="CA510" s="56">
        <f>($AH510-$AH511)*100</f>
        <v/>
      </c>
      <c r="CB510" s="56">
        <f>($AI510-$AI511)*100</f>
        <v/>
      </c>
      <c r="CC510" s="56">
        <f>($AJ510-$AJ511)*100</f>
        <v/>
      </c>
      <c r="CD510" s="56">
        <f>($AK510-$AK511)*100</f>
        <v/>
      </c>
      <c r="CE510" s="56">
        <f>($AL510-$AL511)*100</f>
        <v/>
      </c>
      <c r="CF510" s="56">
        <f>($AM510-$AM511)*100</f>
        <v/>
      </c>
      <c r="CG510" s="56">
        <f>($AN510-$AN511)*100</f>
        <v/>
      </c>
      <c r="CH510" s="56">
        <f>($AO510-$AO511)*100</f>
        <v/>
      </c>
      <c r="CI510" s="56">
        <f>($AP510-$AP511)*100</f>
        <v/>
      </c>
      <c r="CJ510" s="56">
        <f>($AQ510-$AQ511)*100</f>
        <v/>
      </c>
      <c r="CK510" s="56">
        <f>($AR510-$AR511)*100</f>
        <v/>
      </c>
      <c r="CL510" s="56">
        <f>($AS510-$AS511)*100</f>
        <v/>
      </c>
      <c r="CM510" s="56">
        <f>($AT510-$AT511)*100</f>
        <v/>
      </c>
      <c r="CN510" s="56">
        <f>($AU510-$AU511)*100</f>
        <v/>
      </c>
      <c r="CO510" s="56">
        <f>($AV510-$AV511)*100</f>
        <v/>
      </c>
      <c r="CP510" s="56">
        <f>($AW510-$AW511)*100</f>
        <v/>
      </c>
      <c r="CQ510" s="56">
        <f>($AX510-$AX511)*100</f>
        <v/>
      </c>
      <c r="CR510" s="56">
        <f>($AY510-$AY511)*100</f>
        <v/>
      </c>
      <c r="CS510" s="57">
        <f>IFERROR($L511/$L510-1,"")</f>
        <v/>
      </c>
      <c r="CT510" s="57">
        <f>IFERROR($M511/$M510-1,"")</f>
        <v/>
      </c>
      <c r="CU510" s="57">
        <f>IFERROR($N511/$N510-1,"")</f>
        <v/>
      </c>
      <c r="CV510" s="57">
        <f>IFERROR($O511/$O510-1,"")</f>
        <v/>
      </c>
      <c r="CW510" s="57">
        <f>IFERROR($P511/$P510-1,"")</f>
        <v/>
      </c>
      <c r="CX510" s="57">
        <f>IFERROR($Q511/$Q510-1,"")</f>
        <v/>
      </c>
      <c r="CY510" s="57">
        <f>IFERROR($R511/$R510-1,"")</f>
        <v/>
      </c>
      <c r="CZ510" s="57">
        <f>IFERROR($S511/$S510-1,"")</f>
        <v/>
      </c>
      <c r="DA510" s="57">
        <f>IFERROR($T511/$T510-1,"")</f>
        <v/>
      </c>
      <c r="DB510" s="57">
        <f>IFERROR($U511/$U510-1,"")</f>
        <v/>
      </c>
      <c r="DC510" s="57">
        <f>IFERROR($V511/$V510-1,"")</f>
        <v/>
      </c>
      <c r="DD510" s="57">
        <f>IFERROR($W511/$W510-1,"")</f>
        <v/>
      </c>
      <c r="DE510" s="57">
        <f>IFERROR($X511/$X510-1,"")</f>
        <v/>
      </c>
      <c r="DF510" s="57">
        <f>IFERROR($Y511/$Y510-1,"")</f>
        <v/>
      </c>
      <c r="DG510" s="57">
        <f>IFERROR($Z511/$Z510-1,"")</f>
        <v/>
      </c>
      <c r="DH510" s="57">
        <f>IFERROR($AA511/$AA510-1,"")</f>
        <v/>
      </c>
      <c r="DI510" s="57">
        <f>IFERROR($AB511/$AB510-1,"")</f>
        <v/>
      </c>
      <c r="DJ510" s="57">
        <f>IFERROR($AC511/$AC510-1,"")</f>
        <v/>
      </c>
      <c r="DK510" s="57">
        <f>IFERROR($AD511/$AD510-1,"")</f>
        <v/>
      </c>
      <c r="DL510" s="57">
        <f>IFERROR($AE511/$AE510-1,"")</f>
        <v/>
      </c>
      <c r="DM510" s="56">
        <f>$AZ510-$AZ511</f>
        <v/>
      </c>
      <c r="DN510" s="56">
        <f>$BA510-$BA511</f>
        <v/>
      </c>
      <c r="DO510" s="56">
        <f>$BB510-$BB511</f>
        <v/>
      </c>
      <c r="DP510" s="56">
        <f>$BC510-$BC511</f>
        <v/>
      </c>
      <c r="DQ510" s="56">
        <f>$BD510-$BD511</f>
        <v/>
      </c>
      <c r="DR510" s="56">
        <f>$BE510-$BE511</f>
        <v/>
      </c>
      <c r="DS510" s="56">
        <f>$BF510-$BF511</f>
        <v/>
      </c>
      <c r="DT510" s="56">
        <f>$BG510-$BG511</f>
        <v/>
      </c>
      <c r="DU510" s="56">
        <f>$BH510-$BH511</f>
        <v/>
      </c>
      <c r="DV510" s="56">
        <f>$BI510-$BI511</f>
        <v/>
      </c>
      <c r="DW510" s="56">
        <f>$BJ510-$BJ511</f>
        <v/>
      </c>
      <c r="DX510" s="56">
        <f>$BK510-$BK511</f>
        <v/>
      </c>
      <c r="DY510" s="56">
        <f>$BL510-$BL511</f>
        <v/>
      </c>
      <c r="DZ510" s="56">
        <f>$BM510-$BM511</f>
        <v/>
      </c>
      <c r="EA510" s="56">
        <f>$BN510-$BN511</f>
        <v/>
      </c>
      <c r="EB510" s="56">
        <f>$BO510-$BO511</f>
        <v/>
      </c>
      <c r="EC510" s="56">
        <f>$BP510-$BP511</f>
        <v/>
      </c>
      <c r="ED510" s="56">
        <f>$BQ510-$BQ511</f>
        <v/>
      </c>
      <c r="EE510" s="56">
        <f>$BR510-$BR511</f>
        <v/>
      </c>
      <c r="EF510" s="56">
        <f>$BS510-$BS511</f>
        <v/>
      </c>
      <c r="EG510" s="56">
        <f>$BT510-$BT511</f>
        <v/>
      </c>
      <c r="EH510" s="56">
        <f>$BU510-$BU511</f>
        <v/>
      </c>
    </row>
    <row r="511">
      <c r="BV511" s="56">
        <f>($D511-$D512)*100</f>
        <v/>
      </c>
      <c r="BW511" s="56">
        <f>($C511-$C512)*100</f>
        <v/>
      </c>
      <c r="BX511" s="57">
        <f>IFERROR($I511/$I512-1,"")</f>
        <v/>
      </c>
      <c r="BY511" s="56">
        <f>($AF511-$AF512)*100</f>
        <v/>
      </c>
      <c r="BZ511" s="56">
        <f>($AG511-$AG512)*100</f>
        <v/>
      </c>
      <c r="CA511" s="56">
        <f>($AH511-$AH512)*100</f>
        <v/>
      </c>
      <c r="CB511" s="56">
        <f>($AI511-$AI512)*100</f>
        <v/>
      </c>
      <c r="CC511" s="56">
        <f>($AJ511-$AJ512)*100</f>
        <v/>
      </c>
      <c r="CD511" s="56">
        <f>($AK511-$AK512)*100</f>
        <v/>
      </c>
      <c r="CE511" s="56">
        <f>($AL511-$AL512)*100</f>
        <v/>
      </c>
      <c r="CF511" s="56">
        <f>($AM511-$AM512)*100</f>
        <v/>
      </c>
      <c r="CG511" s="56">
        <f>($AN511-$AN512)*100</f>
        <v/>
      </c>
      <c r="CH511" s="56">
        <f>($AO511-$AO512)*100</f>
        <v/>
      </c>
      <c r="CI511" s="56">
        <f>($AP511-$AP512)*100</f>
        <v/>
      </c>
      <c r="CJ511" s="56">
        <f>($AQ511-$AQ512)*100</f>
        <v/>
      </c>
      <c r="CK511" s="56">
        <f>($AR511-$AR512)*100</f>
        <v/>
      </c>
      <c r="CL511" s="56">
        <f>($AS511-$AS512)*100</f>
        <v/>
      </c>
      <c r="CM511" s="56">
        <f>($AT511-$AT512)*100</f>
        <v/>
      </c>
      <c r="CN511" s="56">
        <f>($AU511-$AU512)*100</f>
        <v/>
      </c>
      <c r="CO511" s="56">
        <f>($AV511-$AV512)*100</f>
        <v/>
      </c>
      <c r="CP511" s="56">
        <f>($AW511-$AW512)*100</f>
        <v/>
      </c>
      <c r="CQ511" s="56">
        <f>($AX511-$AX512)*100</f>
        <v/>
      </c>
      <c r="CR511" s="56">
        <f>($AY511-$AY512)*100</f>
        <v/>
      </c>
      <c r="CS511" s="57">
        <f>IFERROR($L512/$L511-1,"")</f>
        <v/>
      </c>
      <c r="CT511" s="57">
        <f>IFERROR($M512/$M511-1,"")</f>
        <v/>
      </c>
      <c r="CU511" s="57">
        <f>IFERROR($N512/$N511-1,"")</f>
        <v/>
      </c>
      <c r="CV511" s="57">
        <f>IFERROR($O512/$O511-1,"")</f>
        <v/>
      </c>
      <c r="CW511" s="57">
        <f>IFERROR($P512/$P511-1,"")</f>
        <v/>
      </c>
      <c r="CX511" s="57">
        <f>IFERROR($Q512/$Q511-1,"")</f>
        <v/>
      </c>
      <c r="CY511" s="57">
        <f>IFERROR($R512/$R511-1,"")</f>
        <v/>
      </c>
      <c r="CZ511" s="57">
        <f>IFERROR($S512/$S511-1,"")</f>
        <v/>
      </c>
      <c r="DA511" s="57">
        <f>IFERROR($T512/$T511-1,"")</f>
        <v/>
      </c>
      <c r="DB511" s="57">
        <f>IFERROR($U512/$U511-1,"")</f>
        <v/>
      </c>
      <c r="DC511" s="57">
        <f>IFERROR($V512/$V511-1,"")</f>
        <v/>
      </c>
      <c r="DD511" s="57">
        <f>IFERROR($W512/$W511-1,"")</f>
        <v/>
      </c>
      <c r="DE511" s="57">
        <f>IFERROR($X512/$X511-1,"")</f>
        <v/>
      </c>
      <c r="DF511" s="57">
        <f>IFERROR($Y512/$Y511-1,"")</f>
        <v/>
      </c>
      <c r="DG511" s="57">
        <f>IFERROR($Z512/$Z511-1,"")</f>
        <v/>
      </c>
      <c r="DH511" s="57">
        <f>IFERROR($AA512/$AA511-1,"")</f>
        <v/>
      </c>
      <c r="DI511" s="57">
        <f>IFERROR($AB512/$AB511-1,"")</f>
        <v/>
      </c>
      <c r="DJ511" s="57">
        <f>IFERROR($AC512/$AC511-1,"")</f>
        <v/>
      </c>
      <c r="DK511" s="57">
        <f>IFERROR($AD512/$AD511-1,"")</f>
        <v/>
      </c>
      <c r="DL511" s="57">
        <f>IFERROR($AE512/$AE511-1,"")</f>
        <v/>
      </c>
      <c r="DM511" s="56">
        <f>$AZ511-$AZ512</f>
        <v/>
      </c>
      <c r="DN511" s="56">
        <f>$BA511-$BA512</f>
        <v/>
      </c>
      <c r="DO511" s="56">
        <f>$BB511-$BB512</f>
        <v/>
      </c>
      <c r="DP511" s="56">
        <f>$BC511-$BC512</f>
        <v/>
      </c>
      <c r="DQ511" s="56">
        <f>$BD511-$BD512</f>
        <v/>
      </c>
      <c r="DR511" s="56">
        <f>$BE511-$BE512</f>
        <v/>
      </c>
      <c r="DS511" s="56">
        <f>$BF511-$BF512</f>
        <v/>
      </c>
      <c r="DT511" s="56">
        <f>$BG511-$BG512</f>
        <v/>
      </c>
      <c r="DU511" s="56">
        <f>$BH511-$BH512</f>
        <v/>
      </c>
      <c r="DV511" s="56">
        <f>$BI511-$BI512</f>
        <v/>
      </c>
      <c r="DW511" s="56">
        <f>$BJ511-$BJ512</f>
        <v/>
      </c>
      <c r="DX511" s="56">
        <f>$BK511-$BK512</f>
        <v/>
      </c>
      <c r="DY511" s="56">
        <f>$BL511-$BL512</f>
        <v/>
      </c>
      <c r="DZ511" s="56">
        <f>$BM511-$BM512</f>
        <v/>
      </c>
      <c r="EA511" s="56">
        <f>$BN511-$BN512</f>
        <v/>
      </c>
      <c r="EB511" s="56">
        <f>$BO511-$BO512</f>
        <v/>
      </c>
      <c r="EC511" s="56">
        <f>$BP511-$BP512</f>
        <v/>
      </c>
      <c r="ED511" s="56">
        <f>$BQ511-$BQ512</f>
        <v/>
      </c>
      <c r="EE511" s="56">
        <f>$BR511-$BR512</f>
        <v/>
      </c>
      <c r="EF511" s="56">
        <f>$BS511-$BS512</f>
        <v/>
      </c>
      <c r="EG511" s="56">
        <f>$BT511-$BT512</f>
        <v/>
      </c>
      <c r="EH511" s="56">
        <f>$BU511-$BU512</f>
        <v/>
      </c>
    </row>
    <row r="512">
      <c r="BV512" s="56">
        <f>($D512-$D513)*100</f>
        <v/>
      </c>
      <c r="BW512" s="56">
        <f>($C512-$C513)*100</f>
        <v/>
      </c>
      <c r="BX512" s="57">
        <f>IFERROR($I512/$I513-1,"")</f>
        <v/>
      </c>
      <c r="BY512" s="56">
        <f>($AF512-$AF513)*100</f>
        <v/>
      </c>
      <c r="BZ512" s="56">
        <f>($AG512-$AG513)*100</f>
        <v/>
      </c>
      <c r="CA512" s="56">
        <f>($AH512-$AH513)*100</f>
        <v/>
      </c>
      <c r="CB512" s="56">
        <f>($AI512-$AI513)*100</f>
        <v/>
      </c>
      <c r="CC512" s="56">
        <f>($AJ512-$AJ513)*100</f>
        <v/>
      </c>
      <c r="CD512" s="56">
        <f>($AK512-$AK513)*100</f>
        <v/>
      </c>
      <c r="CE512" s="56">
        <f>($AL512-$AL513)*100</f>
        <v/>
      </c>
      <c r="CF512" s="56">
        <f>($AM512-$AM513)*100</f>
        <v/>
      </c>
      <c r="CG512" s="56">
        <f>($AN512-$AN513)*100</f>
        <v/>
      </c>
      <c r="CH512" s="56">
        <f>($AO512-$AO513)*100</f>
        <v/>
      </c>
      <c r="CI512" s="56">
        <f>($AP512-$AP513)*100</f>
        <v/>
      </c>
      <c r="CJ512" s="56">
        <f>($AQ512-$AQ513)*100</f>
        <v/>
      </c>
      <c r="CK512" s="56">
        <f>($AR512-$AR513)*100</f>
        <v/>
      </c>
      <c r="CL512" s="56">
        <f>($AS512-$AS513)*100</f>
        <v/>
      </c>
      <c r="CM512" s="56">
        <f>($AT512-$AT513)*100</f>
        <v/>
      </c>
      <c r="CN512" s="56">
        <f>($AU512-$AU513)*100</f>
        <v/>
      </c>
      <c r="CO512" s="56">
        <f>($AV512-$AV513)*100</f>
        <v/>
      </c>
      <c r="CP512" s="56">
        <f>($AW512-$AW513)*100</f>
        <v/>
      </c>
      <c r="CQ512" s="56">
        <f>($AX512-$AX513)*100</f>
        <v/>
      </c>
      <c r="CR512" s="56">
        <f>($AY512-$AY513)*100</f>
        <v/>
      </c>
      <c r="CS512" s="57">
        <f>IFERROR($L513/$L512-1,"")</f>
        <v/>
      </c>
      <c r="CT512" s="57">
        <f>IFERROR($M513/$M512-1,"")</f>
        <v/>
      </c>
      <c r="CU512" s="57">
        <f>IFERROR($N513/$N512-1,"")</f>
        <v/>
      </c>
      <c r="CV512" s="57">
        <f>IFERROR($O513/$O512-1,"")</f>
        <v/>
      </c>
      <c r="CW512" s="57">
        <f>IFERROR($P513/$P512-1,"")</f>
        <v/>
      </c>
      <c r="CX512" s="57">
        <f>IFERROR($Q513/$Q512-1,"")</f>
        <v/>
      </c>
      <c r="CY512" s="57">
        <f>IFERROR($R513/$R512-1,"")</f>
        <v/>
      </c>
      <c r="CZ512" s="57">
        <f>IFERROR($S513/$S512-1,"")</f>
        <v/>
      </c>
      <c r="DA512" s="57">
        <f>IFERROR($T513/$T512-1,"")</f>
        <v/>
      </c>
      <c r="DB512" s="57">
        <f>IFERROR($U513/$U512-1,"")</f>
        <v/>
      </c>
      <c r="DC512" s="57">
        <f>IFERROR($V513/$V512-1,"")</f>
        <v/>
      </c>
      <c r="DD512" s="57">
        <f>IFERROR($W513/$W512-1,"")</f>
        <v/>
      </c>
      <c r="DE512" s="57">
        <f>IFERROR($X513/$X512-1,"")</f>
        <v/>
      </c>
      <c r="DF512" s="57">
        <f>IFERROR($Y513/$Y512-1,"")</f>
        <v/>
      </c>
      <c r="DG512" s="57">
        <f>IFERROR($Z513/$Z512-1,"")</f>
        <v/>
      </c>
      <c r="DH512" s="57">
        <f>IFERROR($AA513/$AA512-1,"")</f>
        <v/>
      </c>
      <c r="DI512" s="57">
        <f>IFERROR($AB513/$AB512-1,"")</f>
        <v/>
      </c>
      <c r="DJ512" s="57">
        <f>IFERROR($AC513/$AC512-1,"")</f>
        <v/>
      </c>
      <c r="DK512" s="57">
        <f>IFERROR($AD513/$AD512-1,"")</f>
        <v/>
      </c>
      <c r="DL512" s="57">
        <f>IFERROR($AE513/$AE512-1,"")</f>
        <v/>
      </c>
      <c r="DM512" s="56">
        <f>$AZ512-$AZ513</f>
        <v/>
      </c>
      <c r="DN512" s="56">
        <f>$BA512-$BA513</f>
        <v/>
      </c>
      <c r="DO512" s="56">
        <f>$BB512-$BB513</f>
        <v/>
      </c>
      <c r="DP512" s="56">
        <f>$BC512-$BC513</f>
        <v/>
      </c>
      <c r="DQ512" s="56">
        <f>$BD512-$BD513</f>
        <v/>
      </c>
      <c r="DR512" s="56">
        <f>$BE512-$BE513</f>
        <v/>
      </c>
      <c r="DS512" s="56">
        <f>$BF512-$BF513</f>
        <v/>
      </c>
      <c r="DT512" s="56">
        <f>$BG512-$BG513</f>
        <v/>
      </c>
      <c r="DU512" s="56">
        <f>$BH512-$BH513</f>
        <v/>
      </c>
      <c r="DV512" s="56">
        <f>$BI512-$BI513</f>
        <v/>
      </c>
      <c r="DW512" s="56">
        <f>$BJ512-$BJ513</f>
        <v/>
      </c>
      <c r="DX512" s="56">
        <f>$BK512-$BK513</f>
        <v/>
      </c>
      <c r="DY512" s="56">
        <f>$BL512-$BL513</f>
        <v/>
      </c>
      <c r="DZ512" s="56">
        <f>$BM512-$BM513</f>
        <v/>
      </c>
      <c r="EA512" s="56">
        <f>$BN512-$BN513</f>
        <v/>
      </c>
      <c r="EB512" s="56">
        <f>$BO512-$BO513</f>
        <v/>
      </c>
      <c r="EC512" s="56">
        <f>$BP512-$BP513</f>
        <v/>
      </c>
      <c r="ED512" s="56">
        <f>$BQ512-$BQ513</f>
        <v/>
      </c>
      <c r="EE512" s="56">
        <f>$BR512-$BR513</f>
        <v/>
      </c>
      <c r="EF512" s="56">
        <f>$BS512-$BS513</f>
        <v/>
      </c>
      <c r="EG512" s="56">
        <f>$BT512-$BT513</f>
        <v/>
      </c>
      <c r="EH512" s="56">
        <f>$BU512-$BU513</f>
        <v/>
      </c>
    </row>
    <row r="513">
      <c r="BV513" s="56">
        <f>($D513-$D514)*100</f>
        <v/>
      </c>
      <c r="BW513" s="56">
        <f>($C513-$C514)*100</f>
        <v/>
      </c>
      <c r="BX513" s="57">
        <f>IFERROR($I513/$I514-1,"")</f>
        <v/>
      </c>
      <c r="BY513" s="56">
        <f>($AF513-$AF514)*100</f>
        <v/>
      </c>
      <c r="BZ513" s="56">
        <f>($AG513-$AG514)*100</f>
        <v/>
      </c>
      <c r="CA513" s="56">
        <f>($AH513-$AH514)*100</f>
        <v/>
      </c>
      <c r="CB513" s="56">
        <f>($AI513-$AI514)*100</f>
        <v/>
      </c>
      <c r="CC513" s="56">
        <f>($AJ513-$AJ514)*100</f>
        <v/>
      </c>
      <c r="CD513" s="56">
        <f>($AK513-$AK514)*100</f>
        <v/>
      </c>
      <c r="CE513" s="56">
        <f>($AL513-$AL514)*100</f>
        <v/>
      </c>
      <c r="CF513" s="56">
        <f>($AM513-$AM514)*100</f>
        <v/>
      </c>
      <c r="CG513" s="56">
        <f>($AN513-$AN514)*100</f>
        <v/>
      </c>
      <c r="CH513" s="56">
        <f>($AO513-$AO514)*100</f>
        <v/>
      </c>
      <c r="CI513" s="56">
        <f>($AP513-$AP514)*100</f>
        <v/>
      </c>
      <c r="CJ513" s="56">
        <f>($AQ513-$AQ514)*100</f>
        <v/>
      </c>
      <c r="CK513" s="56">
        <f>($AR513-$AR514)*100</f>
        <v/>
      </c>
      <c r="CL513" s="56">
        <f>($AS513-$AS514)*100</f>
        <v/>
      </c>
      <c r="CM513" s="56">
        <f>($AT513-$AT514)*100</f>
        <v/>
      </c>
      <c r="CN513" s="56">
        <f>($AU513-$AU514)*100</f>
        <v/>
      </c>
      <c r="CO513" s="56">
        <f>($AV513-$AV514)*100</f>
        <v/>
      </c>
      <c r="CP513" s="56">
        <f>($AW513-$AW514)*100</f>
        <v/>
      </c>
      <c r="CQ513" s="56">
        <f>($AX513-$AX514)*100</f>
        <v/>
      </c>
      <c r="CR513" s="56">
        <f>($AY513-$AY514)*100</f>
        <v/>
      </c>
      <c r="CS513" s="57">
        <f>IFERROR($L514/$L513-1,"")</f>
        <v/>
      </c>
      <c r="CT513" s="57">
        <f>IFERROR($M514/$M513-1,"")</f>
        <v/>
      </c>
      <c r="CU513" s="57">
        <f>IFERROR($N514/$N513-1,"")</f>
        <v/>
      </c>
      <c r="CV513" s="57">
        <f>IFERROR($O514/$O513-1,"")</f>
        <v/>
      </c>
      <c r="CW513" s="57">
        <f>IFERROR($P514/$P513-1,"")</f>
        <v/>
      </c>
      <c r="CX513" s="57">
        <f>IFERROR($Q514/$Q513-1,"")</f>
        <v/>
      </c>
      <c r="CY513" s="57">
        <f>IFERROR($R514/$R513-1,"")</f>
        <v/>
      </c>
      <c r="CZ513" s="57">
        <f>IFERROR($S514/$S513-1,"")</f>
        <v/>
      </c>
      <c r="DA513" s="57">
        <f>IFERROR($T514/$T513-1,"")</f>
        <v/>
      </c>
      <c r="DB513" s="57">
        <f>IFERROR($U514/$U513-1,"")</f>
        <v/>
      </c>
      <c r="DC513" s="57">
        <f>IFERROR($V514/$V513-1,"")</f>
        <v/>
      </c>
      <c r="DD513" s="57">
        <f>IFERROR($W514/$W513-1,"")</f>
        <v/>
      </c>
      <c r="DE513" s="57">
        <f>IFERROR($X514/$X513-1,"")</f>
        <v/>
      </c>
      <c r="DF513" s="57">
        <f>IFERROR($Y514/$Y513-1,"")</f>
        <v/>
      </c>
      <c r="DG513" s="57">
        <f>IFERROR($Z514/$Z513-1,"")</f>
        <v/>
      </c>
      <c r="DH513" s="57">
        <f>IFERROR($AA514/$AA513-1,"")</f>
        <v/>
      </c>
      <c r="DI513" s="57">
        <f>IFERROR($AB514/$AB513-1,"")</f>
        <v/>
      </c>
      <c r="DJ513" s="57">
        <f>IFERROR($AC514/$AC513-1,"")</f>
        <v/>
      </c>
      <c r="DK513" s="57">
        <f>IFERROR($AD514/$AD513-1,"")</f>
        <v/>
      </c>
      <c r="DL513" s="57">
        <f>IFERROR($AE514/$AE513-1,"")</f>
        <v/>
      </c>
      <c r="DM513" s="56">
        <f>$AZ513-$AZ514</f>
        <v/>
      </c>
      <c r="DN513" s="56">
        <f>$BA513-$BA514</f>
        <v/>
      </c>
      <c r="DO513" s="56">
        <f>$BB513-$BB514</f>
        <v/>
      </c>
      <c r="DP513" s="56">
        <f>$BC513-$BC514</f>
        <v/>
      </c>
      <c r="DQ513" s="56">
        <f>$BD513-$BD514</f>
        <v/>
      </c>
      <c r="DR513" s="56">
        <f>$BE513-$BE514</f>
        <v/>
      </c>
      <c r="DS513" s="56">
        <f>$BF513-$BF514</f>
        <v/>
      </c>
      <c r="DT513" s="56">
        <f>$BG513-$BG514</f>
        <v/>
      </c>
      <c r="DU513" s="56">
        <f>$BH513-$BH514</f>
        <v/>
      </c>
      <c r="DV513" s="56">
        <f>$BI513-$BI514</f>
        <v/>
      </c>
      <c r="DW513" s="56">
        <f>$BJ513-$BJ514</f>
        <v/>
      </c>
      <c r="DX513" s="56">
        <f>$BK513-$BK514</f>
        <v/>
      </c>
      <c r="DY513" s="56">
        <f>$BL513-$BL514</f>
        <v/>
      </c>
      <c r="DZ513" s="56">
        <f>$BM513-$BM514</f>
        <v/>
      </c>
      <c r="EA513" s="56">
        <f>$BN513-$BN514</f>
        <v/>
      </c>
      <c r="EB513" s="56">
        <f>$BO513-$BO514</f>
        <v/>
      </c>
      <c r="EC513" s="56">
        <f>$BP513-$BP514</f>
        <v/>
      </c>
      <c r="ED513" s="56">
        <f>$BQ513-$BQ514</f>
        <v/>
      </c>
      <c r="EE513" s="56">
        <f>$BR513-$BR514</f>
        <v/>
      </c>
      <c r="EF513" s="56">
        <f>$BS513-$BS514</f>
        <v/>
      </c>
      <c r="EG513" s="56">
        <f>$BT513-$BT514</f>
        <v/>
      </c>
      <c r="EH513" s="56">
        <f>$BU513-$BU514</f>
        <v/>
      </c>
    </row>
    <row r="514">
      <c r="BV514" s="56">
        <f>($D514-$D515)*100</f>
        <v/>
      </c>
      <c r="BW514" s="56">
        <f>($C514-$C515)*100</f>
        <v/>
      </c>
      <c r="BX514" s="57">
        <f>IFERROR($I514/$I515-1,"")</f>
        <v/>
      </c>
      <c r="BY514" s="56">
        <f>($AF514-$AF515)*100</f>
        <v/>
      </c>
      <c r="BZ514" s="56">
        <f>($AG514-$AG515)*100</f>
        <v/>
      </c>
      <c r="CA514" s="56">
        <f>($AH514-$AH515)*100</f>
        <v/>
      </c>
      <c r="CB514" s="56">
        <f>($AI514-$AI515)*100</f>
        <v/>
      </c>
      <c r="CC514" s="56">
        <f>($AJ514-$AJ515)*100</f>
        <v/>
      </c>
      <c r="CD514" s="56">
        <f>($AK514-$AK515)*100</f>
        <v/>
      </c>
      <c r="CE514" s="56">
        <f>($AL514-$AL515)*100</f>
        <v/>
      </c>
      <c r="CF514" s="56">
        <f>($AM514-$AM515)*100</f>
        <v/>
      </c>
      <c r="CG514" s="56">
        <f>($AN514-$AN515)*100</f>
        <v/>
      </c>
      <c r="CH514" s="56">
        <f>($AO514-$AO515)*100</f>
        <v/>
      </c>
      <c r="CI514" s="56">
        <f>($AP514-$AP515)*100</f>
        <v/>
      </c>
      <c r="CJ514" s="56">
        <f>($AQ514-$AQ515)*100</f>
        <v/>
      </c>
      <c r="CK514" s="56">
        <f>($AR514-$AR515)*100</f>
        <v/>
      </c>
      <c r="CL514" s="56">
        <f>($AS514-$AS515)*100</f>
        <v/>
      </c>
      <c r="CM514" s="56">
        <f>($AT514-$AT515)*100</f>
        <v/>
      </c>
      <c r="CN514" s="56">
        <f>($AU514-$AU515)*100</f>
        <v/>
      </c>
      <c r="CO514" s="56">
        <f>($AV514-$AV515)*100</f>
        <v/>
      </c>
      <c r="CP514" s="56">
        <f>($AW514-$AW515)*100</f>
        <v/>
      </c>
      <c r="CQ514" s="56">
        <f>($AX514-$AX515)*100</f>
        <v/>
      </c>
      <c r="CR514" s="56">
        <f>($AY514-$AY515)*100</f>
        <v/>
      </c>
      <c r="CS514" s="57">
        <f>IFERROR($L515/$L514-1,"")</f>
        <v/>
      </c>
      <c r="CT514" s="57">
        <f>IFERROR($M515/$M514-1,"")</f>
        <v/>
      </c>
      <c r="CU514" s="57">
        <f>IFERROR($N515/$N514-1,"")</f>
        <v/>
      </c>
      <c r="CV514" s="57">
        <f>IFERROR($O515/$O514-1,"")</f>
        <v/>
      </c>
      <c r="CW514" s="57">
        <f>IFERROR($P515/$P514-1,"")</f>
        <v/>
      </c>
      <c r="CX514" s="57">
        <f>IFERROR($Q515/$Q514-1,"")</f>
        <v/>
      </c>
      <c r="CY514" s="57">
        <f>IFERROR($R515/$R514-1,"")</f>
        <v/>
      </c>
      <c r="CZ514" s="57">
        <f>IFERROR($S515/$S514-1,"")</f>
        <v/>
      </c>
      <c r="DA514" s="57">
        <f>IFERROR($T515/$T514-1,"")</f>
        <v/>
      </c>
      <c r="DB514" s="57">
        <f>IFERROR($U515/$U514-1,"")</f>
        <v/>
      </c>
      <c r="DC514" s="57">
        <f>IFERROR($V515/$V514-1,"")</f>
        <v/>
      </c>
      <c r="DD514" s="57">
        <f>IFERROR($W515/$W514-1,"")</f>
        <v/>
      </c>
      <c r="DE514" s="57">
        <f>IFERROR($X515/$X514-1,"")</f>
        <v/>
      </c>
      <c r="DF514" s="57">
        <f>IFERROR($Y515/$Y514-1,"")</f>
        <v/>
      </c>
      <c r="DG514" s="57">
        <f>IFERROR($Z515/$Z514-1,"")</f>
        <v/>
      </c>
      <c r="DH514" s="57">
        <f>IFERROR($AA515/$AA514-1,"")</f>
        <v/>
      </c>
      <c r="DI514" s="57">
        <f>IFERROR($AB515/$AB514-1,"")</f>
        <v/>
      </c>
      <c r="DJ514" s="57">
        <f>IFERROR($AC515/$AC514-1,"")</f>
        <v/>
      </c>
      <c r="DK514" s="57">
        <f>IFERROR($AD515/$AD514-1,"")</f>
        <v/>
      </c>
      <c r="DL514" s="57">
        <f>IFERROR($AE515/$AE514-1,"")</f>
        <v/>
      </c>
      <c r="DM514" s="56">
        <f>$AZ514-$AZ515</f>
        <v/>
      </c>
      <c r="DN514" s="56">
        <f>$BA514-$BA515</f>
        <v/>
      </c>
      <c r="DO514" s="56">
        <f>$BB514-$BB515</f>
        <v/>
      </c>
      <c r="DP514" s="56">
        <f>$BC514-$BC515</f>
        <v/>
      </c>
      <c r="DQ514" s="56">
        <f>$BD514-$BD515</f>
        <v/>
      </c>
      <c r="DR514" s="56">
        <f>$BE514-$BE515</f>
        <v/>
      </c>
      <c r="DS514" s="56">
        <f>$BF514-$BF515</f>
        <v/>
      </c>
      <c r="DT514" s="56">
        <f>$BG514-$BG515</f>
        <v/>
      </c>
      <c r="DU514" s="56">
        <f>$BH514-$BH515</f>
        <v/>
      </c>
      <c r="DV514" s="56">
        <f>$BI514-$BI515</f>
        <v/>
      </c>
      <c r="DW514" s="56">
        <f>$BJ514-$BJ515</f>
        <v/>
      </c>
      <c r="DX514" s="56">
        <f>$BK514-$BK515</f>
        <v/>
      </c>
      <c r="DY514" s="56">
        <f>$BL514-$BL515</f>
        <v/>
      </c>
      <c r="DZ514" s="56">
        <f>$BM514-$BM515</f>
        <v/>
      </c>
      <c r="EA514" s="56">
        <f>$BN514-$BN515</f>
        <v/>
      </c>
      <c r="EB514" s="56">
        <f>$BO514-$BO515</f>
        <v/>
      </c>
      <c r="EC514" s="56">
        <f>$BP514-$BP515</f>
        <v/>
      </c>
      <c r="ED514" s="56">
        <f>$BQ514-$BQ515</f>
        <v/>
      </c>
      <c r="EE514" s="56">
        <f>$BR514-$BR515</f>
        <v/>
      </c>
      <c r="EF514" s="56">
        <f>$BS514-$BS515</f>
        <v/>
      </c>
      <c r="EG514" s="56">
        <f>$BT514-$BT515</f>
        <v/>
      </c>
      <c r="EH514" s="56">
        <f>$BU514-$BU515</f>
        <v/>
      </c>
    </row>
    <row r="515">
      <c r="BV515" s="56">
        <f>($D515-$D516)*100</f>
        <v/>
      </c>
      <c r="BW515" s="56">
        <f>($C515-$C516)*100</f>
        <v/>
      </c>
      <c r="BX515" s="57">
        <f>IFERROR($I515/$I516-1,"")</f>
        <v/>
      </c>
      <c r="BY515" s="56">
        <f>($AF515-$AF516)*100</f>
        <v/>
      </c>
      <c r="BZ515" s="56">
        <f>($AG515-$AG516)*100</f>
        <v/>
      </c>
      <c r="CA515" s="56">
        <f>($AH515-$AH516)*100</f>
        <v/>
      </c>
      <c r="CB515" s="56">
        <f>($AI515-$AI516)*100</f>
        <v/>
      </c>
      <c r="CC515" s="56">
        <f>($AJ515-$AJ516)*100</f>
        <v/>
      </c>
      <c r="CD515" s="56">
        <f>($AK515-$AK516)*100</f>
        <v/>
      </c>
      <c r="CE515" s="56">
        <f>($AL515-$AL516)*100</f>
        <v/>
      </c>
      <c r="CF515" s="56">
        <f>($AM515-$AM516)*100</f>
        <v/>
      </c>
      <c r="CG515" s="56">
        <f>($AN515-$AN516)*100</f>
        <v/>
      </c>
      <c r="CH515" s="56">
        <f>($AO515-$AO516)*100</f>
        <v/>
      </c>
      <c r="CI515" s="56">
        <f>($AP515-$AP516)*100</f>
        <v/>
      </c>
      <c r="CJ515" s="56">
        <f>($AQ515-$AQ516)*100</f>
        <v/>
      </c>
      <c r="CK515" s="56">
        <f>($AR515-$AR516)*100</f>
        <v/>
      </c>
      <c r="CL515" s="56">
        <f>($AS515-$AS516)*100</f>
        <v/>
      </c>
      <c r="CM515" s="56">
        <f>($AT515-$AT516)*100</f>
        <v/>
      </c>
      <c r="CN515" s="56">
        <f>($AU515-$AU516)*100</f>
        <v/>
      </c>
      <c r="CO515" s="56">
        <f>($AV515-$AV516)*100</f>
        <v/>
      </c>
      <c r="CP515" s="56">
        <f>($AW515-$AW516)*100</f>
        <v/>
      </c>
      <c r="CQ515" s="56">
        <f>($AX515-$AX516)*100</f>
        <v/>
      </c>
      <c r="CR515" s="56">
        <f>($AY515-$AY516)*100</f>
        <v/>
      </c>
      <c r="CS515" s="57">
        <f>IFERROR($L516/$L515-1,"")</f>
        <v/>
      </c>
      <c r="CT515" s="57">
        <f>IFERROR($M516/$M515-1,"")</f>
        <v/>
      </c>
      <c r="CU515" s="57">
        <f>IFERROR($N516/$N515-1,"")</f>
        <v/>
      </c>
      <c r="CV515" s="57">
        <f>IFERROR($O516/$O515-1,"")</f>
        <v/>
      </c>
      <c r="CW515" s="57">
        <f>IFERROR($P516/$P515-1,"")</f>
        <v/>
      </c>
      <c r="CX515" s="57">
        <f>IFERROR($Q516/$Q515-1,"")</f>
        <v/>
      </c>
      <c r="CY515" s="57">
        <f>IFERROR($R516/$R515-1,"")</f>
        <v/>
      </c>
      <c r="CZ515" s="57">
        <f>IFERROR($S516/$S515-1,"")</f>
        <v/>
      </c>
      <c r="DA515" s="57">
        <f>IFERROR($T516/$T515-1,"")</f>
        <v/>
      </c>
      <c r="DB515" s="57">
        <f>IFERROR($U516/$U515-1,"")</f>
        <v/>
      </c>
      <c r="DC515" s="57">
        <f>IFERROR($V516/$V515-1,"")</f>
        <v/>
      </c>
      <c r="DD515" s="57">
        <f>IFERROR($W516/$W515-1,"")</f>
        <v/>
      </c>
      <c r="DE515" s="57">
        <f>IFERROR($X516/$X515-1,"")</f>
        <v/>
      </c>
      <c r="DF515" s="57">
        <f>IFERROR($Y516/$Y515-1,"")</f>
        <v/>
      </c>
      <c r="DG515" s="57">
        <f>IFERROR($Z516/$Z515-1,"")</f>
        <v/>
      </c>
      <c r="DH515" s="57">
        <f>IFERROR($AA516/$AA515-1,"")</f>
        <v/>
      </c>
      <c r="DI515" s="57">
        <f>IFERROR($AB516/$AB515-1,"")</f>
        <v/>
      </c>
      <c r="DJ515" s="57">
        <f>IFERROR($AC516/$AC515-1,"")</f>
        <v/>
      </c>
      <c r="DK515" s="57">
        <f>IFERROR($AD516/$AD515-1,"")</f>
        <v/>
      </c>
      <c r="DL515" s="57">
        <f>IFERROR($AE516/$AE515-1,"")</f>
        <v/>
      </c>
      <c r="DM515" s="56">
        <f>$AZ515-$AZ516</f>
        <v/>
      </c>
      <c r="DN515" s="56">
        <f>$BA515-$BA516</f>
        <v/>
      </c>
      <c r="DO515" s="56">
        <f>$BB515-$BB516</f>
        <v/>
      </c>
      <c r="DP515" s="56">
        <f>$BC515-$BC516</f>
        <v/>
      </c>
      <c r="DQ515" s="56">
        <f>$BD515-$BD516</f>
        <v/>
      </c>
      <c r="DR515" s="56">
        <f>$BE515-$BE516</f>
        <v/>
      </c>
      <c r="DS515" s="56">
        <f>$BF515-$BF516</f>
        <v/>
      </c>
      <c r="DT515" s="56">
        <f>$BG515-$BG516</f>
        <v/>
      </c>
      <c r="DU515" s="56">
        <f>$BH515-$BH516</f>
        <v/>
      </c>
      <c r="DV515" s="56">
        <f>$BI515-$BI516</f>
        <v/>
      </c>
      <c r="DW515" s="56">
        <f>$BJ515-$BJ516</f>
        <v/>
      </c>
      <c r="DX515" s="56">
        <f>$BK515-$BK516</f>
        <v/>
      </c>
      <c r="DY515" s="56">
        <f>$BL515-$BL516</f>
        <v/>
      </c>
      <c r="DZ515" s="56">
        <f>$BM515-$BM516</f>
        <v/>
      </c>
      <c r="EA515" s="56">
        <f>$BN515-$BN516</f>
        <v/>
      </c>
      <c r="EB515" s="56">
        <f>$BO515-$BO516</f>
        <v/>
      </c>
      <c r="EC515" s="56">
        <f>$BP515-$BP516</f>
        <v/>
      </c>
      <c r="ED515" s="56">
        <f>$BQ515-$BQ516</f>
        <v/>
      </c>
      <c r="EE515" s="56">
        <f>$BR515-$BR516</f>
        <v/>
      </c>
      <c r="EF515" s="56">
        <f>$BS515-$BS516</f>
        <v/>
      </c>
      <c r="EG515" s="56">
        <f>$BT515-$BT516</f>
        <v/>
      </c>
      <c r="EH515" s="56">
        <f>$BU515-$BU516</f>
        <v/>
      </c>
    </row>
    <row r="516">
      <c r="BV516" s="56">
        <f>($D516-$D517)*100</f>
        <v/>
      </c>
      <c r="BW516" s="56">
        <f>($C516-$C517)*100</f>
        <v/>
      </c>
      <c r="BX516" s="57">
        <f>IFERROR($I516/$I517-1,"")</f>
        <v/>
      </c>
      <c r="BY516" s="56">
        <f>($AF516-$AF517)*100</f>
        <v/>
      </c>
      <c r="BZ516" s="56">
        <f>($AG516-$AG517)*100</f>
        <v/>
      </c>
      <c r="CA516" s="56">
        <f>($AH516-$AH517)*100</f>
        <v/>
      </c>
      <c r="CB516" s="56">
        <f>($AI516-$AI517)*100</f>
        <v/>
      </c>
      <c r="CC516" s="56">
        <f>($AJ516-$AJ517)*100</f>
        <v/>
      </c>
      <c r="CD516" s="56">
        <f>($AK516-$AK517)*100</f>
        <v/>
      </c>
      <c r="CE516" s="56">
        <f>($AL516-$AL517)*100</f>
        <v/>
      </c>
      <c r="CF516" s="56">
        <f>($AM516-$AM517)*100</f>
        <v/>
      </c>
      <c r="CG516" s="56">
        <f>($AN516-$AN517)*100</f>
        <v/>
      </c>
      <c r="CH516" s="56">
        <f>($AO516-$AO517)*100</f>
        <v/>
      </c>
      <c r="CI516" s="56">
        <f>($AP516-$AP517)*100</f>
        <v/>
      </c>
      <c r="CJ516" s="56">
        <f>($AQ516-$AQ517)*100</f>
        <v/>
      </c>
      <c r="CK516" s="56">
        <f>($AR516-$AR517)*100</f>
        <v/>
      </c>
      <c r="CL516" s="56">
        <f>($AS516-$AS517)*100</f>
        <v/>
      </c>
      <c r="CM516" s="56">
        <f>($AT516-$AT517)*100</f>
        <v/>
      </c>
      <c r="CN516" s="56">
        <f>($AU516-$AU517)*100</f>
        <v/>
      </c>
      <c r="CO516" s="56">
        <f>($AV516-$AV517)*100</f>
        <v/>
      </c>
      <c r="CP516" s="56">
        <f>($AW516-$AW517)*100</f>
        <v/>
      </c>
      <c r="CQ516" s="56">
        <f>($AX516-$AX517)*100</f>
        <v/>
      </c>
      <c r="CR516" s="56">
        <f>($AY516-$AY517)*100</f>
        <v/>
      </c>
      <c r="CS516" s="57">
        <f>IFERROR($L517/$L516-1,"")</f>
        <v/>
      </c>
      <c r="CT516" s="57">
        <f>IFERROR($M517/$M516-1,"")</f>
        <v/>
      </c>
      <c r="CU516" s="57">
        <f>IFERROR($N517/$N516-1,"")</f>
        <v/>
      </c>
      <c r="CV516" s="57">
        <f>IFERROR($O517/$O516-1,"")</f>
        <v/>
      </c>
      <c r="CW516" s="57">
        <f>IFERROR($P517/$P516-1,"")</f>
        <v/>
      </c>
      <c r="CX516" s="57">
        <f>IFERROR($Q517/$Q516-1,"")</f>
        <v/>
      </c>
      <c r="CY516" s="57">
        <f>IFERROR($R517/$R516-1,"")</f>
        <v/>
      </c>
      <c r="CZ516" s="57">
        <f>IFERROR($S517/$S516-1,"")</f>
        <v/>
      </c>
      <c r="DA516" s="57">
        <f>IFERROR($T517/$T516-1,"")</f>
        <v/>
      </c>
      <c r="DB516" s="57">
        <f>IFERROR($U517/$U516-1,"")</f>
        <v/>
      </c>
      <c r="DC516" s="57">
        <f>IFERROR($V517/$V516-1,"")</f>
        <v/>
      </c>
      <c r="DD516" s="57">
        <f>IFERROR($W517/$W516-1,"")</f>
        <v/>
      </c>
      <c r="DE516" s="57">
        <f>IFERROR($X517/$X516-1,"")</f>
        <v/>
      </c>
      <c r="DF516" s="57">
        <f>IFERROR($Y517/$Y516-1,"")</f>
        <v/>
      </c>
      <c r="DG516" s="57">
        <f>IFERROR($Z517/$Z516-1,"")</f>
        <v/>
      </c>
      <c r="DH516" s="57">
        <f>IFERROR($AA517/$AA516-1,"")</f>
        <v/>
      </c>
      <c r="DI516" s="57">
        <f>IFERROR($AB517/$AB516-1,"")</f>
        <v/>
      </c>
      <c r="DJ516" s="57">
        <f>IFERROR($AC517/$AC516-1,"")</f>
        <v/>
      </c>
      <c r="DK516" s="57">
        <f>IFERROR($AD517/$AD516-1,"")</f>
        <v/>
      </c>
      <c r="DL516" s="57">
        <f>IFERROR($AE517/$AE516-1,"")</f>
        <v/>
      </c>
      <c r="DM516" s="56">
        <f>$AZ516-$AZ517</f>
        <v/>
      </c>
      <c r="DN516" s="56">
        <f>$BA516-$BA517</f>
        <v/>
      </c>
      <c r="DO516" s="56">
        <f>$BB516-$BB517</f>
        <v/>
      </c>
      <c r="DP516" s="56">
        <f>$BC516-$BC517</f>
        <v/>
      </c>
      <c r="DQ516" s="56">
        <f>$BD516-$BD517</f>
        <v/>
      </c>
      <c r="DR516" s="56">
        <f>$BE516-$BE517</f>
        <v/>
      </c>
      <c r="DS516" s="56">
        <f>$BF516-$BF517</f>
        <v/>
      </c>
      <c r="DT516" s="56">
        <f>$BG516-$BG517</f>
        <v/>
      </c>
      <c r="DU516" s="56">
        <f>$BH516-$BH517</f>
        <v/>
      </c>
      <c r="DV516" s="56">
        <f>$BI516-$BI517</f>
        <v/>
      </c>
      <c r="DW516" s="56">
        <f>$BJ516-$BJ517</f>
        <v/>
      </c>
      <c r="DX516" s="56">
        <f>$BK516-$BK517</f>
        <v/>
      </c>
      <c r="DY516" s="56">
        <f>$BL516-$BL517</f>
        <v/>
      </c>
      <c r="DZ516" s="56">
        <f>$BM516-$BM517</f>
        <v/>
      </c>
      <c r="EA516" s="56">
        <f>$BN516-$BN517</f>
        <v/>
      </c>
      <c r="EB516" s="56">
        <f>$BO516-$BO517</f>
        <v/>
      </c>
      <c r="EC516" s="56">
        <f>$BP516-$BP517</f>
        <v/>
      </c>
      <c r="ED516" s="56">
        <f>$BQ516-$BQ517</f>
        <v/>
      </c>
      <c r="EE516" s="56">
        <f>$BR516-$BR517</f>
        <v/>
      </c>
      <c r="EF516" s="56">
        <f>$BS516-$BS517</f>
        <v/>
      </c>
      <c r="EG516" s="56">
        <f>$BT516-$BT517</f>
        <v/>
      </c>
      <c r="EH516" s="56">
        <f>$BU516-$BU517</f>
        <v/>
      </c>
    </row>
    <row r="517">
      <c r="BV517" s="56">
        <f>($D517-$D518)*100</f>
        <v/>
      </c>
      <c r="BW517" s="56">
        <f>($C517-$C518)*100</f>
        <v/>
      </c>
      <c r="BX517" s="57">
        <f>IFERROR($I517/$I518-1,"")</f>
        <v/>
      </c>
      <c r="BY517" s="56">
        <f>($AF517-$AF518)*100</f>
        <v/>
      </c>
      <c r="BZ517" s="56">
        <f>($AG517-$AG518)*100</f>
        <v/>
      </c>
      <c r="CA517" s="56">
        <f>($AH517-$AH518)*100</f>
        <v/>
      </c>
      <c r="CB517" s="56">
        <f>($AI517-$AI518)*100</f>
        <v/>
      </c>
      <c r="CC517" s="56">
        <f>($AJ517-$AJ518)*100</f>
        <v/>
      </c>
      <c r="CD517" s="56">
        <f>($AK517-$AK518)*100</f>
        <v/>
      </c>
      <c r="CE517" s="56">
        <f>($AL517-$AL518)*100</f>
        <v/>
      </c>
      <c r="CF517" s="56">
        <f>($AM517-$AM518)*100</f>
        <v/>
      </c>
      <c r="CG517" s="56">
        <f>($AN517-$AN518)*100</f>
        <v/>
      </c>
      <c r="CH517" s="56">
        <f>($AO517-$AO518)*100</f>
        <v/>
      </c>
      <c r="CI517" s="56">
        <f>($AP517-$AP518)*100</f>
        <v/>
      </c>
      <c r="CJ517" s="56">
        <f>($AQ517-$AQ518)*100</f>
        <v/>
      </c>
      <c r="CK517" s="56">
        <f>($AR517-$AR518)*100</f>
        <v/>
      </c>
      <c r="CL517" s="56">
        <f>($AS517-$AS518)*100</f>
        <v/>
      </c>
      <c r="CM517" s="56">
        <f>($AT517-$AT518)*100</f>
        <v/>
      </c>
      <c r="CN517" s="56">
        <f>($AU517-$AU518)*100</f>
        <v/>
      </c>
      <c r="CO517" s="56">
        <f>($AV517-$AV518)*100</f>
        <v/>
      </c>
      <c r="CP517" s="56">
        <f>($AW517-$AW518)*100</f>
        <v/>
      </c>
      <c r="CQ517" s="56">
        <f>($AX517-$AX518)*100</f>
        <v/>
      </c>
      <c r="CR517" s="56">
        <f>($AY517-$AY518)*100</f>
        <v/>
      </c>
      <c r="CS517" s="57">
        <f>IFERROR($L518/$L517-1,"")</f>
        <v/>
      </c>
      <c r="CT517" s="57">
        <f>IFERROR($M518/$M517-1,"")</f>
        <v/>
      </c>
      <c r="CU517" s="57">
        <f>IFERROR($N518/$N517-1,"")</f>
        <v/>
      </c>
      <c r="CV517" s="57">
        <f>IFERROR($O518/$O517-1,"")</f>
        <v/>
      </c>
      <c r="CW517" s="57">
        <f>IFERROR($P518/$P517-1,"")</f>
        <v/>
      </c>
      <c r="CX517" s="57">
        <f>IFERROR($Q518/$Q517-1,"")</f>
        <v/>
      </c>
      <c r="CY517" s="57">
        <f>IFERROR($R518/$R517-1,"")</f>
        <v/>
      </c>
      <c r="CZ517" s="57">
        <f>IFERROR($S518/$S517-1,"")</f>
        <v/>
      </c>
      <c r="DA517" s="57">
        <f>IFERROR($T518/$T517-1,"")</f>
        <v/>
      </c>
      <c r="DB517" s="57">
        <f>IFERROR($U518/$U517-1,"")</f>
        <v/>
      </c>
      <c r="DC517" s="57">
        <f>IFERROR($V518/$V517-1,"")</f>
        <v/>
      </c>
      <c r="DD517" s="57">
        <f>IFERROR($W518/$W517-1,"")</f>
        <v/>
      </c>
      <c r="DE517" s="57">
        <f>IFERROR($X518/$X517-1,"")</f>
        <v/>
      </c>
      <c r="DF517" s="57">
        <f>IFERROR($Y518/$Y517-1,"")</f>
        <v/>
      </c>
      <c r="DG517" s="57">
        <f>IFERROR($Z518/$Z517-1,"")</f>
        <v/>
      </c>
      <c r="DH517" s="57">
        <f>IFERROR($AA518/$AA517-1,"")</f>
        <v/>
      </c>
      <c r="DI517" s="57">
        <f>IFERROR($AB518/$AB517-1,"")</f>
        <v/>
      </c>
      <c r="DJ517" s="57">
        <f>IFERROR($AC518/$AC517-1,"")</f>
        <v/>
      </c>
      <c r="DK517" s="57">
        <f>IFERROR($AD518/$AD517-1,"")</f>
        <v/>
      </c>
      <c r="DL517" s="57">
        <f>IFERROR($AE518/$AE517-1,"")</f>
        <v/>
      </c>
      <c r="DM517" s="56">
        <f>$AZ517-$AZ518</f>
        <v/>
      </c>
      <c r="DN517" s="56">
        <f>$BA517-$BA518</f>
        <v/>
      </c>
      <c r="DO517" s="56">
        <f>$BB517-$BB518</f>
        <v/>
      </c>
      <c r="DP517" s="56">
        <f>$BC517-$BC518</f>
        <v/>
      </c>
      <c r="DQ517" s="56">
        <f>$BD517-$BD518</f>
        <v/>
      </c>
      <c r="DR517" s="56">
        <f>$BE517-$BE518</f>
        <v/>
      </c>
      <c r="DS517" s="56">
        <f>$BF517-$BF518</f>
        <v/>
      </c>
      <c r="DT517" s="56">
        <f>$BG517-$BG518</f>
        <v/>
      </c>
      <c r="DU517" s="56">
        <f>$BH517-$BH518</f>
        <v/>
      </c>
      <c r="DV517" s="56">
        <f>$BI517-$BI518</f>
        <v/>
      </c>
      <c r="DW517" s="56">
        <f>$BJ517-$BJ518</f>
        <v/>
      </c>
      <c r="DX517" s="56">
        <f>$BK517-$BK518</f>
        <v/>
      </c>
      <c r="DY517" s="56">
        <f>$BL517-$BL518</f>
        <v/>
      </c>
      <c r="DZ517" s="56">
        <f>$BM517-$BM518</f>
        <v/>
      </c>
      <c r="EA517" s="56">
        <f>$BN517-$BN518</f>
        <v/>
      </c>
      <c r="EB517" s="56">
        <f>$BO517-$BO518</f>
        <v/>
      </c>
      <c r="EC517" s="56">
        <f>$BP517-$BP518</f>
        <v/>
      </c>
      <c r="ED517" s="56">
        <f>$BQ517-$BQ518</f>
        <v/>
      </c>
      <c r="EE517" s="56">
        <f>$BR517-$BR518</f>
        <v/>
      </c>
      <c r="EF517" s="56">
        <f>$BS517-$BS518</f>
        <v/>
      </c>
      <c r="EG517" s="56">
        <f>$BT517-$BT518</f>
        <v/>
      </c>
      <c r="EH517" s="56">
        <f>$BU517-$BU518</f>
        <v/>
      </c>
    </row>
    <row r="518">
      <c r="BV518" s="56">
        <f>($D518-$D519)*100</f>
        <v/>
      </c>
      <c r="BW518" s="56">
        <f>($C518-$C519)*100</f>
        <v/>
      </c>
      <c r="BX518" s="57">
        <f>IFERROR($I518/$I519-1,"")</f>
        <v/>
      </c>
      <c r="BY518" s="56">
        <f>($AF518-$AF519)*100</f>
        <v/>
      </c>
      <c r="BZ518" s="56">
        <f>($AG518-$AG519)*100</f>
        <v/>
      </c>
      <c r="CA518" s="56">
        <f>($AH518-$AH519)*100</f>
        <v/>
      </c>
      <c r="CB518" s="56">
        <f>($AI518-$AI519)*100</f>
        <v/>
      </c>
      <c r="CC518" s="56">
        <f>($AJ518-$AJ519)*100</f>
        <v/>
      </c>
      <c r="CD518" s="56">
        <f>($AK518-$AK519)*100</f>
        <v/>
      </c>
      <c r="CE518" s="56">
        <f>($AL518-$AL519)*100</f>
        <v/>
      </c>
      <c r="CF518" s="56">
        <f>($AM518-$AM519)*100</f>
        <v/>
      </c>
      <c r="CG518" s="56">
        <f>($AN518-$AN519)*100</f>
        <v/>
      </c>
      <c r="CH518" s="56">
        <f>($AO518-$AO519)*100</f>
        <v/>
      </c>
      <c r="CI518" s="56">
        <f>($AP518-$AP519)*100</f>
        <v/>
      </c>
      <c r="CJ518" s="56">
        <f>($AQ518-$AQ519)*100</f>
        <v/>
      </c>
      <c r="CK518" s="56">
        <f>($AR518-$AR519)*100</f>
        <v/>
      </c>
      <c r="CL518" s="56">
        <f>($AS518-$AS519)*100</f>
        <v/>
      </c>
      <c r="CM518" s="56">
        <f>($AT518-$AT519)*100</f>
        <v/>
      </c>
      <c r="CN518" s="56">
        <f>($AU518-$AU519)*100</f>
        <v/>
      </c>
      <c r="CO518" s="56">
        <f>($AV518-$AV519)*100</f>
        <v/>
      </c>
      <c r="CP518" s="56">
        <f>($AW518-$AW519)*100</f>
        <v/>
      </c>
      <c r="CQ518" s="56">
        <f>($AX518-$AX519)*100</f>
        <v/>
      </c>
      <c r="CR518" s="56">
        <f>($AY518-$AY519)*100</f>
        <v/>
      </c>
      <c r="CS518" s="57">
        <f>IFERROR($L519/$L518-1,"")</f>
        <v/>
      </c>
      <c r="CT518" s="57">
        <f>IFERROR($M519/$M518-1,"")</f>
        <v/>
      </c>
      <c r="CU518" s="57">
        <f>IFERROR($N519/$N518-1,"")</f>
        <v/>
      </c>
      <c r="CV518" s="57">
        <f>IFERROR($O519/$O518-1,"")</f>
        <v/>
      </c>
      <c r="CW518" s="57">
        <f>IFERROR($P519/$P518-1,"")</f>
        <v/>
      </c>
      <c r="CX518" s="57">
        <f>IFERROR($Q519/$Q518-1,"")</f>
        <v/>
      </c>
      <c r="CY518" s="57">
        <f>IFERROR($R519/$R518-1,"")</f>
        <v/>
      </c>
      <c r="CZ518" s="57">
        <f>IFERROR($S519/$S518-1,"")</f>
        <v/>
      </c>
      <c r="DA518" s="57">
        <f>IFERROR($T519/$T518-1,"")</f>
        <v/>
      </c>
      <c r="DB518" s="57">
        <f>IFERROR($U519/$U518-1,"")</f>
        <v/>
      </c>
      <c r="DC518" s="57">
        <f>IFERROR($V519/$V518-1,"")</f>
        <v/>
      </c>
      <c r="DD518" s="57">
        <f>IFERROR($W519/$W518-1,"")</f>
        <v/>
      </c>
      <c r="DE518" s="57">
        <f>IFERROR($X519/$X518-1,"")</f>
        <v/>
      </c>
      <c r="DF518" s="57">
        <f>IFERROR($Y519/$Y518-1,"")</f>
        <v/>
      </c>
      <c r="DG518" s="57">
        <f>IFERROR($Z519/$Z518-1,"")</f>
        <v/>
      </c>
      <c r="DH518" s="57">
        <f>IFERROR($AA519/$AA518-1,"")</f>
        <v/>
      </c>
      <c r="DI518" s="57">
        <f>IFERROR($AB519/$AB518-1,"")</f>
        <v/>
      </c>
      <c r="DJ518" s="57">
        <f>IFERROR($AC519/$AC518-1,"")</f>
        <v/>
      </c>
      <c r="DK518" s="57">
        <f>IFERROR($AD519/$AD518-1,"")</f>
        <v/>
      </c>
      <c r="DL518" s="57">
        <f>IFERROR($AE519/$AE518-1,"")</f>
        <v/>
      </c>
      <c r="DM518" s="56">
        <f>$AZ518-$AZ519</f>
        <v/>
      </c>
      <c r="DN518" s="56">
        <f>$BA518-$BA519</f>
        <v/>
      </c>
      <c r="DO518" s="56">
        <f>$BB518-$BB519</f>
        <v/>
      </c>
      <c r="DP518" s="56">
        <f>$BC518-$BC519</f>
        <v/>
      </c>
      <c r="DQ518" s="56">
        <f>$BD518-$BD519</f>
        <v/>
      </c>
      <c r="DR518" s="56">
        <f>$BE518-$BE519</f>
        <v/>
      </c>
      <c r="DS518" s="56">
        <f>$BF518-$BF519</f>
        <v/>
      </c>
      <c r="DT518" s="56">
        <f>$BG518-$BG519</f>
        <v/>
      </c>
      <c r="DU518" s="56">
        <f>$BH518-$BH519</f>
        <v/>
      </c>
      <c r="DV518" s="56">
        <f>$BI518-$BI519</f>
        <v/>
      </c>
      <c r="DW518" s="56">
        <f>$BJ518-$BJ519</f>
        <v/>
      </c>
      <c r="DX518" s="56">
        <f>$BK518-$BK519</f>
        <v/>
      </c>
      <c r="DY518" s="56">
        <f>$BL518-$BL519</f>
        <v/>
      </c>
      <c r="DZ518" s="56">
        <f>$BM518-$BM519</f>
        <v/>
      </c>
      <c r="EA518" s="56">
        <f>$BN518-$BN519</f>
        <v/>
      </c>
      <c r="EB518" s="56">
        <f>$BO518-$BO519</f>
        <v/>
      </c>
      <c r="EC518" s="56">
        <f>$BP518-$BP519</f>
        <v/>
      </c>
      <c r="ED518" s="56">
        <f>$BQ518-$BQ519</f>
        <v/>
      </c>
      <c r="EE518" s="56">
        <f>$BR518-$BR519</f>
        <v/>
      </c>
      <c r="EF518" s="56">
        <f>$BS518-$BS519</f>
        <v/>
      </c>
      <c r="EG518" s="56">
        <f>$BT518-$BT519</f>
        <v/>
      </c>
      <c r="EH518" s="56">
        <f>$BU518-$BU519</f>
        <v/>
      </c>
    </row>
    <row r="519">
      <c r="BV519" s="56">
        <f>($D519-$D520)*100</f>
        <v/>
      </c>
      <c r="BW519" s="56">
        <f>($C519-$C520)*100</f>
        <v/>
      </c>
      <c r="BX519" s="57">
        <f>IFERROR($I519/$I520-1,"")</f>
        <v/>
      </c>
      <c r="BY519" s="56">
        <f>($AF519-$AF520)*100</f>
        <v/>
      </c>
      <c r="BZ519" s="56">
        <f>($AG519-$AG520)*100</f>
        <v/>
      </c>
      <c r="CA519" s="56">
        <f>($AH519-$AH520)*100</f>
        <v/>
      </c>
      <c r="CB519" s="56">
        <f>($AI519-$AI520)*100</f>
        <v/>
      </c>
      <c r="CC519" s="56">
        <f>($AJ519-$AJ520)*100</f>
        <v/>
      </c>
      <c r="CD519" s="56">
        <f>($AK519-$AK520)*100</f>
        <v/>
      </c>
      <c r="CE519" s="56">
        <f>($AL519-$AL520)*100</f>
        <v/>
      </c>
      <c r="CF519" s="56">
        <f>($AM519-$AM520)*100</f>
        <v/>
      </c>
      <c r="CG519" s="56">
        <f>($AN519-$AN520)*100</f>
        <v/>
      </c>
      <c r="CH519" s="56">
        <f>($AO519-$AO520)*100</f>
        <v/>
      </c>
      <c r="CI519" s="56">
        <f>($AP519-$AP520)*100</f>
        <v/>
      </c>
      <c r="CJ519" s="56">
        <f>($AQ519-$AQ520)*100</f>
        <v/>
      </c>
      <c r="CK519" s="56">
        <f>($AR519-$AR520)*100</f>
        <v/>
      </c>
      <c r="CL519" s="56">
        <f>($AS519-$AS520)*100</f>
        <v/>
      </c>
      <c r="CM519" s="56">
        <f>($AT519-$AT520)*100</f>
        <v/>
      </c>
      <c r="CN519" s="56">
        <f>($AU519-$AU520)*100</f>
        <v/>
      </c>
      <c r="CO519" s="56">
        <f>($AV519-$AV520)*100</f>
        <v/>
      </c>
      <c r="CP519" s="56">
        <f>($AW519-$AW520)*100</f>
        <v/>
      </c>
      <c r="CQ519" s="56">
        <f>($AX519-$AX520)*100</f>
        <v/>
      </c>
      <c r="CR519" s="56">
        <f>($AY519-$AY520)*100</f>
        <v/>
      </c>
      <c r="CS519" s="57">
        <f>IFERROR($L520/$L519-1,"")</f>
        <v/>
      </c>
      <c r="CT519" s="57">
        <f>IFERROR($M520/$M519-1,"")</f>
        <v/>
      </c>
      <c r="CU519" s="57">
        <f>IFERROR($N520/$N519-1,"")</f>
        <v/>
      </c>
      <c r="CV519" s="57">
        <f>IFERROR($O520/$O519-1,"")</f>
        <v/>
      </c>
      <c r="CW519" s="57">
        <f>IFERROR($P520/$P519-1,"")</f>
        <v/>
      </c>
      <c r="CX519" s="57">
        <f>IFERROR($Q520/$Q519-1,"")</f>
        <v/>
      </c>
      <c r="CY519" s="57">
        <f>IFERROR($R520/$R519-1,"")</f>
        <v/>
      </c>
      <c r="CZ519" s="57">
        <f>IFERROR($S520/$S519-1,"")</f>
        <v/>
      </c>
      <c r="DA519" s="57">
        <f>IFERROR($T520/$T519-1,"")</f>
        <v/>
      </c>
      <c r="DB519" s="57">
        <f>IFERROR($U520/$U519-1,"")</f>
        <v/>
      </c>
      <c r="DC519" s="57">
        <f>IFERROR($V520/$V519-1,"")</f>
        <v/>
      </c>
      <c r="DD519" s="57">
        <f>IFERROR($W520/$W519-1,"")</f>
        <v/>
      </c>
      <c r="DE519" s="57">
        <f>IFERROR($X520/$X519-1,"")</f>
        <v/>
      </c>
      <c r="DF519" s="57">
        <f>IFERROR($Y520/$Y519-1,"")</f>
        <v/>
      </c>
      <c r="DG519" s="57">
        <f>IFERROR($Z520/$Z519-1,"")</f>
        <v/>
      </c>
      <c r="DH519" s="57">
        <f>IFERROR($AA520/$AA519-1,"")</f>
        <v/>
      </c>
      <c r="DI519" s="57">
        <f>IFERROR($AB520/$AB519-1,"")</f>
        <v/>
      </c>
      <c r="DJ519" s="57">
        <f>IFERROR($AC520/$AC519-1,"")</f>
        <v/>
      </c>
      <c r="DK519" s="57">
        <f>IFERROR($AD520/$AD519-1,"")</f>
        <v/>
      </c>
      <c r="DL519" s="57">
        <f>IFERROR($AE520/$AE519-1,"")</f>
        <v/>
      </c>
      <c r="DM519" s="56">
        <f>$AZ519-$AZ520</f>
        <v/>
      </c>
      <c r="DN519" s="56">
        <f>$BA519-$BA520</f>
        <v/>
      </c>
      <c r="DO519" s="56">
        <f>$BB519-$BB520</f>
        <v/>
      </c>
      <c r="DP519" s="56">
        <f>$BC519-$BC520</f>
        <v/>
      </c>
      <c r="DQ519" s="56">
        <f>$BD519-$BD520</f>
        <v/>
      </c>
      <c r="DR519" s="56">
        <f>$BE519-$BE520</f>
        <v/>
      </c>
      <c r="DS519" s="56">
        <f>$BF519-$BF520</f>
        <v/>
      </c>
      <c r="DT519" s="56">
        <f>$BG519-$BG520</f>
        <v/>
      </c>
      <c r="DU519" s="56">
        <f>$BH519-$BH520</f>
        <v/>
      </c>
      <c r="DV519" s="56">
        <f>$BI519-$BI520</f>
        <v/>
      </c>
      <c r="DW519" s="56">
        <f>$BJ519-$BJ520</f>
        <v/>
      </c>
      <c r="DX519" s="56">
        <f>$BK519-$BK520</f>
        <v/>
      </c>
      <c r="DY519" s="56">
        <f>$BL519-$BL520</f>
        <v/>
      </c>
      <c r="DZ519" s="56">
        <f>$BM519-$BM520</f>
        <v/>
      </c>
      <c r="EA519" s="56">
        <f>$BN519-$BN520</f>
        <v/>
      </c>
      <c r="EB519" s="56">
        <f>$BO519-$BO520</f>
        <v/>
      </c>
      <c r="EC519" s="56">
        <f>$BP519-$BP520</f>
        <v/>
      </c>
      <c r="ED519" s="56">
        <f>$BQ519-$BQ520</f>
        <v/>
      </c>
      <c r="EE519" s="56">
        <f>$BR519-$BR520</f>
        <v/>
      </c>
      <c r="EF519" s="56">
        <f>$BS519-$BS520</f>
        <v/>
      </c>
      <c r="EG519" s="56">
        <f>$BT519-$BT520</f>
        <v/>
      </c>
      <c r="EH519" s="56">
        <f>$BU519-$BU520</f>
        <v/>
      </c>
    </row>
    <row r="520">
      <c r="BV520" s="56">
        <f>($D520-$D521)*100</f>
        <v/>
      </c>
      <c r="BW520" s="56">
        <f>($C520-$C521)*100</f>
        <v/>
      </c>
      <c r="BX520" s="57">
        <f>IFERROR($I520/$I521-1,"")</f>
        <v/>
      </c>
      <c r="BY520" s="56">
        <f>($AF520-$AF521)*100</f>
        <v/>
      </c>
      <c r="BZ520" s="56">
        <f>($AG520-$AG521)*100</f>
        <v/>
      </c>
      <c r="CA520" s="56">
        <f>($AH520-$AH521)*100</f>
        <v/>
      </c>
      <c r="CB520" s="56">
        <f>($AI520-$AI521)*100</f>
        <v/>
      </c>
      <c r="CC520" s="56">
        <f>($AJ520-$AJ521)*100</f>
        <v/>
      </c>
      <c r="CD520" s="56">
        <f>($AK520-$AK521)*100</f>
        <v/>
      </c>
      <c r="CE520" s="56">
        <f>($AL520-$AL521)*100</f>
        <v/>
      </c>
      <c r="CF520" s="56">
        <f>($AM520-$AM521)*100</f>
        <v/>
      </c>
      <c r="CG520" s="56">
        <f>($AN520-$AN521)*100</f>
        <v/>
      </c>
      <c r="CH520" s="56">
        <f>($AO520-$AO521)*100</f>
        <v/>
      </c>
      <c r="CI520" s="56">
        <f>($AP520-$AP521)*100</f>
        <v/>
      </c>
      <c r="CJ520" s="56">
        <f>($AQ520-$AQ521)*100</f>
        <v/>
      </c>
      <c r="CK520" s="56">
        <f>($AR520-$AR521)*100</f>
        <v/>
      </c>
      <c r="CL520" s="56">
        <f>($AS520-$AS521)*100</f>
        <v/>
      </c>
      <c r="CM520" s="56">
        <f>($AT520-$AT521)*100</f>
        <v/>
      </c>
      <c r="CN520" s="56">
        <f>($AU520-$AU521)*100</f>
        <v/>
      </c>
      <c r="CO520" s="56">
        <f>($AV520-$AV521)*100</f>
        <v/>
      </c>
      <c r="CP520" s="56">
        <f>($AW520-$AW521)*100</f>
        <v/>
      </c>
      <c r="CQ520" s="56">
        <f>($AX520-$AX521)*100</f>
        <v/>
      </c>
      <c r="CR520" s="56">
        <f>($AY520-$AY521)*100</f>
        <v/>
      </c>
      <c r="CS520" s="57">
        <f>IFERROR($L521/$L520-1,"")</f>
        <v/>
      </c>
      <c r="CT520" s="57">
        <f>IFERROR($M521/$M520-1,"")</f>
        <v/>
      </c>
      <c r="CU520" s="57">
        <f>IFERROR($N521/$N520-1,"")</f>
        <v/>
      </c>
      <c r="CV520" s="57">
        <f>IFERROR($O521/$O520-1,"")</f>
        <v/>
      </c>
      <c r="CW520" s="57">
        <f>IFERROR($P521/$P520-1,"")</f>
        <v/>
      </c>
      <c r="CX520" s="57">
        <f>IFERROR($Q521/$Q520-1,"")</f>
        <v/>
      </c>
      <c r="CY520" s="57">
        <f>IFERROR($R521/$R520-1,"")</f>
        <v/>
      </c>
      <c r="CZ520" s="57">
        <f>IFERROR($S521/$S520-1,"")</f>
        <v/>
      </c>
      <c r="DA520" s="57">
        <f>IFERROR($T521/$T520-1,"")</f>
        <v/>
      </c>
      <c r="DB520" s="57">
        <f>IFERROR($U521/$U520-1,"")</f>
        <v/>
      </c>
      <c r="DC520" s="57">
        <f>IFERROR($V521/$V520-1,"")</f>
        <v/>
      </c>
      <c r="DD520" s="57">
        <f>IFERROR($W521/$W520-1,"")</f>
        <v/>
      </c>
      <c r="DE520" s="57">
        <f>IFERROR($X521/$X520-1,"")</f>
        <v/>
      </c>
      <c r="DF520" s="57">
        <f>IFERROR($Y521/$Y520-1,"")</f>
        <v/>
      </c>
      <c r="DG520" s="57">
        <f>IFERROR($Z521/$Z520-1,"")</f>
        <v/>
      </c>
      <c r="DH520" s="57">
        <f>IFERROR($AA521/$AA520-1,"")</f>
        <v/>
      </c>
      <c r="DI520" s="57">
        <f>IFERROR($AB521/$AB520-1,"")</f>
        <v/>
      </c>
      <c r="DJ520" s="57">
        <f>IFERROR($AC521/$AC520-1,"")</f>
        <v/>
      </c>
      <c r="DK520" s="57">
        <f>IFERROR($AD521/$AD520-1,"")</f>
        <v/>
      </c>
      <c r="DL520" s="57">
        <f>IFERROR($AE521/$AE520-1,"")</f>
        <v/>
      </c>
      <c r="DM520" s="56">
        <f>$AZ520-$AZ521</f>
        <v/>
      </c>
      <c r="DN520" s="56">
        <f>$BA520-$BA521</f>
        <v/>
      </c>
      <c r="DO520" s="56">
        <f>$BB520-$BB521</f>
        <v/>
      </c>
      <c r="DP520" s="56">
        <f>$BC520-$BC521</f>
        <v/>
      </c>
      <c r="DQ520" s="56">
        <f>$BD520-$BD521</f>
        <v/>
      </c>
      <c r="DR520" s="56">
        <f>$BE520-$BE521</f>
        <v/>
      </c>
      <c r="DS520" s="56">
        <f>$BF520-$BF521</f>
        <v/>
      </c>
      <c r="DT520" s="56">
        <f>$BG520-$BG521</f>
        <v/>
      </c>
      <c r="DU520" s="56">
        <f>$BH520-$BH521</f>
        <v/>
      </c>
      <c r="DV520" s="56">
        <f>$BI520-$BI521</f>
        <v/>
      </c>
      <c r="DW520" s="56">
        <f>$BJ520-$BJ521</f>
        <v/>
      </c>
      <c r="DX520" s="56">
        <f>$BK520-$BK521</f>
        <v/>
      </c>
      <c r="DY520" s="56">
        <f>$BL520-$BL521</f>
        <v/>
      </c>
      <c r="DZ520" s="56">
        <f>$BM520-$BM521</f>
        <v/>
      </c>
      <c r="EA520" s="56">
        <f>$BN520-$BN521</f>
        <v/>
      </c>
      <c r="EB520" s="56">
        <f>$BO520-$BO521</f>
        <v/>
      </c>
      <c r="EC520" s="56">
        <f>$BP520-$BP521</f>
        <v/>
      </c>
      <c r="ED520" s="56">
        <f>$BQ520-$BQ521</f>
        <v/>
      </c>
      <c r="EE520" s="56">
        <f>$BR520-$BR521</f>
        <v/>
      </c>
      <c r="EF520" s="56">
        <f>$BS520-$BS521</f>
        <v/>
      </c>
      <c r="EG520" s="56">
        <f>$BT520-$BT521</f>
        <v/>
      </c>
      <c r="EH520" s="56">
        <f>$BU520-$BU521</f>
        <v/>
      </c>
    </row>
    <row r="521">
      <c r="BV521" s="56">
        <f>($D521-$D522)*100</f>
        <v/>
      </c>
      <c r="BW521" s="56">
        <f>($C521-$C522)*100</f>
        <v/>
      </c>
      <c r="BX521" s="57">
        <f>IFERROR($I521/$I522-1,"")</f>
        <v/>
      </c>
      <c r="BY521" s="56">
        <f>($AF521-$AF522)*100</f>
        <v/>
      </c>
      <c r="BZ521" s="56">
        <f>($AG521-$AG522)*100</f>
        <v/>
      </c>
      <c r="CA521" s="56">
        <f>($AH521-$AH522)*100</f>
        <v/>
      </c>
      <c r="CB521" s="56">
        <f>($AI521-$AI522)*100</f>
        <v/>
      </c>
      <c r="CC521" s="56">
        <f>($AJ521-$AJ522)*100</f>
        <v/>
      </c>
      <c r="CD521" s="56">
        <f>($AK521-$AK522)*100</f>
        <v/>
      </c>
      <c r="CE521" s="56">
        <f>($AL521-$AL522)*100</f>
        <v/>
      </c>
      <c r="CF521" s="56">
        <f>($AM521-$AM522)*100</f>
        <v/>
      </c>
      <c r="CG521" s="56">
        <f>($AN521-$AN522)*100</f>
        <v/>
      </c>
      <c r="CH521" s="56">
        <f>($AO521-$AO522)*100</f>
        <v/>
      </c>
      <c r="CI521" s="56">
        <f>($AP521-$AP522)*100</f>
        <v/>
      </c>
      <c r="CJ521" s="56">
        <f>($AQ521-$AQ522)*100</f>
        <v/>
      </c>
      <c r="CK521" s="56">
        <f>($AR521-$AR522)*100</f>
        <v/>
      </c>
      <c r="CL521" s="56">
        <f>($AS521-$AS522)*100</f>
        <v/>
      </c>
      <c r="CM521" s="56">
        <f>($AT521-$AT522)*100</f>
        <v/>
      </c>
      <c r="CN521" s="56">
        <f>($AU521-$AU522)*100</f>
        <v/>
      </c>
      <c r="CO521" s="56">
        <f>($AV521-$AV522)*100</f>
        <v/>
      </c>
      <c r="CP521" s="56">
        <f>($AW521-$AW522)*100</f>
        <v/>
      </c>
      <c r="CQ521" s="56">
        <f>($AX521-$AX522)*100</f>
        <v/>
      </c>
      <c r="CR521" s="56">
        <f>($AY521-$AY522)*100</f>
        <v/>
      </c>
      <c r="CS521" s="57">
        <f>IFERROR($L522/$L521-1,"")</f>
        <v/>
      </c>
      <c r="CT521" s="57">
        <f>IFERROR($M522/$M521-1,"")</f>
        <v/>
      </c>
      <c r="CU521" s="57">
        <f>IFERROR($N522/$N521-1,"")</f>
        <v/>
      </c>
      <c r="CV521" s="57">
        <f>IFERROR($O522/$O521-1,"")</f>
        <v/>
      </c>
      <c r="CW521" s="57">
        <f>IFERROR($P522/$P521-1,"")</f>
        <v/>
      </c>
      <c r="CX521" s="57">
        <f>IFERROR($Q522/$Q521-1,"")</f>
        <v/>
      </c>
      <c r="CY521" s="57">
        <f>IFERROR($R522/$R521-1,"")</f>
        <v/>
      </c>
      <c r="CZ521" s="57">
        <f>IFERROR($S522/$S521-1,"")</f>
        <v/>
      </c>
      <c r="DA521" s="57">
        <f>IFERROR($T522/$T521-1,"")</f>
        <v/>
      </c>
      <c r="DB521" s="57">
        <f>IFERROR($U522/$U521-1,"")</f>
        <v/>
      </c>
      <c r="DC521" s="57">
        <f>IFERROR($V522/$V521-1,"")</f>
        <v/>
      </c>
      <c r="DD521" s="57">
        <f>IFERROR($W522/$W521-1,"")</f>
        <v/>
      </c>
      <c r="DE521" s="57">
        <f>IFERROR($X522/$X521-1,"")</f>
        <v/>
      </c>
      <c r="DF521" s="57">
        <f>IFERROR($Y522/$Y521-1,"")</f>
        <v/>
      </c>
      <c r="DG521" s="57">
        <f>IFERROR($Z522/$Z521-1,"")</f>
        <v/>
      </c>
      <c r="DH521" s="57">
        <f>IFERROR($AA522/$AA521-1,"")</f>
        <v/>
      </c>
      <c r="DI521" s="57">
        <f>IFERROR($AB522/$AB521-1,"")</f>
        <v/>
      </c>
      <c r="DJ521" s="57">
        <f>IFERROR($AC522/$AC521-1,"")</f>
        <v/>
      </c>
      <c r="DK521" s="57">
        <f>IFERROR($AD522/$AD521-1,"")</f>
        <v/>
      </c>
      <c r="DL521" s="57">
        <f>IFERROR($AE522/$AE521-1,"")</f>
        <v/>
      </c>
      <c r="DM521" s="56">
        <f>$AZ521-$AZ522</f>
        <v/>
      </c>
      <c r="DN521" s="56">
        <f>$BA521-$BA522</f>
        <v/>
      </c>
      <c r="DO521" s="56">
        <f>$BB521-$BB522</f>
        <v/>
      </c>
      <c r="DP521" s="56">
        <f>$BC521-$BC522</f>
        <v/>
      </c>
      <c r="DQ521" s="56">
        <f>$BD521-$BD522</f>
        <v/>
      </c>
      <c r="DR521" s="56">
        <f>$BE521-$BE522</f>
        <v/>
      </c>
      <c r="DS521" s="56">
        <f>$BF521-$BF522</f>
        <v/>
      </c>
      <c r="DT521" s="56">
        <f>$BG521-$BG522</f>
        <v/>
      </c>
      <c r="DU521" s="56">
        <f>$BH521-$BH522</f>
        <v/>
      </c>
      <c r="DV521" s="56">
        <f>$BI521-$BI522</f>
        <v/>
      </c>
      <c r="DW521" s="56">
        <f>$BJ521-$BJ522</f>
        <v/>
      </c>
      <c r="DX521" s="56">
        <f>$BK521-$BK522</f>
        <v/>
      </c>
      <c r="DY521" s="56">
        <f>$BL521-$BL522</f>
        <v/>
      </c>
      <c r="DZ521" s="56">
        <f>$BM521-$BM522</f>
        <v/>
      </c>
      <c r="EA521" s="56">
        <f>$BN521-$BN522</f>
        <v/>
      </c>
      <c r="EB521" s="56">
        <f>$BO521-$BO522</f>
        <v/>
      </c>
      <c r="EC521" s="56">
        <f>$BP521-$BP522</f>
        <v/>
      </c>
      <c r="ED521" s="56">
        <f>$BQ521-$BQ522</f>
        <v/>
      </c>
      <c r="EE521" s="56">
        <f>$BR521-$BR522</f>
        <v/>
      </c>
      <c r="EF521" s="56">
        <f>$BS521-$BS522</f>
        <v/>
      </c>
      <c r="EG521" s="56">
        <f>$BT521-$BT522</f>
        <v/>
      </c>
      <c r="EH521" s="56">
        <f>$BU521-$BU522</f>
        <v/>
      </c>
    </row>
    <row r="522">
      <c r="BV522" s="56">
        <f>($D522-$D523)*100</f>
        <v/>
      </c>
      <c r="BW522" s="56">
        <f>($C522-$C523)*100</f>
        <v/>
      </c>
      <c r="BX522" s="57">
        <f>IFERROR($I522/$I523-1,"")</f>
        <v/>
      </c>
      <c r="BY522" s="56">
        <f>($AF522-$AF523)*100</f>
        <v/>
      </c>
      <c r="BZ522" s="56">
        <f>($AG522-$AG523)*100</f>
        <v/>
      </c>
      <c r="CA522" s="56">
        <f>($AH522-$AH523)*100</f>
        <v/>
      </c>
      <c r="CB522" s="56">
        <f>($AI522-$AI523)*100</f>
        <v/>
      </c>
      <c r="CC522" s="56">
        <f>($AJ522-$AJ523)*100</f>
        <v/>
      </c>
      <c r="CD522" s="56">
        <f>($AK522-$AK523)*100</f>
        <v/>
      </c>
      <c r="CE522" s="56">
        <f>($AL522-$AL523)*100</f>
        <v/>
      </c>
      <c r="CF522" s="56">
        <f>($AM522-$AM523)*100</f>
        <v/>
      </c>
      <c r="CG522" s="56">
        <f>($AN522-$AN523)*100</f>
        <v/>
      </c>
      <c r="CH522" s="56">
        <f>($AO522-$AO523)*100</f>
        <v/>
      </c>
      <c r="CI522" s="56">
        <f>($AP522-$AP523)*100</f>
        <v/>
      </c>
      <c r="CJ522" s="56">
        <f>($AQ522-$AQ523)*100</f>
        <v/>
      </c>
      <c r="CK522" s="56">
        <f>($AR522-$AR523)*100</f>
        <v/>
      </c>
      <c r="CL522" s="56">
        <f>($AS522-$AS523)*100</f>
        <v/>
      </c>
      <c r="CM522" s="56">
        <f>($AT522-$AT523)*100</f>
        <v/>
      </c>
      <c r="CN522" s="56">
        <f>($AU522-$AU523)*100</f>
        <v/>
      </c>
      <c r="CO522" s="56">
        <f>($AV522-$AV523)*100</f>
        <v/>
      </c>
      <c r="CP522" s="56">
        <f>($AW522-$AW523)*100</f>
        <v/>
      </c>
      <c r="CQ522" s="56">
        <f>($AX522-$AX523)*100</f>
        <v/>
      </c>
      <c r="CR522" s="56">
        <f>($AY522-$AY523)*100</f>
        <v/>
      </c>
      <c r="CS522" s="57">
        <f>IFERROR($L523/$L522-1,"")</f>
        <v/>
      </c>
      <c r="CT522" s="57">
        <f>IFERROR($M523/$M522-1,"")</f>
        <v/>
      </c>
      <c r="CU522" s="57">
        <f>IFERROR($N523/$N522-1,"")</f>
        <v/>
      </c>
      <c r="CV522" s="57">
        <f>IFERROR($O523/$O522-1,"")</f>
        <v/>
      </c>
      <c r="CW522" s="57">
        <f>IFERROR($P523/$P522-1,"")</f>
        <v/>
      </c>
      <c r="CX522" s="57">
        <f>IFERROR($Q523/$Q522-1,"")</f>
        <v/>
      </c>
      <c r="CY522" s="57">
        <f>IFERROR($R523/$R522-1,"")</f>
        <v/>
      </c>
      <c r="CZ522" s="57">
        <f>IFERROR($S523/$S522-1,"")</f>
        <v/>
      </c>
      <c r="DA522" s="57">
        <f>IFERROR($T523/$T522-1,"")</f>
        <v/>
      </c>
      <c r="DB522" s="57">
        <f>IFERROR($U523/$U522-1,"")</f>
        <v/>
      </c>
      <c r="DC522" s="57">
        <f>IFERROR($V523/$V522-1,"")</f>
        <v/>
      </c>
      <c r="DD522" s="57">
        <f>IFERROR($W523/$W522-1,"")</f>
        <v/>
      </c>
      <c r="DE522" s="57">
        <f>IFERROR($X523/$X522-1,"")</f>
        <v/>
      </c>
      <c r="DF522" s="57">
        <f>IFERROR($Y523/$Y522-1,"")</f>
        <v/>
      </c>
      <c r="DG522" s="57">
        <f>IFERROR($Z523/$Z522-1,"")</f>
        <v/>
      </c>
      <c r="DH522" s="57">
        <f>IFERROR($AA523/$AA522-1,"")</f>
        <v/>
      </c>
      <c r="DI522" s="57">
        <f>IFERROR($AB523/$AB522-1,"")</f>
        <v/>
      </c>
      <c r="DJ522" s="57">
        <f>IFERROR($AC523/$AC522-1,"")</f>
        <v/>
      </c>
      <c r="DK522" s="57">
        <f>IFERROR($AD523/$AD522-1,"")</f>
        <v/>
      </c>
      <c r="DL522" s="57">
        <f>IFERROR($AE523/$AE522-1,"")</f>
        <v/>
      </c>
      <c r="DM522" s="56">
        <f>$AZ522-$AZ523</f>
        <v/>
      </c>
      <c r="DN522" s="56">
        <f>$BA522-$BA523</f>
        <v/>
      </c>
      <c r="DO522" s="56">
        <f>$BB522-$BB523</f>
        <v/>
      </c>
      <c r="DP522" s="56">
        <f>$BC522-$BC523</f>
        <v/>
      </c>
      <c r="DQ522" s="56">
        <f>$BD522-$BD523</f>
        <v/>
      </c>
      <c r="DR522" s="56">
        <f>$BE522-$BE523</f>
        <v/>
      </c>
      <c r="DS522" s="56">
        <f>$BF522-$BF523</f>
        <v/>
      </c>
      <c r="DT522" s="56">
        <f>$BG522-$BG523</f>
        <v/>
      </c>
      <c r="DU522" s="56">
        <f>$BH522-$BH523</f>
        <v/>
      </c>
      <c r="DV522" s="56">
        <f>$BI522-$BI523</f>
        <v/>
      </c>
      <c r="DW522" s="56">
        <f>$BJ522-$BJ523</f>
        <v/>
      </c>
      <c r="DX522" s="56">
        <f>$BK522-$BK523</f>
        <v/>
      </c>
      <c r="DY522" s="56">
        <f>$BL522-$BL523</f>
        <v/>
      </c>
      <c r="DZ522" s="56">
        <f>$BM522-$BM523</f>
        <v/>
      </c>
      <c r="EA522" s="56">
        <f>$BN522-$BN523</f>
        <v/>
      </c>
      <c r="EB522" s="56">
        <f>$BO522-$BO523</f>
        <v/>
      </c>
      <c r="EC522" s="56">
        <f>$BP522-$BP523</f>
        <v/>
      </c>
      <c r="ED522" s="56">
        <f>$BQ522-$BQ523</f>
        <v/>
      </c>
      <c r="EE522" s="56">
        <f>$BR522-$BR523</f>
        <v/>
      </c>
      <c r="EF522" s="56">
        <f>$BS522-$BS523</f>
        <v/>
      </c>
      <c r="EG522" s="56">
        <f>$BT522-$BT523</f>
        <v/>
      </c>
      <c r="EH522" s="56">
        <f>$BU522-$BU523</f>
        <v/>
      </c>
    </row>
    <row r="523">
      <c r="BV523" s="56">
        <f>($D523-$D524)*100</f>
        <v/>
      </c>
      <c r="BW523" s="56">
        <f>($C523-$C524)*100</f>
        <v/>
      </c>
      <c r="BX523" s="57">
        <f>IFERROR($I523/$I524-1,"")</f>
        <v/>
      </c>
      <c r="BY523" s="56">
        <f>($AF523-$AF524)*100</f>
        <v/>
      </c>
      <c r="BZ523" s="56">
        <f>($AG523-$AG524)*100</f>
        <v/>
      </c>
      <c r="CA523" s="56">
        <f>($AH523-$AH524)*100</f>
        <v/>
      </c>
      <c r="CB523" s="56">
        <f>($AI523-$AI524)*100</f>
        <v/>
      </c>
      <c r="CC523" s="56">
        <f>($AJ523-$AJ524)*100</f>
        <v/>
      </c>
      <c r="CD523" s="56">
        <f>($AK523-$AK524)*100</f>
        <v/>
      </c>
      <c r="CE523" s="56">
        <f>($AL523-$AL524)*100</f>
        <v/>
      </c>
      <c r="CF523" s="56">
        <f>($AM523-$AM524)*100</f>
        <v/>
      </c>
      <c r="CG523" s="56">
        <f>($AN523-$AN524)*100</f>
        <v/>
      </c>
      <c r="CH523" s="56">
        <f>($AO523-$AO524)*100</f>
        <v/>
      </c>
      <c r="CI523" s="56">
        <f>($AP523-$AP524)*100</f>
        <v/>
      </c>
      <c r="CJ523" s="56">
        <f>($AQ523-$AQ524)*100</f>
        <v/>
      </c>
      <c r="CK523" s="56">
        <f>($AR523-$AR524)*100</f>
        <v/>
      </c>
      <c r="CL523" s="56">
        <f>($AS523-$AS524)*100</f>
        <v/>
      </c>
      <c r="CM523" s="56">
        <f>($AT523-$AT524)*100</f>
        <v/>
      </c>
      <c r="CN523" s="56">
        <f>($AU523-$AU524)*100</f>
        <v/>
      </c>
      <c r="CO523" s="56">
        <f>($AV523-$AV524)*100</f>
        <v/>
      </c>
      <c r="CP523" s="56">
        <f>($AW523-$AW524)*100</f>
        <v/>
      </c>
      <c r="CQ523" s="56">
        <f>($AX523-$AX524)*100</f>
        <v/>
      </c>
      <c r="CR523" s="56">
        <f>($AY523-$AY524)*100</f>
        <v/>
      </c>
      <c r="CS523" s="57">
        <f>IFERROR($L524/$L523-1,"")</f>
        <v/>
      </c>
      <c r="CT523" s="57">
        <f>IFERROR($M524/$M523-1,"")</f>
        <v/>
      </c>
      <c r="CU523" s="57">
        <f>IFERROR($N524/$N523-1,"")</f>
        <v/>
      </c>
      <c r="CV523" s="57">
        <f>IFERROR($O524/$O523-1,"")</f>
        <v/>
      </c>
      <c r="CW523" s="57">
        <f>IFERROR($P524/$P523-1,"")</f>
        <v/>
      </c>
      <c r="CX523" s="57">
        <f>IFERROR($Q524/$Q523-1,"")</f>
        <v/>
      </c>
      <c r="CY523" s="57">
        <f>IFERROR($R524/$R523-1,"")</f>
        <v/>
      </c>
      <c r="CZ523" s="57">
        <f>IFERROR($S524/$S523-1,"")</f>
        <v/>
      </c>
      <c r="DA523" s="57">
        <f>IFERROR($T524/$T523-1,"")</f>
        <v/>
      </c>
      <c r="DB523" s="57">
        <f>IFERROR($U524/$U523-1,"")</f>
        <v/>
      </c>
      <c r="DC523" s="57">
        <f>IFERROR($V524/$V523-1,"")</f>
        <v/>
      </c>
      <c r="DD523" s="57">
        <f>IFERROR($W524/$W523-1,"")</f>
        <v/>
      </c>
      <c r="DE523" s="57">
        <f>IFERROR($X524/$X523-1,"")</f>
        <v/>
      </c>
      <c r="DF523" s="57">
        <f>IFERROR($Y524/$Y523-1,"")</f>
        <v/>
      </c>
      <c r="DG523" s="57">
        <f>IFERROR($Z524/$Z523-1,"")</f>
        <v/>
      </c>
      <c r="DH523" s="57">
        <f>IFERROR($AA524/$AA523-1,"")</f>
        <v/>
      </c>
      <c r="DI523" s="57">
        <f>IFERROR($AB524/$AB523-1,"")</f>
        <v/>
      </c>
      <c r="DJ523" s="57">
        <f>IFERROR($AC524/$AC523-1,"")</f>
        <v/>
      </c>
      <c r="DK523" s="57">
        <f>IFERROR($AD524/$AD523-1,"")</f>
        <v/>
      </c>
      <c r="DL523" s="57">
        <f>IFERROR($AE524/$AE523-1,"")</f>
        <v/>
      </c>
      <c r="DM523" s="56">
        <f>$AZ523-$AZ524</f>
        <v/>
      </c>
      <c r="DN523" s="56">
        <f>$BA523-$BA524</f>
        <v/>
      </c>
      <c r="DO523" s="56">
        <f>$BB523-$BB524</f>
        <v/>
      </c>
      <c r="DP523" s="56">
        <f>$BC523-$BC524</f>
        <v/>
      </c>
      <c r="DQ523" s="56">
        <f>$BD523-$BD524</f>
        <v/>
      </c>
      <c r="DR523" s="56">
        <f>$BE523-$BE524</f>
        <v/>
      </c>
      <c r="DS523" s="56">
        <f>$BF523-$BF524</f>
        <v/>
      </c>
      <c r="DT523" s="56">
        <f>$BG523-$BG524</f>
        <v/>
      </c>
      <c r="DU523" s="56">
        <f>$BH523-$BH524</f>
        <v/>
      </c>
      <c r="DV523" s="56">
        <f>$BI523-$BI524</f>
        <v/>
      </c>
      <c r="DW523" s="56">
        <f>$BJ523-$BJ524</f>
        <v/>
      </c>
      <c r="DX523" s="56">
        <f>$BK523-$BK524</f>
        <v/>
      </c>
      <c r="DY523" s="56">
        <f>$BL523-$BL524</f>
        <v/>
      </c>
      <c r="DZ523" s="56">
        <f>$BM523-$BM524</f>
        <v/>
      </c>
      <c r="EA523" s="56">
        <f>$BN523-$BN524</f>
        <v/>
      </c>
      <c r="EB523" s="56">
        <f>$BO523-$BO524</f>
        <v/>
      </c>
      <c r="EC523" s="56">
        <f>$BP523-$BP524</f>
        <v/>
      </c>
      <c r="ED523" s="56">
        <f>$BQ523-$BQ524</f>
        <v/>
      </c>
      <c r="EE523" s="56">
        <f>$BR523-$BR524</f>
        <v/>
      </c>
      <c r="EF523" s="56">
        <f>$BS523-$BS524</f>
        <v/>
      </c>
      <c r="EG523" s="56">
        <f>$BT523-$BT524</f>
        <v/>
      </c>
      <c r="EH523" s="56">
        <f>$BU523-$BU524</f>
        <v/>
      </c>
    </row>
    <row r="524">
      <c r="BV524" s="56">
        <f>($D524-$D525)*100</f>
        <v/>
      </c>
      <c r="BW524" s="56">
        <f>($C524-$C525)*100</f>
        <v/>
      </c>
      <c r="BX524" s="57">
        <f>IFERROR($I524/$I525-1,"")</f>
        <v/>
      </c>
      <c r="BY524" s="56">
        <f>($AF524-$AF525)*100</f>
        <v/>
      </c>
      <c r="BZ524" s="56">
        <f>($AG524-$AG525)*100</f>
        <v/>
      </c>
      <c r="CA524" s="56">
        <f>($AH524-$AH525)*100</f>
        <v/>
      </c>
      <c r="CB524" s="56">
        <f>($AI524-$AI525)*100</f>
        <v/>
      </c>
      <c r="CC524" s="56">
        <f>($AJ524-$AJ525)*100</f>
        <v/>
      </c>
      <c r="CD524" s="56">
        <f>($AK524-$AK525)*100</f>
        <v/>
      </c>
      <c r="CE524" s="56">
        <f>($AL524-$AL525)*100</f>
        <v/>
      </c>
      <c r="CF524" s="56">
        <f>($AM524-$AM525)*100</f>
        <v/>
      </c>
      <c r="CG524" s="56">
        <f>($AN524-$AN525)*100</f>
        <v/>
      </c>
      <c r="CH524" s="56">
        <f>($AO524-$AO525)*100</f>
        <v/>
      </c>
      <c r="CI524" s="56">
        <f>($AP524-$AP525)*100</f>
        <v/>
      </c>
      <c r="CJ524" s="56">
        <f>($AQ524-$AQ525)*100</f>
        <v/>
      </c>
      <c r="CK524" s="56">
        <f>($AR524-$AR525)*100</f>
        <v/>
      </c>
      <c r="CL524" s="56">
        <f>($AS524-$AS525)*100</f>
        <v/>
      </c>
      <c r="CM524" s="56">
        <f>($AT524-$AT525)*100</f>
        <v/>
      </c>
      <c r="CN524" s="56">
        <f>($AU524-$AU525)*100</f>
        <v/>
      </c>
      <c r="CO524" s="56">
        <f>($AV524-$AV525)*100</f>
        <v/>
      </c>
      <c r="CP524" s="56">
        <f>($AW524-$AW525)*100</f>
        <v/>
      </c>
      <c r="CQ524" s="56">
        <f>($AX524-$AX525)*100</f>
        <v/>
      </c>
      <c r="CR524" s="56">
        <f>($AY524-$AY525)*100</f>
        <v/>
      </c>
      <c r="CS524" s="57">
        <f>IFERROR($L525/$L524-1,"")</f>
        <v/>
      </c>
      <c r="CT524" s="57">
        <f>IFERROR($M525/$M524-1,"")</f>
        <v/>
      </c>
      <c r="CU524" s="57">
        <f>IFERROR($N525/$N524-1,"")</f>
        <v/>
      </c>
      <c r="CV524" s="57">
        <f>IFERROR($O525/$O524-1,"")</f>
        <v/>
      </c>
      <c r="CW524" s="57">
        <f>IFERROR($P525/$P524-1,"")</f>
        <v/>
      </c>
      <c r="CX524" s="57">
        <f>IFERROR($Q525/$Q524-1,"")</f>
        <v/>
      </c>
      <c r="CY524" s="57">
        <f>IFERROR($R525/$R524-1,"")</f>
        <v/>
      </c>
      <c r="CZ524" s="57">
        <f>IFERROR($S525/$S524-1,"")</f>
        <v/>
      </c>
      <c r="DA524" s="57">
        <f>IFERROR($T525/$T524-1,"")</f>
        <v/>
      </c>
      <c r="DB524" s="57">
        <f>IFERROR($U525/$U524-1,"")</f>
        <v/>
      </c>
      <c r="DC524" s="57">
        <f>IFERROR($V525/$V524-1,"")</f>
        <v/>
      </c>
      <c r="DD524" s="57">
        <f>IFERROR($W525/$W524-1,"")</f>
        <v/>
      </c>
      <c r="DE524" s="57">
        <f>IFERROR($X525/$X524-1,"")</f>
        <v/>
      </c>
      <c r="DF524" s="57">
        <f>IFERROR($Y525/$Y524-1,"")</f>
        <v/>
      </c>
      <c r="DG524" s="57">
        <f>IFERROR($Z525/$Z524-1,"")</f>
        <v/>
      </c>
      <c r="DH524" s="57">
        <f>IFERROR($AA525/$AA524-1,"")</f>
        <v/>
      </c>
      <c r="DI524" s="57">
        <f>IFERROR($AB525/$AB524-1,"")</f>
        <v/>
      </c>
      <c r="DJ524" s="57">
        <f>IFERROR($AC525/$AC524-1,"")</f>
        <v/>
      </c>
      <c r="DK524" s="57">
        <f>IFERROR($AD525/$AD524-1,"")</f>
        <v/>
      </c>
      <c r="DL524" s="57">
        <f>IFERROR($AE525/$AE524-1,"")</f>
        <v/>
      </c>
      <c r="DM524" s="56">
        <f>$AZ524-$AZ525</f>
        <v/>
      </c>
      <c r="DN524" s="56">
        <f>$BA524-$BA525</f>
        <v/>
      </c>
      <c r="DO524" s="56">
        <f>$BB524-$BB525</f>
        <v/>
      </c>
      <c r="DP524" s="56">
        <f>$BC524-$BC525</f>
        <v/>
      </c>
      <c r="DQ524" s="56">
        <f>$BD524-$BD525</f>
        <v/>
      </c>
      <c r="DR524" s="56">
        <f>$BE524-$BE525</f>
        <v/>
      </c>
      <c r="DS524" s="56">
        <f>$BF524-$BF525</f>
        <v/>
      </c>
      <c r="DT524" s="56">
        <f>$BG524-$BG525</f>
        <v/>
      </c>
      <c r="DU524" s="56">
        <f>$BH524-$BH525</f>
        <v/>
      </c>
      <c r="DV524" s="56">
        <f>$BI524-$BI525</f>
        <v/>
      </c>
      <c r="DW524" s="56">
        <f>$BJ524-$BJ525</f>
        <v/>
      </c>
      <c r="DX524" s="56">
        <f>$BK524-$BK525</f>
        <v/>
      </c>
      <c r="DY524" s="56">
        <f>$BL524-$BL525</f>
        <v/>
      </c>
      <c r="DZ524" s="56">
        <f>$BM524-$BM525</f>
        <v/>
      </c>
      <c r="EA524" s="56">
        <f>$BN524-$BN525</f>
        <v/>
      </c>
      <c r="EB524" s="56">
        <f>$BO524-$BO525</f>
        <v/>
      </c>
      <c r="EC524" s="56">
        <f>$BP524-$BP525</f>
        <v/>
      </c>
      <c r="ED524" s="56">
        <f>$BQ524-$BQ525</f>
        <v/>
      </c>
      <c r="EE524" s="56">
        <f>$BR524-$BR525</f>
        <v/>
      </c>
      <c r="EF524" s="56">
        <f>$BS524-$BS525</f>
        <v/>
      </c>
      <c r="EG524" s="56">
        <f>$BT524-$BT525</f>
        <v/>
      </c>
      <c r="EH524" s="56">
        <f>$BU524-$BU525</f>
        <v/>
      </c>
    </row>
    <row r="525">
      <c r="BV525" s="56">
        <f>($D525-$D526)*100</f>
        <v/>
      </c>
      <c r="BW525" s="56">
        <f>($C525-$C526)*100</f>
        <v/>
      </c>
      <c r="BX525" s="57">
        <f>IFERROR($I525/$I526-1,"")</f>
        <v/>
      </c>
      <c r="BY525" s="56">
        <f>($AF525-$AF526)*100</f>
        <v/>
      </c>
      <c r="BZ525" s="56">
        <f>($AG525-$AG526)*100</f>
        <v/>
      </c>
      <c r="CA525" s="56">
        <f>($AH525-$AH526)*100</f>
        <v/>
      </c>
      <c r="CB525" s="56">
        <f>($AI525-$AI526)*100</f>
        <v/>
      </c>
      <c r="CC525" s="56">
        <f>($AJ525-$AJ526)*100</f>
        <v/>
      </c>
      <c r="CD525" s="56">
        <f>($AK525-$AK526)*100</f>
        <v/>
      </c>
      <c r="CE525" s="56">
        <f>($AL525-$AL526)*100</f>
        <v/>
      </c>
      <c r="CF525" s="56">
        <f>($AM525-$AM526)*100</f>
        <v/>
      </c>
      <c r="CG525" s="56">
        <f>($AN525-$AN526)*100</f>
        <v/>
      </c>
      <c r="CH525" s="56">
        <f>($AO525-$AO526)*100</f>
        <v/>
      </c>
      <c r="CI525" s="56">
        <f>($AP525-$AP526)*100</f>
        <v/>
      </c>
      <c r="CJ525" s="56">
        <f>($AQ525-$AQ526)*100</f>
        <v/>
      </c>
      <c r="CK525" s="56">
        <f>($AR525-$AR526)*100</f>
        <v/>
      </c>
      <c r="CL525" s="56">
        <f>($AS525-$AS526)*100</f>
        <v/>
      </c>
      <c r="CM525" s="56">
        <f>($AT525-$AT526)*100</f>
        <v/>
      </c>
      <c r="CN525" s="56">
        <f>($AU525-$AU526)*100</f>
        <v/>
      </c>
      <c r="CO525" s="56">
        <f>($AV525-$AV526)*100</f>
        <v/>
      </c>
      <c r="CP525" s="56">
        <f>($AW525-$AW526)*100</f>
        <v/>
      </c>
      <c r="CQ525" s="56">
        <f>($AX525-$AX526)*100</f>
        <v/>
      </c>
      <c r="CR525" s="56">
        <f>($AY525-$AY526)*100</f>
        <v/>
      </c>
      <c r="CS525" s="57">
        <f>IFERROR($L526/$L525-1,"")</f>
        <v/>
      </c>
      <c r="CT525" s="57">
        <f>IFERROR($M526/$M525-1,"")</f>
        <v/>
      </c>
      <c r="CU525" s="57">
        <f>IFERROR($N526/$N525-1,"")</f>
        <v/>
      </c>
      <c r="CV525" s="57">
        <f>IFERROR($O526/$O525-1,"")</f>
        <v/>
      </c>
      <c r="CW525" s="57">
        <f>IFERROR($P526/$P525-1,"")</f>
        <v/>
      </c>
      <c r="CX525" s="57">
        <f>IFERROR($Q526/$Q525-1,"")</f>
        <v/>
      </c>
      <c r="CY525" s="57">
        <f>IFERROR($R526/$R525-1,"")</f>
        <v/>
      </c>
      <c r="CZ525" s="57">
        <f>IFERROR($S526/$S525-1,"")</f>
        <v/>
      </c>
      <c r="DA525" s="57">
        <f>IFERROR($T526/$T525-1,"")</f>
        <v/>
      </c>
      <c r="DB525" s="57">
        <f>IFERROR($U526/$U525-1,"")</f>
        <v/>
      </c>
      <c r="DC525" s="57">
        <f>IFERROR($V526/$V525-1,"")</f>
        <v/>
      </c>
      <c r="DD525" s="57">
        <f>IFERROR($W526/$W525-1,"")</f>
        <v/>
      </c>
      <c r="DE525" s="57">
        <f>IFERROR($X526/$X525-1,"")</f>
        <v/>
      </c>
      <c r="DF525" s="57">
        <f>IFERROR($Y526/$Y525-1,"")</f>
        <v/>
      </c>
      <c r="DG525" s="57">
        <f>IFERROR($Z526/$Z525-1,"")</f>
        <v/>
      </c>
      <c r="DH525" s="57">
        <f>IFERROR($AA526/$AA525-1,"")</f>
        <v/>
      </c>
      <c r="DI525" s="57">
        <f>IFERROR($AB526/$AB525-1,"")</f>
        <v/>
      </c>
      <c r="DJ525" s="57">
        <f>IFERROR($AC526/$AC525-1,"")</f>
        <v/>
      </c>
      <c r="DK525" s="57">
        <f>IFERROR($AD526/$AD525-1,"")</f>
        <v/>
      </c>
      <c r="DL525" s="57">
        <f>IFERROR($AE526/$AE525-1,"")</f>
        <v/>
      </c>
      <c r="DM525" s="56">
        <f>$AZ525-$AZ526</f>
        <v/>
      </c>
      <c r="DN525" s="56">
        <f>$BA525-$BA526</f>
        <v/>
      </c>
      <c r="DO525" s="56">
        <f>$BB525-$BB526</f>
        <v/>
      </c>
      <c r="DP525" s="56">
        <f>$BC525-$BC526</f>
        <v/>
      </c>
      <c r="DQ525" s="56">
        <f>$BD525-$BD526</f>
        <v/>
      </c>
      <c r="DR525" s="56">
        <f>$BE525-$BE526</f>
        <v/>
      </c>
      <c r="DS525" s="56">
        <f>$BF525-$BF526</f>
        <v/>
      </c>
      <c r="DT525" s="56">
        <f>$BG525-$BG526</f>
        <v/>
      </c>
      <c r="DU525" s="56">
        <f>$BH525-$BH526</f>
        <v/>
      </c>
      <c r="DV525" s="56">
        <f>$BI525-$BI526</f>
        <v/>
      </c>
      <c r="DW525" s="56">
        <f>$BJ525-$BJ526</f>
        <v/>
      </c>
      <c r="DX525" s="56">
        <f>$BK525-$BK526</f>
        <v/>
      </c>
      <c r="DY525" s="56">
        <f>$BL525-$BL526</f>
        <v/>
      </c>
      <c r="DZ525" s="56">
        <f>$BM525-$BM526</f>
        <v/>
      </c>
      <c r="EA525" s="56">
        <f>$BN525-$BN526</f>
        <v/>
      </c>
      <c r="EB525" s="56">
        <f>$BO525-$BO526</f>
        <v/>
      </c>
      <c r="EC525" s="56">
        <f>$BP525-$BP526</f>
        <v/>
      </c>
      <c r="ED525" s="56">
        <f>$BQ525-$BQ526</f>
        <v/>
      </c>
      <c r="EE525" s="56">
        <f>$BR525-$BR526</f>
        <v/>
      </c>
      <c r="EF525" s="56">
        <f>$BS525-$BS526</f>
        <v/>
      </c>
      <c r="EG525" s="56">
        <f>$BT525-$BT526</f>
        <v/>
      </c>
      <c r="EH525" s="56">
        <f>$BU525-$BU526</f>
        <v/>
      </c>
    </row>
    <row r="526">
      <c r="BV526" s="56">
        <f>($D526-$D527)*100</f>
        <v/>
      </c>
      <c r="BW526" s="56">
        <f>($C526-$C527)*100</f>
        <v/>
      </c>
      <c r="BX526" s="57">
        <f>IFERROR($I526/$I527-1,"")</f>
        <v/>
      </c>
      <c r="BY526" s="56">
        <f>($AF526-$AF527)*100</f>
        <v/>
      </c>
      <c r="BZ526" s="56">
        <f>($AG526-$AG527)*100</f>
        <v/>
      </c>
      <c r="CA526" s="56">
        <f>($AH526-$AH527)*100</f>
        <v/>
      </c>
      <c r="CB526" s="56">
        <f>($AI526-$AI527)*100</f>
        <v/>
      </c>
      <c r="CC526" s="56">
        <f>($AJ526-$AJ527)*100</f>
        <v/>
      </c>
      <c r="CD526" s="56">
        <f>($AK526-$AK527)*100</f>
        <v/>
      </c>
      <c r="CE526" s="56">
        <f>($AL526-$AL527)*100</f>
        <v/>
      </c>
      <c r="CF526" s="56">
        <f>($AM526-$AM527)*100</f>
        <v/>
      </c>
      <c r="CG526" s="56">
        <f>($AN526-$AN527)*100</f>
        <v/>
      </c>
      <c r="CH526" s="56">
        <f>($AO526-$AO527)*100</f>
        <v/>
      </c>
      <c r="CI526" s="56">
        <f>($AP526-$AP527)*100</f>
        <v/>
      </c>
      <c r="CJ526" s="56">
        <f>($AQ526-$AQ527)*100</f>
        <v/>
      </c>
      <c r="CK526" s="56">
        <f>($AR526-$AR527)*100</f>
        <v/>
      </c>
      <c r="CL526" s="56">
        <f>($AS526-$AS527)*100</f>
        <v/>
      </c>
      <c r="CM526" s="56">
        <f>($AT526-$AT527)*100</f>
        <v/>
      </c>
      <c r="CN526" s="56">
        <f>($AU526-$AU527)*100</f>
        <v/>
      </c>
      <c r="CO526" s="56">
        <f>($AV526-$AV527)*100</f>
        <v/>
      </c>
      <c r="CP526" s="56">
        <f>($AW526-$AW527)*100</f>
        <v/>
      </c>
      <c r="CQ526" s="56">
        <f>($AX526-$AX527)*100</f>
        <v/>
      </c>
      <c r="CR526" s="56">
        <f>($AY526-$AY527)*100</f>
        <v/>
      </c>
      <c r="CS526" s="57">
        <f>IFERROR($L527/$L526-1,"")</f>
        <v/>
      </c>
      <c r="CT526" s="57">
        <f>IFERROR($M527/$M526-1,"")</f>
        <v/>
      </c>
      <c r="CU526" s="57">
        <f>IFERROR($N527/$N526-1,"")</f>
        <v/>
      </c>
      <c r="CV526" s="57">
        <f>IFERROR($O527/$O526-1,"")</f>
        <v/>
      </c>
      <c r="CW526" s="57">
        <f>IFERROR($P527/$P526-1,"")</f>
        <v/>
      </c>
      <c r="CX526" s="57">
        <f>IFERROR($Q527/$Q526-1,"")</f>
        <v/>
      </c>
      <c r="CY526" s="57">
        <f>IFERROR($R527/$R526-1,"")</f>
        <v/>
      </c>
      <c r="CZ526" s="57">
        <f>IFERROR($S527/$S526-1,"")</f>
        <v/>
      </c>
      <c r="DA526" s="57">
        <f>IFERROR($T527/$T526-1,"")</f>
        <v/>
      </c>
      <c r="DB526" s="57">
        <f>IFERROR($U527/$U526-1,"")</f>
        <v/>
      </c>
      <c r="DC526" s="57">
        <f>IFERROR($V527/$V526-1,"")</f>
        <v/>
      </c>
      <c r="DD526" s="57">
        <f>IFERROR($W527/$W526-1,"")</f>
        <v/>
      </c>
      <c r="DE526" s="57">
        <f>IFERROR($X527/$X526-1,"")</f>
        <v/>
      </c>
      <c r="DF526" s="57">
        <f>IFERROR($Y527/$Y526-1,"")</f>
        <v/>
      </c>
      <c r="DG526" s="57">
        <f>IFERROR($Z527/$Z526-1,"")</f>
        <v/>
      </c>
      <c r="DH526" s="57">
        <f>IFERROR($AA527/$AA526-1,"")</f>
        <v/>
      </c>
      <c r="DI526" s="57">
        <f>IFERROR($AB527/$AB526-1,"")</f>
        <v/>
      </c>
      <c r="DJ526" s="57">
        <f>IFERROR($AC527/$AC526-1,"")</f>
        <v/>
      </c>
      <c r="DK526" s="57">
        <f>IFERROR($AD527/$AD526-1,"")</f>
        <v/>
      </c>
      <c r="DL526" s="57">
        <f>IFERROR($AE527/$AE526-1,"")</f>
        <v/>
      </c>
      <c r="DM526" s="56">
        <f>$AZ526-$AZ527</f>
        <v/>
      </c>
      <c r="DN526" s="56">
        <f>$BA526-$BA527</f>
        <v/>
      </c>
      <c r="DO526" s="56">
        <f>$BB526-$BB527</f>
        <v/>
      </c>
      <c r="DP526" s="56">
        <f>$BC526-$BC527</f>
        <v/>
      </c>
      <c r="DQ526" s="56">
        <f>$BD526-$BD527</f>
        <v/>
      </c>
      <c r="DR526" s="56">
        <f>$BE526-$BE527</f>
        <v/>
      </c>
      <c r="DS526" s="56">
        <f>$BF526-$BF527</f>
        <v/>
      </c>
      <c r="DT526" s="56">
        <f>$BG526-$BG527</f>
        <v/>
      </c>
      <c r="DU526" s="56">
        <f>$BH526-$BH527</f>
        <v/>
      </c>
      <c r="DV526" s="56">
        <f>$BI526-$BI527</f>
        <v/>
      </c>
      <c r="DW526" s="56">
        <f>$BJ526-$BJ527</f>
        <v/>
      </c>
      <c r="DX526" s="56">
        <f>$BK526-$BK527</f>
        <v/>
      </c>
      <c r="DY526" s="56">
        <f>$BL526-$BL527</f>
        <v/>
      </c>
      <c r="DZ526" s="56">
        <f>$BM526-$BM527</f>
        <v/>
      </c>
      <c r="EA526" s="56">
        <f>$BN526-$BN527</f>
        <v/>
      </c>
      <c r="EB526" s="56">
        <f>$BO526-$BO527</f>
        <v/>
      </c>
      <c r="EC526" s="56">
        <f>$BP526-$BP527</f>
        <v/>
      </c>
      <c r="ED526" s="56">
        <f>$BQ526-$BQ527</f>
        <v/>
      </c>
      <c r="EE526" s="56">
        <f>$BR526-$BR527</f>
        <v/>
      </c>
      <c r="EF526" s="56">
        <f>$BS526-$BS527</f>
        <v/>
      </c>
      <c r="EG526" s="56">
        <f>$BT526-$BT527</f>
        <v/>
      </c>
      <c r="EH526" s="56">
        <f>$BU526-$BU527</f>
        <v/>
      </c>
    </row>
    <row r="527">
      <c r="BV527" s="56">
        <f>($D527-$D528)*100</f>
        <v/>
      </c>
      <c r="BW527" s="56">
        <f>($C527-$C528)*100</f>
        <v/>
      </c>
      <c r="BX527" s="57">
        <f>IFERROR($I527/$I528-1,"")</f>
        <v/>
      </c>
      <c r="BY527" s="56">
        <f>($AF527-$AF528)*100</f>
        <v/>
      </c>
      <c r="BZ527" s="56">
        <f>($AG527-$AG528)*100</f>
        <v/>
      </c>
      <c r="CA527" s="56">
        <f>($AH527-$AH528)*100</f>
        <v/>
      </c>
      <c r="CB527" s="56">
        <f>($AI527-$AI528)*100</f>
        <v/>
      </c>
      <c r="CC527" s="56">
        <f>($AJ527-$AJ528)*100</f>
        <v/>
      </c>
      <c r="CD527" s="56">
        <f>($AK527-$AK528)*100</f>
        <v/>
      </c>
      <c r="CE527" s="56">
        <f>($AL527-$AL528)*100</f>
        <v/>
      </c>
      <c r="CF527" s="56">
        <f>($AM527-$AM528)*100</f>
        <v/>
      </c>
      <c r="CG527" s="56">
        <f>($AN527-$AN528)*100</f>
        <v/>
      </c>
      <c r="CH527" s="56">
        <f>($AO527-$AO528)*100</f>
        <v/>
      </c>
      <c r="CI527" s="56">
        <f>($AP527-$AP528)*100</f>
        <v/>
      </c>
      <c r="CJ527" s="56">
        <f>($AQ527-$AQ528)*100</f>
        <v/>
      </c>
      <c r="CK527" s="56">
        <f>($AR527-$AR528)*100</f>
        <v/>
      </c>
      <c r="CL527" s="56">
        <f>($AS527-$AS528)*100</f>
        <v/>
      </c>
      <c r="CM527" s="56">
        <f>($AT527-$AT528)*100</f>
        <v/>
      </c>
      <c r="CN527" s="56">
        <f>($AU527-$AU528)*100</f>
        <v/>
      </c>
      <c r="CO527" s="56">
        <f>($AV527-$AV528)*100</f>
        <v/>
      </c>
      <c r="CP527" s="56">
        <f>($AW527-$AW528)*100</f>
        <v/>
      </c>
      <c r="CQ527" s="56">
        <f>($AX527-$AX528)*100</f>
        <v/>
      </c>
      <c r="CR527" s="56">
        <f>($AY527-$AY528)*100</f>
        <v/>
      </c>
      <c r="CS527" s="57">
        <f>IFERROR($L528/$L527-1,"")</f>
        <v/>
      </c>
      <c r="CT527" s="57">
        <f>IFERROR($M528/$M527-1,"")</f>
        <v/>
      </c>
      <c r="CU527" s="57">
        <f>IFERROR($N528/$N527-1,"")</f>
        <v/>
      </c>
      <c r="CV527" s="57">
        <f>IFERROR($O528/$O527-1,"")</f>
        <v/>
      </c>
      <c r="CW527" s="57">
        <f>IFERROR($P528/$P527-1,"")</f>
        <v/>
      </c>
      <c r="CX527" s="57">
        <f>IFERROR($Q528/$Q527-1,"")</f>
        <v/>
      </c>
      <c r="CY527" s="57">
        <f>IFERROR($R528/$R527-1,"")</f>
        <v/>
      </c>
      <c r="CZ527" s="57">
        <f>IFERROR($S528/$S527-1,"")</f>
        <v/>
      </c>
      <c r="DA527" s="57">
        <f>IFERROR($T528/$T527-1,"")</f>
        <v/>
      </c>
      <c r="DB527" s="57">
        <f>IFERROR($U528/$U527-1,"")</f>
        <v/>
      </c>
      <c r="DC527" s="57">
        <f>IFERROR($V528/$V527-1,"")</f>
        <v/>
      </c>
      <c r="DD527" s="57">
        <f>IFERROR($W528/$W527-1,"")</f>
        <v/>
      </c>
      <c r="DE527" s="57">
        <f>IFERROR($X528/$X527-1,"")</f>
        <v/>
      </c>
      <c r="DF527" s="57">
        <f>IFERROR($Y528/$Y527-1,"")</f>
        <v/>
      </c>
      <c r="DG527" s="57">
        <f>IFERROR($Z528/$Z527-1,"")</f>
        <v/>
      </c>
      <c r="DH527" s="57">
        <f>IFERROR($AA528/$AA527-1,"")</f>
        <v/>
      </c>
      <c r="DI527" s="57">
        <f>IFERROR($AB528/$AB527-1,"")</f>
        <v/>
      </c>
      <c r="DJ527" s="57">
        <f>IFERROR($AC528/$AC527-1,"")</f>
        <v/>
      </c>
      <c r="DK527" s="57">
        <f>IFERROR($AD528/$AD527-1,"")</f>
        <v/>
      </c>
      <c r="DL527" s="57">
        <f>IFERROR($AE528/$AE527-1,"")</f>
        <v/>
      </c>
      <c r="DM527" s="56">
        <f>$AZ527-$AZ528</f>
        <v/>
      </c>
      <c r="DN527" s="56">
        <f>$BA527-$BA528</f>
        <v/>
      </c>
      <c r="DO527" s="56">
        <f>$BB527-$BB528</f>
        <v/>
      </c>
      <c r="DP527" s="56">
        <f>$BC527-$BC528</f>
        <v/>
      </c>
      <c r="DQ527" s="56">
        <f>$BD527-$BD528</f>
        <v/>
      </c>
      <c r="DR527" s="56">
        <f>$BE527-$BE528</f>
        <v/>
      </c>
      <c r="DS527" s="56">
        <f>$BF527-$BF528</f>
        <v/>
      </c>
      <c r="DT527" s="56">
        <f>$BG527-$BG528</f>
        <v/>
      </c>
      <c r="DU527" s="56">
        <f>$BH527-$BH528</f>
        <v/>
      </c>
      <c r="DV527" s="56">
        <f>$BI527-$BI528</f>
        <v/>
      </c>
      <c r="DW527" s="56">
        <f>$BJ527-$BJ528</f>
        <v/>
      </c>
      <c r="DX527" s="56">
        <f>$BK527-$BK528</f>
        <v/>
      </c>
      <c r="DY527" s="56">
        <f>$BL527-$BL528</f>
        <v/>
      </c>
      <c r="DZ527" s="56">
        <f>$BM527-$BM528</f>
        <v/>
      </c>
      <c r="EA527" s="56">
        <f>$BN527-$BN528</f>
        <v/>
      </c>
      <c r="EB527" s="56">
        <f>$BO527-$BO528</f>
        <v/>
      </c>
      <c r="EC527" s="56">
        <f>$BP527-$BP528</f>
        <v/>
      </c>
      <c r="ED527" s="56">
        <f>$BQ527-$BQ528</f>
        <v/>
      </c>
      <c r="EE527" s="56">
        <f>$BR527-$BR528</f>
        <v/>
      </c>
      <c r="EF527" s="56">
        <f>$BS527-$BS528</f>
        <v/>
      </c>
      <c r="EG527" s="56">
        <f>$BT527-$BT528</f>
        <v/>
      </c>
      <c r="EH527" s="56">
        <f>$BU527-$BU528</f>
        <v/>
      </c>
    </row>
    <row r="528">
      <c r="BV528" s="56">
        <f>($D528-$D529)*100</f>
        <v/>
      </c>
      <c r="BW528" s="56">
        <f>($C528-$C529)*100</f>
        <v/>
      </c>
      <c r="BX528" s="57">
        <f>IFERROR($I528/$I529-1,"")</f>
        <v/>
      </c>
      <c r="BY528" s="56">
        <f>($AF528-$AF529)*100</f>
        <v/>
      </c>
      <c r="BZ528" s="56">
        <f>($AG528-$AG529)*100</f>
        <v/>
      </c>
      <c r="CA528" s="56">
        <f>($AH528-$AH529)*100</f>
        <v/>
      </c>
      <c r="CB528" s="56">
        <f>($AI528-$AI529)*100</f>
        <v/>
      </c>
      <c r="CC528" s="56">
        <f>($AJ528-$AJ529)*100</f>
        <v/>
      </c>
      <c r="CD528" s="56">
        <f>($AK528-$AK529)*100</f>
        <v/>
      </c>
      <c r="CE528" s="56">
        <f>($AL528-$AL529)*100</f>
        <v/>
      </c>
      <c r="CF528" s="56">
        <f>($AM528-$AM529)*100</f>
        <v/>
      </c>
      <c r="CG528" s="56">
        <f>($AN528-$AN529)*100</f>
        <v/>
      </c>
      <c r="CH528" s="56">
        <f>($AO528-$AO529)*100</f>
        <v/>
      </c>
      <c r="CI528" s="56">
        <f>($AP528-$AP529)*100</f>
        <v/>
      </c>
      <c r="CJ528" s="56">
        <f>($AQ528-$AQ529)*100</f>
        <v/>
      </c>
      <c r="CK528" s="56">
        <f>($AR528-$AR529)*100</f>
        <v/>
      </c>
      <c r="CL528" s="56">
        <f>($AS528-$AS529)*100</f>
        <v/>
      </c>
      <c r="CM528" s="56">
        <f>($AT528-$AT529)*100</f>
        <v/>
      </c>
      <c r="CN528" s="56">
        <f>($AU528-$AU529)*100</f>
        <v/>
      </c>
      <c r="CO528" s="56">
        <f>($AV528-$AV529)*100</f>
        <v/>
      </c>
      <c r="CP528" s="56">
        <f>($AW528-$AW529)*100</f>
        <v/>
      </c>
      <c r="CQ528" s="56">
        <f>($AX528-$AX529)*100</f>
        <v/>
      </c>
      <c r="CR528" s="56">
        <f>($AY528-$AY529)*100</f>
        <v/>
      </c>
      <c r="CS528" s="57">
        <f>IFERROR($L529/$L528-1,"")</f>
        <v/>
      </c>
      <c r="CT528" s="57">
        <f>IFERROR($M529/$M528-1,"")</f>
        <v/>
      </c>
      <c r="CU528" s="57">
        <f>IFERROR($N529/$N528-1,"")</f>
        <v/>
      </c>
      <c r="CV528" s="57">
        <f>IFERROR($O529/$O528-1,"")</f>
        <v/>
      </c>
      <c r="CW528" s="57">
        <f>IFERROR($P529/$P528-1,"")</f>
        <v/>
      </c>
      <c r="CX528" s="57">
        <f>IFERROR($Q529/$Q528-1,"")</f>
        <v/>
      </c>
      <c r="CY528" s="57">
        <f>IFERROR($R529/$R528-1,"")</f>
        <v/>
      </c>
      <c r="CZ528" s="57">
        <f>IFERROR($S529/$S528-1,"")</f>
        <v/>
      </c>
      <c r="DA528" s="57">
        <f>IFERROR($T529/$T528-1,"")</f>
        <v/>
      </c>
      <c r="DB528" s="57">
        <f>IFERROR($U529/$U528-1,"")</f>
        <v/>
      </c>
      <c r="DC528" s="57">
        <f>IFERROR($V529/$V528-1,"")</f>
        <v/>
      </c>
      <c r="DD528" s="57">
        <f>IFERROR($W529/$W528-1,"")</f>
        <v/>
      </c>
      <c r="DE528" s="57">
        <f>IFERROR($X529/$X528-1,"")</f>
        <v/>
      </c>
      <c r="DF528" s="57">
        <f>IFERROR($Y529/$Y528-1,"")</f>
        <v/>
      </c>
      <c r="DG528" s="57">
        <f>IFERROR($Z529/$Z528-1,"")</f>
        <v/>
      </c>
      <c r="DH528" s="57">
        <f>IFERROR($AA529/$AA528-1,"")</f>
        <v/>
      </c>
      <c r="DI528" s="57">
        <f>IFERROR($AB529/$AB528-1,"")</f>
        <v/>
      </c>
      <c r="DJ528" s="57">
        <f>IFERROR($AC529/$AC528-1,"")</f>
        <v/>
      </c>
      <c r="DK528" s="57">
        <f>IFERROR($AD529/$AD528-1,"")</f>
        <v/>
      </c>
      <c r="DL528" s="57">
        <f>IFERROR($AE529/$AE528-1,"")</f>
        <v/>
      </c>
      <c r="DM528" s="56">
        <f>$AZ528-$AZ529</f>
        <v/>
      </c>
      <c r="DN528" s="56">
        <f>$BA528-$BA529</f>
        <v/>
      </c>
      <c r="DO528" s="56">
        <f>$BB528-$BB529</f>
        <v/>
      </c>
      <c r="DP528" s="56">
        <f>$BC528-$BC529</f>
        <v/>
      </c>
      <c r="DQ528" s="56">
        <f>$BD528-$BD529</f>
        <v/>
      </c>
      <c r="DR528" s="56">
        <f>$BE528-$BE529</f>
        <v/>
      </c>
      <c r="DS528" s="56">
        <f>$BF528-$BF529</f>
        <v/>
      </c>
      <c r="DT528" s="56">
        <f>$BG528-$BG529</f>
        <v/>
      </c>
      <c r="DU528" s="56">
        <f>$BH528-$BH529</f>
        <v/>
      </c>
      <c r="DV528" s="56">
        <f>$BI528-$BI529</f>
        <v/>
      </c>
      <c r="DW528" s="56">
        <f>$BJ528-$BJ529</f>
        <v/>
      </c>
      <c r="DX528" s="56">
        <f>$BK528-$BK529</f>
        <v/>
      </c>
      <c r="DY528" s="56">
        <f>$BL528-$BL529</f>
        <v/>
      </c>
      <c r="DZ528" s="56">
        <f>$BM528-$BM529</f>
        <v/>
      </c>
      <c r="EA528" s="56">
        <f>$BN528-$BN529</f>
        <v/>
      </c>
      <c r="EB528" s="56">
        <f>$BO528-$BO529</f>
        <v/>
      </c>
      <c r="EC528" s="56">
        <f>$BP528-$BP529</f>
        <v/>
      </c>
      <c r="ED528" s="56">
        <f>$BQ528-$BQ529</f>
        <v/>
      </c>
      <c r="EE528" s="56">
        <f>$BR528-$BR529</f>
        <v/>
      </c>
      <c r="EF528" s="56">
        <f>$BS528-$BS529</f>
        <v/>
      </c>
      <c r="EG528" s="56">
        <f>$BT528-$BT529</f>
        <v/>
      </c>
      <c r="EH528" s="56">
        <f>$BU528-$BU529</f>
        <v/>
      </c>
    </row>
    <row r="529">
      <c r="BV529" s="56">
        <f>($D529-$D530)*100</f>
        <v/>
      </c>
      <c r="BW529" s="56">
        <f>($C529-$C530)*100</f>
        <v/>
      </c>
      <c r="BX529" s="57">
        <f>IFERROR($I529/$I530-1,"")</f>
        <v/>
      </c>
      <c r="BY529" s="56">
        <f>($AF529-$AF530)*100</f>
        <v/>
      </c>
      <c r="BZ529" s="56">
        <f>($AG529-$AG530)*100</f>
        <v/>
      </c>
      <c r="CA529" s="56">
        <f>($AH529-$AH530)*100</f>
        <v/>
      </c>
      <c r="CB529" s="56">
        <f>($AI529-$AI530)*100</f>
        <v/>
      </c>
      <c r="CC529" s="56">
        <f>($AJ529-$AJ530)*100</f>
        <v/>
      </c>
      <c r="CD529" s="56">
        <f>($AK529-$AK530)*100</f>
        <v/>
      </c>
      <c r="CE529" s="56">
        <f>($AL529-$AL530)*100</f>
        <v/>
      </c>
      <c r="CF529" s="56">
        <f>($AM529-$AM530)*100</f>
        <v/>
      </c>
      <c r="CG529" s="56">
        <f>($AN529-$AN530)*100</f>
        <v/>
      </c>
      <c r="CH529" s="56">
        <f>($AO529-$AO530)*100</f>
        <v/>
      </c>
      <c r="CI529" s="56">
        <f>($AP529-$AP530)*100</f>
        <v/>
      </c>
      <c r="CJ529" s="56">
        <f>($AQ529-$AQ530)*100</f>
        <v/>
      </c>
      <c r="CK529" s="56">
        <f>($AR529-$AR530)*100</f>
        <v/>
      </c>
      <c r="CL529" s="56">
        <f>($AS529-$AS530)*100</f>
        <v/>
      </c>
      <c r="CM529" s="56">
        <f>($AT529-$AT530)*100</f>
        <v/>
      </c>
      <c r="CN529" s="56">
        <f>($AU529-$AU530)*100</f>
        <v/>
      </c>
      <c r="CO529" s="56">
        <f>($AV529-$AV530)*100</f>
        <v/>
      </c>
      <c r="CP529" s="56">
        <f>($AW529-$AW530)*100</f>
        <v/>
      </c>
      <c r="CQ529" s="56">
        <f>($AX529-$AX530)*100</f>
        <v/>
      </c>
      <c r="CR529" s="56">
        <f>($AY529-$AY530)*100</f>
        <v/>
      </c>
      <c r="CS529" s="57">
        <f>IFERROR($L530/$L529-1,"")</f>
        <v/>
      </c>
      <c r="CT529" s="57">
        <f>IFERROR($M530/$M529-1,"")</f>
        <v/>
      </c>
      <c r="CU529" s="57">
        <f>IFERROR($N530/$N529-1,"")</f>
        <v/>
      </c>
      <c r="CV529" s="57">
        <f>IFERROR($O530/$O529-1,"")</f>
        <v/>
      </c>
      <c r="CW529" s="57">
        <f>IFERROR($P530/$P529-1,"")</f>
        <v/>
      </c>
      <c r="CX529" s="57">
        <f>IFERROR($Q530/$Q529-1,"")</f>
        <v/>
      </c>
      <c r="CY529" s="57">
        <f>IFERROR($R530/$R529-1,"")</f>
        <v/>
      </c>
      <c r="CZ529" s="57">
        <f>IFERROR($S530/$S529-1,"")</f>
        <v/>
      </c>
      <c r="DA529" s="57">
        <f>IFERROR($T530/$T529-1,"")</f>
        <v/>
      </c>
      <c r="DB529" s="57">
        <f>IFERROR($U530/$U529-1,"")</f>
        <v/>
      </c>
      <c r="DC529" s="57">
        <f>IFERROR($V530/$V529-1,"")</f>
        <v/>
      </c>
      <c r="DD529" s="57">
        <f>IFERROR($W530/$W529-1,"")</f>
        <v/>
      </c>
      <c r="DE529" s="57">
        <f>IFERROR($X530/$X529-1,"")</f>
        <v/>
      </c>
      <c r="DF529" s="57">
        <f>IFERROR($Y530/$Y529-1,"")</f>
        <v/>
      </c>
      <c r="DG529" s="57">
        <f>IFERROR($Z530/$Z529-1,"")</f>
        <v/>
      </c>
      <c r="DH529" s="57">
        <f>IFERROR($AA530/$AA529-1,"")</f>
        <v/>
      </c>
      <c r="DI529" s="57">
        <f>IFERROR($AB530/$AB529-1,"")</f>
        <v/>
      </c>
      <c r="DJ529" s="57">
        <f>IFERROR($AC530/$AC529-1,"")</f>
        <v/>
      </c>
      <c r="DK529" s="57">
        <f>IFERROR($AD530/$AD529-1,"")</f>
        <v/>
      </c>
      <c r="DL529" s="57">
        <f>IFERROR($AE530/$AE529-1,"")</f>
        <v/>
      </c>
      <c r="DM529" s="56">
        <f>$AZ529-$AZ530</f>
        <v/>
      </c>
      <c r="DN529" s="56">
        <f>$BA529-$BA530</f>
        <v/>
      </c>
      <c r="DO529" s="56">
        <f>$BB529-$BB530</f>
        <v/>
      </c>
      <c r="DP529" s="56">
        <f>$BC529-$BC530</f>
        <v/>
      </c>
      <c r="DQ529" s="56">
        <f>$BD529-$BD530</f>
        <v/>
      </c>
      <c r="DR529" s="56">
        <f>$BE529-$BE530</f>
        <v/>
      </c>
      <c r="DS529" s="56">
        <f>$BF529-$BF530</f>
        <v/>
      </c>
      <c r="DT529" s="56">
        <f>$BG529-$BG530</f>
        <v/>
      </c>
      <c r="DU529" s="56">
        <f>$BH529-$BH530</f>
        <v/>
      </c>
      <c r="DV529" s="56">
        <f>$BI529-$BI530</f>
        <v/>
      </c>
      <c r="DW529" s="56">
        <f>$BJ529-$BJ530</f>
        <v/>
      </c>
      <c r="DX529" s="56">
        <f>$BK529-$BK530</f>
        <v/>
      </c>
      <c r="DY529" s="56">
        <f>$BL529-$BL530</f>
        <v/>
      </c>
      <c r="DZ529" s="56">
        <f>$BM529-$BM530</f>
        <v/>
      </c>
      <c r="EA529" s="56">
        <f>$BN529-$BN530</f>
        <v/>
      </c>
      <c r="EB529" s="56">
        <f>$BO529-$BO530</f>
        <v/>
      </c>
      <c r="EC529" s="56">
        <f>$BP529-$BP530</f>
        <v/>
      </c>
      <c r="ED529" s="56">
        <f>$BQ529-$BQ530</f>
        <v/>
      </c>
      <c r="EE529" s="56">
        <f>$BR529-$BR530</f>
        <v/>
      </c>
      <c r="EF529" s="56">
        <f>$BS529-$BS530</f>
        <v/>
      </c>
      <c r="EG529" s="56">
        <f>$BT529-$BT530</f>
        <v/>
      </c>
      <c r="EH529" s="56">
        <f>$BU529-$BU530</f>
        <v/>
      </c>
    </row>
    <row r="530">
      <c r="BV530" s="56">
        <f>($D530-$D531)*100</f>
        <v/>
      </c>
      <c r="BW530" s="56">
        <f>($C530-$C531)*100</f>
        <v/>
      </c>
      <c r="BX530" s="57">
        <f>IFERROR($I530/$I531-1,"")</f>
        <v/>
      </c>
      <c r="BY530" s="56">
        <f>($AF530-$AF531)*100</f>
        <v/>
      </c>
      <c r="BZ530" s="56">
        <f>($AG530-$AG531)*100</f>
        <v/>
      </c>
      <c r="CA530" s="56">
        <f>($AH530-$AH531)*100</f>
        <v/>
      </c>
      <c r="CB530" s="56">
        <f>($AI530-$AI531)*100</f>
        <v/>
      </c>
      <c r="CC530" s="56">
        <f>($AJ530-$AJ531)*100</f>
        <v/>
      </c>
      <c r="CD530" s="56">
        <f>($AK530-$AK531)*100</f>
        <v/>
      </c>
      <c r="CE530" s="56">
        <f>($AL530-$AL531)*100</f>
        <v/>
      </c>
      <c r="CF530" s="56">
        <f>($AM530-$AM531)*100</f>
        <v/>
      </c>
      <c r="CG530" s="56">
        <f>($AN530-$AN531)*100</f>
        <v/>
      </c>
      <c r="CH530" s="56">
        <f>($AO530-$AO531)*100</f>
        <v/>
      </c>
      <c r="CI530" s="56">
        <f>($AP530-$AP531)*100</f>
        <v/>
      </c>
      <c r="CJ530" s="56">
        <f>($AQ530-$AQ531)*100</f>
        <v/>
      </c>
      <c r="CK530" s="56">
        <f>($AR530-$AR531)*100</f>
        <v/>
      </c>
      <c r="CL530" s="56">
        <f>($AS530-$AS531)*100</f>
        <v/>
      </c>
      <c r="CM530" s="56">
        <f>($AT530-$AT531)*100</f>
        <v/>
      </c>
      <c r="CN530" s="56">
        <f>($AU530-$AU531)*100</f>
        <v/>
      </c>
      <c r="CO530" s="56">
        <f>($AV530-$AV531)*100</f>
        <v/>
      </c>
      <c r="CP530" s="56">
        <f>($AW530-$AW531)*100</f>
        <v/>
      </c>
      <c r="CQ530" s="56">
        <f>($AX530-$AX531)*100</f>
        <v/>
      </c>
      <c r="CR530" s="56">
        <f>($AY530-$AY531)*100</f>
        <v/>
      </c>
      <c r="CS530" s="57">
        <f>IFERROR($L531/$L530-1,"")</f>
        <v/>
      </c>
      <c r="CT530" s="57">
        <f>IFERROR($M531/$M530-1,"")</f>
        <v/>
      </c>
      <c r="CU530" s="57">
        <f>IFERROR($N531/$N530-1,"")</f>
        <v/>
      </c>
      <c r="CV530" s="57">
        <f>IFERROR($O531/$O530-1,"")</f>
        <v/>
      </c>
      <c r="CW530" s="57">
        <f>IFERROR($P531/$P530-1,"")</f>
        <v/>
      </c>
      <c r="CX530" s="57">
        <f>IFERROR($Q531/$Q530-1,"")</f>
        <v/>
      </c>
      <c r="CY530" s="57">
        <f>IFERROR($R531/$R530-1,"")</f>
        <v/>
      </c>
      <c r="CZ530" s="57">
        <f>IFERROR($S531/$S530-1,"")</f>
        <v/>
      </c>
      <c r="DA530" s="57">
        <f>IFERROR($T531/$T530-1,"")</f>
        <v/>
      </c>
      <c r="DB530" s="57">
        <f>IFERROR($U531/$U530-1,"")</f>
        <v/>
      </c>
      <c r="DC530" s="57">
        <f>IFERROR($V531/$V530-1,"")</f>
        <v/>
      </c>
      <c r="DD530" s="57">
        <f>IFERROR($W531/$W530-1,"")</f>
        <v/>
      </c>
      <c r="DE530" s="57">
        <f>IFERROR($X531/$X530-1,"")</f>
        <v/>
      </c>
      <c r="DF530" s="57">
        <f>IFERROR($Y531/$Y530-1,"")</f>
        <v/>
      </c>
      <c r="DG530" s="57">
        <f>IFERROR($Z531/$Z530-1,"")</f>
        <v/>
      </c>
      <c r="DH530" s="57">
        <f>IFERROR($AA531/$AA530-1,"")</f>
        <v/>
      </c>
      <c r="DI530" s="57">
        <f>IFERROR($AB531/$AB530-1,"")</f>
        <v/>
      </c>
      <c r="DJ530" s="57">
        <f>IFERROR($AC531/$AC530-1,"")</f>
        <v/>
      </c>
      <c r="DK530" s="57">
        <f>IFERROR($AD531/$AD530-1,"")</f>
        <v/>
      </c>
      <c r="DL530" s="57">
        <f>IFERROR($AE531/$AE530-1,"")</f>
        <v/>
      </c>
      <c r="DM530" s="56">
        <f>$AZ530-$AZ531</f>
        <v/>
      </c>
      <c r="DN530" s="56">
        <f>$BA530-$BA531</f>
        <v/>
      </c>
      <c r="DO530" s="56">
        <f>$BB530-$BB531</f>
        <v/>
      </c>
      <c r="DP530" s="56">
        <f>$BC530-$BC531</f>
        <v/>
      </c>
      <c r="DQ530" s="56">
        <f>$BD530-$BD531</f>
        <v/>
      </c>
      <c r="DR530" s="56">
        <f>$BE530-$BE531</f>
        <v/>
      </c>
      <c r="DS530" s="56">
        <f>$BF530-$BF531</f>
        <v/>
      </c>
      <c r="DT530" s="56">
        <f>$BG530-$BG531</f>
        <v/>
      </c>
      <c r="DU530" s="56">
        <f>$BH530-$BH531</f>
        <v/>
      </c>
      <c r="DV530" s="56">
        <f>$BI530-$BI531</f>
        <v/>
      </c>
      <c r="DW530" s="56">
        <f>$BJ530-$BJ531</f>
        <v/>
      </c>
      <c r="DX530" s="56">
        <f>$BK530-$BK531</f>
        <v/>
      </c>
      <c r="DY530" s="56">
        <f>$BL530-$BL531</f>
        <v/>
      </c>
      <c r="DZ530" s="56">
        <f>$BM530-$BM531</f>
        <v/>
      </c>
      <c r="EA530" s="56">
        <f>$BN530-$BN531</f>
        <v/>
      </c>
      <c r="EB530" s="56">
        <f>$BO530-$BO531</f>
        <v/>
      </c>
      <c r="EC530" s="56">
        <f>$BP530-$BP531</f>
        <v/>
      </c>
      <c r="ED530" s="56">
        <f>$BQ530-$BQ531</f>
        <v/>
      </c>
      <c r="EE530" s="56">
        <f>$BR530-$BR531</f>
        <v/>
      </c>
      <c r="EF530" s="56">
        <f>$BS530-$BS531</f>
        <v/>
      </c>
      <c r="EG530" s="56">
        <f>$BT530-$BT531</f>
        <v/>
      </c>
      <c r="EH530" s="56">
        <f>$BU530-$BU531</f>
        <v/>
      </c>
    </row>
    <row r="531">
      <c r="BV531" s="56">
        <f>($D531-$D532)*100</f>
        <v/>
      </c>
      <c r="BW531" s="56">
        <f>($C531-$C532)*100</f>
        <v/>
      </c>
      <c r="BX531" s="57">
        <f>IFERROR($I531/$I532-1,"")</f>
        <v/>
      </c>
      <c r="BY531" s="56">
        <f>($AF531-$AF532)*100</f>
        <v/>
      </c>
      <c r="BZ531" s="56">
        <f>($AG531-$AG532)*100</f>
        <v/>
      </c>
      <c r="CA531" s="56">
        <f>($AH531-$AH532)*100</f>
        <v/>
      </c>
      <c r="CB531" s="56">
        <f>($AI531-$AI532)*100</f>
        <v/>
      </c>
      <c r="CC531" s="56">
        <f>($AJ531-$AJ532)*100</f>
        <v/>
      </c>
      <c r="CD531" s="56">
        <f>($AK531-$AK532)*100</f>
        <v/>
      </c>
      <c r="CE531" s="56">
        <f>($AL531-$AL532)*100</f>
        <v/>
      </c>
      <c r="CF531" s="56">
        <f>($AM531-$AM532)*100</f>
        <v/>
      </c>
      <c r="CG531" s="56">
        <f>($AN531-$AN532)*100</f>
        <v/>
      </c>
      <c r="CH531" s="56">
        <f>($AO531-$AO532)*100</f>
        <v/>
      </c>
      <c r="CI531" s="56">
        <f>($AP531-$AP532)*100</f>
        <v/>
      </c>
      <c r="CJ531" s="56">
        <f>($AQ531-$AQ532)*100</f>
        <v/>
      </c>
      <c r="CK531" s="56">
        <f>($AR531-$AR532)*100</f>
        <v/>
      </c>
      <c r="CL531" s="56">
        <f>($AS531-$AS532)*100</f>
        <v/>
      </c>
      <c r="CM531" s="56">
        <f>($AT531-$AT532)*100</f>
        <v/>
      </c>
      <c r="CN531" s="56">
        <f>($AU531-$AU532)*100</f>
        <v/>
      </c>
      <c r="CO531" s="56">
        <f>($AV531-$AV532)*100</f>
        <v/>
      </c>
      <c r="CP531" s="56">
        <f>($AW531-$AW532)*100</f>
        <v/>
      </c>
      <c r="CQ531" s="56">
        <f>($AX531-$AX532)*100</f>
        <v/>
      </c>
      <c r="CR531" s="56">
        <f>($AY531-$AY532)*100</f>
        <v/>
      </c>
      <c r="CS531" s="57">
        <f>IFERROR($L532/$L531-1,"")</f>
        <v/>
      </c>
      <c r="CT531" s="57">
        <f>IFERROR($M532/$M531-1,"")</f>
        <v/>
      </c>
      <c r="CU531" s="57">
        <f>IFERROR($N532/$N531-1,"")</f>
        <v/>
      </c>
      <c r="CV531" s="57">
        <f>IFERROR($O532/$O531-1,"")</f>
        <v/>
      </c>
      <c r="CW531" s="57">
        <f>IFERROR($P532/$P531-1,"")</f>
        <v/>
      </c>
      <c r="CX531" s="57">
        <f>IFERROR($Q532/$Q531-1,"")</f>
        <v/>
      </c>
      <c r="CY531" s="57">
        <f>IFERROR($R532/$R531-1,"")</f>
        <v/>
      </c>
      <c r="CZ531" s="57">
        <f>IFERROR($S532/$S531-1,"")</f>
        <v/>
      </c>
      <c r="DA531" s="57">
        <f>IFERROR($T532/$T531-1,"")</f>
        <v/>
      </c>
      <c r="DB531" s="57">
        <f>IFERROR($U532/$U531-1,"")</f>
        <v/>
      </c>
      <c r="DC531" s="57">
        <f>IFERROR($V532/$V531-1,"")</f>
        <v/>
      </c>
      <c r="DD531" s="57">
        <f>IFERROR($W532/$W531-1,"")</f>
        <v/>
      </c>
      <c r="DE531" s="57">
        <f>IFERROR($X532/$X531-1,"")</f>
        <v/>
      </c>
      <c r="DF531" s="57">
        <f>IFERROR($Y532/$Y531-1,"")</f>
        <v/>
      </c>
      <c r="DG531" s="57">
        <f>IFERROR($Z532/$Z531-1,"")</f>
        <v/>
      </c>
      <c r="DH531" s="57">
        <f>IFERROR($AA532/$AA531-1,"")</f>
        <v/>
      </c>
      <c r="DI531" s="57">
        <f>IFERROR($AB532/$AB531-1,"")</f>
        <v/>
      </c>
      <c r="DJ531" s="57">
        <f>IFERROR($AC532/$AC531-1,"")</f>
        <v/>
      </c>
      <c r="DK531" s="57">
        <f>IFERROR($AD532/$AD531-1,"")</f>
        <v/>
      </c>
      <c r="DL531" s="57">
        <f>IFERROR($AE532/$AE531-1,"")</f>
        <v/>
      </c>
      <c r="DM531" s="56">
        <f>$AZ531-$AZ532</f>
        <v/>
      </c>
      <c r="DN531" s="56">
        <f>$BA531-$BA532</f>
        <v/>
      </c>
      <c r="DO531" s="56">
        <f>$BB531-$BB532</f>
        <v/>
      </c>
      <c r="DP531" s="56">
        <f>$BC531-$BC532</f>
        <v/>
      </c>
      <c r="DQ531" s="56">
        <f>$BD531-$BD532</f>
        <v/>
      </c>
      <c r="DR531" s="56">
        <f>$BE531-$BE532</f>
        <v/>
      </c>
      <c r="DS531" s="56">
        <f>$BF531-$BF532</f>
        <v/>
      </c>
      <c r="DT531" s="56">
        <f>$BG531-$BG532</f>
        <v/>
      </c>
      <c r="DU531" s="56">
        <f>$BH531-$BH532</f>
        <v/>
      </c>
      <c r="DV531" s="56">
        <f>$BI531-$BI532</f>
        <v/>
      </c>
      <c r="DW531" s="56">
        <f>$BJ531-$BJ532</f>
        <v/>
      </c>
      <c r="DX531" s="56">
        <f>$BK531-$BK532</f>
        <v/>
      </c>
      <c r="DY531" s="56">
        <f>$BL531-$BL532</f>
        <v/>
      </c>
      <c r="DZ531" s="56">
        <f>$BM531-$BM532</f>
        <v/>
      </c>
      <c r="EA531" s="56">
        <f>$BN531-$BN532</f>
        <v/>
      </c>
      <c r="EB531" s="56">
        <f>$BO531-$BO532</f>
        <v/>
      </c>
      <c r="EC531" s="56">
        <f>$BP531-$BP532</f>
        <v/>
      </c>
      <c r="ED531" s="56">
        <f>$BQ531-$BQ532</f>
        <v/>
      </c>
      <c r="EE531" s="56">
        <f>$BR531-$BR532</f>
        <v/>
      </c>
      <c r="EF531" s="56">
        <f>$BS531-$BS532</f>
        <v/>
      </c>
      <c r="EG531" s="56">
        <f>$BT531-$BT532</f>
        <v/>
      </c>
      <c r="EH531" s="56">
        <f>$BU531-$BU532</f>
        <v/>
      </c>
    </row>
    <row r="532">
      <c r="BV532" s="56">
        <f>($D532-$D533)*100</f>
        <v/>
      </c>
      <c r="BW532" s="56">
        <f>($C532-$C533)*100</f>
        <v/>
      </c>
      <c r="BX532" s="57">
        <f>IFERROR($I532/$I533-1,"")</f>
        <v/>
      </c>
      <c r="BY532" s="56">
        <f>($AF532-$AF533)*100</f>
        <v/>
      </c>
      <c r="BZ532" s="56">
        <f>($AG532-$AG533)*100</f>
        <v/>
      </c>
      <c r="CA532" s="56">
        <f>($AH532-$AH533)*100</f>
        <v/>
      </c>
      <c r="CB532" s="56">
        <f>($AI532-$AI533)*100</f>
        <v/>
      </c>
      <c r="CC532" s="56">
        <f>($AJ532-$AJ533)*100</f>
        <v/>
      </c>
      <c r="CD532" s="56">
        <f>($AK532-$AK533)*100</f>
        <v/>
      </c>
      <c r="CE532" s="56">
        <f>($AL532-$AL533)*100</f>
        <v/>
      </c>
      <c r="CF532" s="56">
        <f>($AM532-$AM533)*100</f>
        <v/>
      </c>
      <c r="CG532" s="56">
        <f>($AN532-$AN533)*100</f>
        <v/>
      </c>
      <c r="CH532" s="56">
        <f>($AO532-$AO533)*100</f>
        <v/>
      </c>
      <c r="CI532" s="56">
        <f>($AP532-$AP533)*100</f>
        <v/>
      </c>
      <c r="CJ532" s="56">
        <f>($AQ532-$AQ533)*100</f>
        <v/>
      </c>
      <c r="CK532" s="56">
        <f>($AR532-$AR533)*100</f>
        <v/>
      </c>
      <c r="CL532" s="56">
        <f>($AS532-$AS533)*100</f>
        <v/>
      </c>
      <c r="CM532" s="56">
        <f>($AT532-$AT533)*100</f>
        <v/>
      </c>
      <c r="CN532" s="56">
        <f>($AU532-$AU533)*100</f>
        <v/>
      </c>
      <c r="CO532" s="56">
        <f>($AV532-$AV533)*100</f>
        <v/>
      </c>
      <c r="CP532" s="56">
        <f>($AW532-$AW533)*100</f>
        <v/>
      </c>
      <c r="CQ532" s="56">
        <f>($AX532-$AX533)*100</f>
        <v/>
      </c>
      <c r="CR532" s="56">
        <f>($AY532-$AY533)*100</f>
        <v/>
      </c>
      <c r="CS532" s="57">
        <f>IFERROR($L533/$L532-1,"")</f>
        <v/>
      </c>
      <c r="CT532" s="57">
        <f>IFERROR($M533/$M532-1,"")</f>
        <v/>
      </c>
      <c r="CU532" s="57">
        <f>IFERROR($N533/$N532-1,"")</f>
        <v/>
      </c>
      <c r="CV532" s="57">
        <f>IFERROR($O533/$O532-1,"")</f>
        <v/>
      </c>
      <c r="CW532" s="57">
        <f>IFERROR($P533/$P532-1,"")</f>
        <v/>
      </c>
      <c r="CX532" s="57">
        <f>IFERROR($Q533/$Q532-1,"")</f>
        <v/>
      </c>
      <c r="CY532" s="57">
        <f>IFERROR($R533/$R532-1,"")</f>
        <v/>
      </c>
      <c r="CZ532" s="57">
        <f>IFERROR($S533/$S532-1,"")</f>
        <v/>
      </c>
      <c r="DA532" s="57">
        <f>IFERROR($T533/$T532-1,"")</f>
        <v/>
      </c>
      <c r="DB532" s="57">
        <f>IFERROR($U533/$U532-1,"")</f>
        <v/>
      </c>
      <c r="DC532" s="57">
        <f>IFERROR($V533/$V532-1,"")</f>
        <v/>
      </c>
      <c r="DD532" s="57">
        <f>IFERROR($W533/$W532-1,"")</f>
        <v/>
      </c>
      <c r="DE532" s="57">
        <f>IFERROR($X533/$X532-1,"")</f>
        <v/>
      </c>
      <c r="DF532" s="57">
        <f>IFERROR($Y533/$Y532-1,"")</f>
        <v/>
      </c>
      <c r="DG532" s="57">
        <f>IFERROR($Z533/$Z532-1,"")</f>
        <v/>
      </c>
      <c r="DH532" s="57">
        <f>IFERROR($AA533/$AA532-1,"")</f>
        <v/>
      </c>
      <c r="DI532" s="57">
        <f>IFERROR($AB533/$AB532-1,"")</f>
        <v/>
      </c>
      <c r="DJ532" s="57">
        <f>IFERROR($AC533/$AC532-1,"")</f>
        <v/>
      </c>
      <c r="DK532" s="57">
        <f>IFERROR($AD533/$AD532-1,"")</f>
        <v/>
      </c>
      <c r="DL532" s="57">
        <f>IFERROR($AE533/$AE532-1,"")</f>
        <v/>
      </c>
      <c r="DM532" s="56">
        <f>$AZ532-$AZ533</f>
        <v/>
      </c>
      <c r="DN532" s="56">
        <f>$BA532-$BA533</f>
        <v/>
      </c>
      <c r="DO532" s="56">
        <f>$BB532-$BB533</f>
        <v/>
      </c>
      <c r="DP532" s="56">
        <f>$BC532-$BC533</f>
        <v/>
      </c>
      <c r="DQ532" s="56">
        <f>$BD532-$BD533</f>
        <v/>
      </c>
      <c r="DR532" s="56">
        <f>$BE532-$BE533</f>
        <v/>
      </c>
      <c r="DS532" s="56">
        <f>$BF532-$BF533</f>
        <v/>
      </c>
      <c r="DT532" s="56">
        <f>$BG532-$BG533</f>
        <v/>
      </c>
      <c r="DU532" s="56">
        <f>$BH532-$BH533</f>
        <v/>
      </c>
      <c r="DV532" s="56">
        <f>$BI532-$BI533</f>
        <v/>
      </c>
      <c r="DW532" s="56">
        <f>$BJ532-$BJ533</f>
        <v/>
      </c>
      <c r="DX532" s="56">
        <f>$BK532-$BK533</f>
        <v/>
      </c>
      <c r="DY532" s="56">
        <f>$BL532-$BL533</f>
        <v/>
      </c>
      <c r="DZ532" s="56">
        <f>$BM532-$BM533</f>
        <v/>
      </c>
      <c r="EA532" s="56">
        <f>$BN532-$BN533</f>
        <v/>
      </c>
      <c r="EB532" s="56">
        <f>$BO532-$BO533</f>
        <v/>
      </c>
      <c r="EC532" s="56">
        <f>$BP532-$BP533</f>
        <v/>
      </c>
      <c r="ED532" s="56">
        <f>$BQ532-$BQ533</f>
        <v/>
      </c>
      <c r="EE532" s="56">
        <f>$BR532-$BR533</f>
        <v/>
      </c>
      <c r="EF532" s="56">
        <f>$BS532-$BS533</f>
        <v/>
      </c>
      <c r="EG532" s="56">
        <f>$BT532-$BT533</f>
        <v/>
      </c>
      <c r="EH532" s="56">
        <f>$BU532-$BU533</f>
        <v/>
      </c>
    </row>
    <row r="533">
      <c r="BV533" s="56">
        <f>($D533-$D534)*100</f>
        <v/>
      </c>
      <c r="BW533" s="56">
        <f>($C533-$C534)*100</f>
        <v/>
      </c>
      <c r="BX533" s="57">
        <f>IFERROR($I533/$I534-1,"")</f>
        <v/>
      </c>
      <c r="BY533" s="56">
        <f>($AF533-$AF534)*100</f>
        <v/>
      </c>
      <c r="BZ533" s="56">
        <f>($AG533-$AG534)*100</f>
        <v/>
      </c>
      <c r="CA533" s="56">
        <f>($AH533-$AH534)*100</f>
        <v/>
      </c>
      <c r="CB533" s="56">
        <f>($AI533-$AI534)*100</f>
        <v/>
      </c>
      <c r="CC533" s="56">
        <f>($AJ533-$AJ534)*100</f>
        <v/>
      </c>
      <c r="CD533" s="56">
        <f>($AK533-$AK534)*100</f>
        <v/>
      </c>
      <c r="CE533" s="56">
        <f>($AL533-$AL534)*100</f>
        <v/>
      </c>
      <c r="CF533" s="56">
        <f>($AM533-$AM534)*100</f>
        <v/>
      </c>
      <c r="CG533" s="56">
        <f>($AN533-$AN534)*100</f>
        <v/>
      </c>
      <c r="CH533" s="56">
        <f>($AO533-$AO534)*100</f>
        <v/>
      </c>
      <c r="CI533" s="56">
        <f>($AP533-$AP534)*100</f>
        <v/>
      </c>
      <c r="CJ533" s="56">
        <f>($AQ533-$AQ534)*100</f>
        <v/>
      </c>
      <c r="CK533" s="56">
        <f>($AR533-$AR534)*100</f>
        <v/>
      </c>
      <c r="CL533" s="56">
        <f>($AS533-$AS534)*100</f>
        <v/>
      </c>
      <c r="CM533" s="56">
        <f>($AT533-$AT534)*100</f>
        <v/>
      </c>
      <c r="CN533" s="56">
        <f>($AU533-$AU534)*100</f>
        <v/>
      </c>
      <c r="CO533" s="56">
        <f>($AV533-$AV534)*100</f>
        <v/>
      </c>
      <c r="CP533" s="56">
        <f>($AW533-$AW534)*100</f>
        <v/>
      </c>
      <c r="CQ533" s="56">
        <f>($AX533-$AX534)*100</f>
        <v/>
      </c>
      <c r="CR533" s="56">
        <f>($AY533-$AY534)*100</f>
        <v/>
      </c>
      <c r="CS533" s="57">
        <f>IFERROR($L534/$L533-1,"")</f>
        <v/>
      </c>
      <c r="CT533" s="57">
        <f>IFERROR($M534/$M533-1,"")</f>
        <v/>
      </c>
      <c r="CU533" s="57">
        <f>IFERROR($N534/$N533-1,"")</f>
        <v/>
      </c>
      <c r="CV533" s="57">
        <f>IFERROR($O534/$O533-1,"")</f>
        <v/>
      </c>
      <c r="CW533" s="57">
        <f>IFERROR($P534/$P533-1,"")</f>
        <v/>
      </c>
      <c r="CX533" s="57">
        <f>IFERROR($Q534/$Q533-1,"")</f>
        <v/>
      </c>
      <c r="CY533" s="57">
        <f>IFERROR($R534/$R533-1,"")</f>
        <v/>
      </c>
      <c r="CZ533" s="57">
        <f>IFERROR($S534/$S533-1,"")</f>
        <v/>
      </c>
      <c r="DA533" s="57">
        <f>IFERROR($T534/$T533-1,"")</f>
        <v/>
      </c>
      <c r="DB533" s="57">
        <f>IFERROR($U534/$U533-1,"")</f>
        <v/>
      </c>
      <c r="DC533" s="57">
        <f>IFERROR($V534/$V533-1,"")</f>
        <v/>
      </c>
      <c r="DD533" s="57">
        <f>IFERROR($W534/$W533-1,"")</f>
        <v/>
      </c>
      <c r="DE533" s="57">
        <f>IFERROR($X534/$X533-1,"")</f>
        <v/>
      </c>
      <c r="DF533" s="57">
        <f>IFERROR($Y534/$Y533-1,"")</f>
        <v/>
      </c>
      <c r="DG533" s="57">
        <f>IFERROR($Z534/$Z533-1,"")</f>
        <v/>
      </c>
      <c r="DH533" s="57">
        <f>IFERROR($AA534/$AA533-1,"")</f>
        <v/>
      </c>
      <c r="DI533" s="57">
        <f>IFERROR($AB534/$AB533-1,"")</f>
        <v/>
      </c>
      <c r="DJ533" s="57">
        <f>IFERROR($AC534/$AC533-1,"")</f>
        <v/>
      </c>
      <c r="DK533" s="57">
        <f>IFERROR($AD534/$AD533-1,"")</f>
        <v/>
      </c>
      <c r="DL533" s="57">
        <f>IFERROR($AE534/$AE533-1,"")</f>
        <v/>
      </c>
      <c r="DM533" s="56">
        <f>$AZ533-$AZ534</f>
        <v/>
      </c>
      <c r="DN533" s="56">
        <f>$BA533-$BA534</f>
        <v/>
      </c>
      <c r="DO533" s="56">
        <f>$BB533-$BB534</f>
        <v/>
      </c>
      <c r="DP533" s="56">
        <f>$BC533-$BC534</f>
        <v/>
      </c>
      <c r="DQ533" s="56">
        <f>$BD533-$BD534</f>
        <v/>
      </c>
      <c r="DR533" s="56">
        <f>$BE533-$BE534</f>
        <v/>
      </c>
      <c r="DS533" s="56">
        <f>$BF533-$BF534</f>
        <v/>
      </c>
      <c r="DT533" s="56">
        <f>$BG533-$BG534</f>
        <v/>
      </c>
      <c r="DU533" s="56">
        <f>$BH533-$BH534</f>
        <v/>
      </c>
      <c r="DV533" s="56">
        <f>$BI533-$BI534</f>
        <v/>
      </c>
      <c r="DW533" s="56">
        <f>$BJ533-$BJ534</f>
        <v/>
      </c>
      <c r="DX533" s="56">
        <f>$BK533-$BK534</f>
        <v/>
      </c>
      <c r="DY533" s="56">
        <f>$BL533-$BL534</f>
        <v/>
      </c>
      <c r="DZ533" s="56">
        <f>$BM533-$BM534</f>
        <v/>
      </c>
      <c r="EA533" s="56">
        <f>$BN533-$BN534</f>
        <v/>
      </c>
      <c r="EB533" s="56">
        <f>$BO533-$BO534</f>
        <v/>
      </c>
      <c r="EC533" s="56">
        <f>$BP533-$BP534</f>
        <v/>
      </c>
      <c r="ED533" s="56">
        <f>$BQ533-$BQ534</f>
        <v/>
      </c>
      <c r="EE533" s="56">
        <f>$BR533-$BR534</f>
        <v/>
      </c>
      <c r="EF533" s="56">
        <f>$BS533-$BS534</f>
        <v/>
      </c>
      <c r="EG533" s="56">
        <f>$BT533-$BT534</f>
        <v/>
      </c>
      <c r="EH533" s="56">
        <f>$BU533-$BU534</f>
        <v/>
      </c>
    </row>
    <row r="534">
      <c r="BV534" s="56">
        <f>($D534-$D535)*100</f>
        <v/>
      </c>
      <c r="BW534" s="56">
        <f>($C534-$C535)*100</f>
        <v/>
      </c>
      <c r="BX534" s="57">
        <f>IFERROR($I534/$I535-1,"")</f>
        <v/>
      </c>
      <c r="BY534" s="56">
        <f>($AF534-$AF535)*100</f>
        <v/>
      </c>
      <c r="BZ534" s="56">
        <f>($AG534-$AG535)*100</f>
        <v/>
      </c>
      <c r="CA534" s="56">
        <f>($AH534-$AH535)*100</f>
        <v/>
      </c>
      <c r="CB534" s="56">
        <f>($AI534-$AI535)*100</f>
        <v/>
      </c>
      <c r="CC534" s="56">
        <f>($AJ534-$AJ535)*100</f>
        <v/>
      </c>
      <c r="CD534" s="56">
        <f>($AK534-$AK535)*100</f>
        <v/>
      </c>
      <c r="CE534" s="56">
        <f>($AL534-$AL535)*100</f>
        <v/>
      </c>
      <c r="CF534" s="56">
        <f>($AM534-$AM535)*100</f>
        <v/>
      </c>
      <c r="CG534" s="56">
        <f>($AN534-$AN535)*100</f>
        <v/>
      </c>
      <c r="CH534" s="56">
        <f>($AO534-$AO535)*100</f>
        <v/>
      </c>
      <c r="CI534" s="56">
        <f>($AP534-$AP535)*100</f>
        <v/>
      </c>
      <c r="CJ534" s="56">
        <f>($AQ534-$AQ535)*100</f>
        <v/>
      </c>
      <c r="CK534" s="56">
        <f>($AR534-$AR535)*100</f>
        <v/>
      </c>
      <c r="CL534" s="56">
        <f>($AS534-$AS535)*100</f>
        <v/>
      </c>
      <c r="CM534" s="56">
        <f>($AT534-$AT535)*100</f>
        <v/>
      </c>
      <c r="CN534" s="56">
        <f>($AU534-$AU535)*100</f>
        <v/>
      </c>
      <c r="CO534" s="56">
        <f>($AV534-$AV535)*100</f>
        <v/>
      </c>
      <c r="CP534" s="56">
        <f>($AW534-$AW535)*100</f>
        <v/>
      </c>
      <c r="CQ534" s="56">
        <f>($AX534-$AX535)*100</f>
        <v/>
      </c>
      <c r="CR534" s="56">
        <f>($AY534-$AY535)*100</f>
        <v/>
      </c>
      <c r="CS534" s="57">
        <f>IFERROR($L535/$L534-1,"")</f>
        <v/>
      </c>
      <c r="CT534" s="57">
        <f>IFERROR($M535/$M534-1,"")</f>
        <v/>
      </c>
      <c r="CU534" s="57">
        <f>IFERROR($N535/$N534-1,"")</f>
        <v/>
      </c>
      <c r="CV534" s="57">
        <f>IFERROR($O535/$O534-1,"")</f>
        <v/>
      </c>
      <c r="CW534" s="57">
        <f>IFERROR($P535/$P534-1,"")</f>
        <v/>
      </c>
      <c r="CX534" s="57">
        <f>IFERROR($Q535/$Q534-1,"")</f>
        <v/>
      </c>
      <c r="CY534" s="57">
        <f>IFERROR($R535/$R534-1,"")</f>
        <v/>
      </c>
      <c r="CZ534" s="57">
        <f>IFERROR($S535/$S534-1,"")</f>
        <v/>
      </c>
      <c r="DA534" s="57">
        <f>IFERROR($T535/$T534-1,"")</f>
        <v/>
      </c>
      <c r="DB534" s="57">
        <f>IFERROR($U535/$U534-1,"")</f>
        <v/>
      </c>
      <c r="DC534" s="57">
        <f>IFERROR($V535/$V534-1,"")</f>
        <v/>
      </c>
      <c r="DD534" s="57">
        <f>IFERROR($W535/$W534-1,"")</f>
        <v/>
      </c>
      <c r="DE534" s="57">
        <f>IFERROR($X535/$X534-1,"")</f>
        <v/>
      </c>
      <c r="DF534" s="57">
        <f>IFERROR($Y535/$Y534-1,"")</f>
        <v/>
      </c>
      <c r="DG534" s="57">
        <f>IFERROR($Z535/$Z534-1,"")</f>
        <v/>
      </c>
      <c r="DH534" s="57">
        <f>IFERROR($AA535/$AA534-1,"")</f>
        <v/>
      </c>
      <c r="DI534" s="57">
        <f>IFERROR($AB535/$AB534-1,"")</f>
        <v/>
      </c>
      <c r="DJ534" s="57">
        <f>IFERROR($AC535/$AC534-1,"")</f>
        <v/>
      </c>
      <c r="DK534" s="57">
        <f>IFERROR($AD535/$AD534-1,"")</f>
        <v/>
      </c>
      <c r="DL534" s="57">
        <f>IFERROR($AE535/$AE534-1,"")</f>
        <v/>
      </c>
      <c r="DM534" s="56">
        <f>$AZ534-$AZ535</f>
        <v/>
      </c>
      <c r="DN534" s="56">
        <f>$BA534-$BA535</f>
        <v/>
      </c>
      <c r="DO534" s="56">
        <f>$BB534-$BB535</f>
        <v/>
      </c>
      <c r="DP534" s="56">
        <f>$BC534-$BC535</f>
        <v/>
      </c>
      <c r="DQ534" s="56">
        <f>$BD534-$BD535</f>
        <v/>
      </c>
      <c r="DR534" s="56">
        <f>$BE534-$BE535</f>
        <v/>
      </c>
      <c r="DS534" s="56">
        <f>$BF534-$BF535</f>
        <v/>
      </c>
      <c r="DT534" s="56">
        <f>$BG534-$BG535</f>
        <v/>
      </c>
      <c r="DU534" s="56">
        <f>$BH534-$BH535</f>
        <v/>
      </c>
      <c r="DV534" s="56">
        <f>$BI534-$BI535</f>
        <v/>
      </c>
      <c r="DW534" s="56">
        <f>$BJ534-$BJ535</f>
        <v/>
      </c>
      <c r="DX534" s="56">
        <f>$BK534-$BK535</f>
        <v/>
      </c>
      <c r="DY534" s="56">
        <f>$BL534-$BL535</f>
        <v/>
      </c>
      <c r="DZ534" s="56">
        <f>$BM534-$BM535</f>
        <v/>
      </c>
      <c r="EA534" s="56">
        <f>$BN534-$BN535</f>
        <v/>
      </c>
      <c r="EB534" s="56">
        <f>$BO534-$BO535</f>
        <v/>
      </c>
      <c r="EC534" s="56">
        <f>$BP534-$BP535</f>
        <v/>
      </c>
      <c r="ED534" s="56">
        <f>$BQ534-$BQ535</f>
        <v/>
      </c>
      <c r="EE534" s="56">
        <f>$BR534-$BR535</f>
        <v/>
      </c>
      <c r="EF534" s="56">
        <f>$BS534-$BS535</f>
        <v/>
      </c>
      <c r="EG534" s="56">
        <f>$BT534-$BT535</f>
        <v/>
      </c>
      <c r="EH534" s="56">
        <f>$BU534-$BU535</f>
        <v/>
      </c>
    </row>
    <row r="535">
      <c r="BV535" s="56">
        <f>($D535-$D536)*100</f>
        <v/>
      </c>
      <c r="BW535" s="56">
        <f>($C535-$C536)*100</f>
        <v/>
      </c>
      <c r="BX535" s="57">
        <f>IFERROR($I535/$I536-1,"")</f>
        <v/>
      </c>
      <c r="BY535" s="56">
        <f>($AF535-$AF536)*100</f>
        <v/>
      </c>
      <c r="BZ535" s="56">
        <f>($AG535-$AG536)*100</f>
        <v/>
      </c>
      <c r="CA535" s="56">
        <f>($AH535-$AH536)*100</f>
        <v/>
      </c>
      <c r="CB535" s="56">
        <f>($AI535-$AI536)*100</f>
        <v/>
      </c>
      <c r="CC535" s="56">
        <f>($AJ535-$AJ536)*100</f>
        <v/>
      </c>
      <c r="CD535" s="56">
        <f>($AK535-$AK536)*100</f>
        <v/>
      </c>
      <c r="CE535" s="56">
        <f>($AL535-$AL536)*100</f>
        <v/>
      </c>
      <c r="CF535" s="56">
        <f>($AM535-$AM536)*100</f>
        <v/>
      </c>
      <c r="CG535" s="56">
        <f>($AN535-$AN536)*100</f>
        <v/>
      </c>
      <c r="CH535" s="56">
        <f>($AO535-$AO536)*100</f>
        <v/>
      </c>
      <c r="CI535" s="56">
        <f>($AP535-$AP536)*100</f>
        <v/>
      </c>
      <c r="CJ535" s="56">
        <f>($AQ535-$AQ536)*100</f>
        <v/>
      </c>
      <c r="CK535" s="56">
        <f>($AR535-$AR536)*100</f>
        <v/>
      </c>
      <c r="CL535" s="56">
        <f>($AS535-$AS536)*100</f>
        <v/>
      </c>
      <c r="CM535" s="56">
        <f>($AT535-$AT536)*100</f>
        <v/>
      </c>
      <c r="CN535" s="56">
        <f>($AU535-$AU536)*100</f>
        <v/>
      </c>
      <c r="CO535" s="56">
        <f>($AV535-$AV536)*100</f>
        <v/>
      </c>
      <c r="CP535" s="56">
        <f>($AW535-$AW536)*100</f>
        <v/>
      </c>
      <c r="CQ535" s="56">
        <f>($AX535-$AX536)*100</f>
        <v/>
      </c>
      <c r="CR535" s="56">
        <f>($AY535-$AY536)*100</f>
        <v/>
      </c>
      <c r="CS535" s="57">
        <f>IFERROR($L536/$L535-1,"")</f>
        <v/>
      </c>
      <c r="CT535" s="57">
        <f>IFERROR($M536/$M535-1,"")</f>
        <v/>
      </c>
      <c r="CU535" s="57">
        <f>IFERROR($N536/$N535-1,"")</f>
        <v/>
      </c>
      <c r="CV535" s="57">
        <f>IFERROR($O536/$O535-1,"")</f>
        <v/>
      </c>
      <c r="CW535" s="57">
        <f>IFERROR($P536/$P535-1,"")</f>
        <v/>
      </c>
      <c r="CX535" s="57">
        <f>IFERROR($Q536/$Q535-1,"")</f>
        <v/>
      </c>
      <c r="CY535" s="57">
        <f>IFERROR($R536/$R535-1,"")</f>
        <v/>
      </c>
      <c r="CZ535" s="57">
        <f>IFERROR($S536/$S535-1,"")</f>
        <v/>
      </c>
      <c r="DA535" s="57">
        <f>IFERROR($T536/$T535-1,"")</f>
        <v/>
      </c>
      <c r="DB535" s="57">
        <f>IFERROR($U536/$U535-1,"")</f>
        <v/>
      </c>
      <c r="DC535" s="57">
        <f>IFERROR($V536/$V535-1,"")</f>
        <v/>
      </c>
      <c r="DD535" s="57">
        <f>IFERROR($W536/$W535-1,"")</f>
        <v/>
      </c>
      <c r="DE535" s="57">
        <f>IFERROR($X536/$X535-1,"")</f>
        <v/>
      </c>
      <c r="DF535" s="57">
        <f>IFERROR($Y536/$Y535-1,"")</f>
        <v/>
      </c>
      <c r="DG535" s="57">
        <f>IFERROR($Z536/$Z535-1,"")</f>
        <v/>
      </c>
      <c r="DH535" s="57">
        <f>IFERROR($AA536/$AA535-1,"")</f>
        <v/>
      </c>
      <c r="DI535" s="57">
        <f>IFERROR($AB536/$AB535-1,"")</f>
        <v/>
      </c>
      <c r="DJ535" s="57">
        <f>IFERROR($AC536/$AC535-1,"")</f>
        <v/>
      </c>
      <c r="DK535" s="57">
        <f>IFERROR($AD536/$AD535-1,"")</f>
        <v/>
      </c>
      <c r="DL535" s="57">
        <f>IFERROR($AE536/$AE535-1,"")</f>
        <v/>
      </c>
      <c r="DM535" s="56">
        <f>$AZ535-$AZ536</f>
        <v/>
      </c>
      <c r="DN535" s="56">
        <f>$BA535-$BA536</f>
        <v/>
      </c>
      <c r="DO535" s="56">
        <f>$BB535-$BB536</f>
        <v/>
      </c>
      <c r="DP535" s="56">
        <f>$BC535-$BC536</f>
        <v/>
      </c>
      <c r="DQ535" s="56">
        <f>$BD535-$BD536</f>
        <v/>
      </c>
      <c r="DR535" s="56">
        <f>$BE535-$BE536</f>
        <v/>
      </c>
      <c r="DS535" s="56">
        <f>$BF535-$BF536</f>
        <v/>
      </c>
      <c r="DT535" s="56">
        <f>$BG535-$BG536</f>
        <v/>
      </c>
      <c r="DU535" s="56">
        <f>$BH535-$BH536</f>
        <v/>
      </c>
      <c r="DV535" s="56">
        <f>$BI535-$BI536</f>
        <v/>
      </c>
      <c r="DW535" s="56">
        <f>$BJ535-$BJ536</f>
        <v/>
      </c>
      <c r="DX535" s="56">
        <f>$BK535-$BK536</f>
        <v/>
      </c>
      <c r="DY535" s="56">
        <f>$BL535-$BL536</f>
        <v/>
      </c>
      <c r="DZ535" s="56">
        <f>$BM535-$BM536</f>
        <v/>
      </c>
      <c r="EA535" s="56">
        <f>$BN535-$BN536</f>
        <v/>
      </c>
      <c r="EB535" s="56">
        <f>$BO535-$BO536</f>
        <v/>
      </c>
      <c r="EC535" s="56">
        <f>$BP535-$BP536</f>
        <v/>
      </c>
      <c r="ED535" s="56">
        <f>$BQ535-$BQ536</f>
        <v/>
      </c>
      <c r="EE535" s="56">
        <f>$BR535-$BR536</f>
        <v/>
      </c>
      <c r="EF535" s="56">
        <f>$BS535-$BS536</f>
        <v/>
      </c>
      <c r="EG535" s="56">
        <f>$BT535-$BT536</f>
        <v/>
      </c>
      <c r="EH535" s="56">
        <f>$BU535-$BU536</f>
        <v/>
      </c>
    </row>
    <row r="536">
      <c r="BV536" s="56">
        <f>($D536-$D537)*100</f>
        <v/>
      </c>
      <c r="BW536" s="56">
        <f>($C536-$C537)*100</f>
        <v/>
      </c>
      <c r="BX536" s="57">
        <f>IFERROR($I536/$I537-1,"")</f>
        <v/>
      </c>
      <c r="BY536" s="56">
        <f>($AF536-$AF537)*100</f>
        <v/>
      </c>
      <c r="BZ536" s="56">
        <f>($AG536-$AG537)*100</f>
        <v/>
      </c>
      <c r="CA536" s="56">
        <f>($AH536-$AH537)*100</f>
        <v/>
      </c>
      <c r="CB536" s="56">
        <f>($AI536-$AI537)*100</f>
        <v/>
      </c>
      <c r="CC536" s="56">
        <f>($AJ536-$AJ537)*100</f>
        <v/>
      </c>
      <c r="CD536" s="56">
        <f>($AK536-$AK537)*100</f>
        <v/>
      </c>
      <c r="CE536" s="56">
        <f>($AL536-$AL537)*100</f>
        <v/>
      </c>
      <c r="CF536" s="56">
        <f>($AM536-$AM537)*100</f>
        <v/>
      </c>
      <c r="CG536" s="56">
        <f>($AN536-$AN537)*100</f>
        <v/>
      </c>
      <c r="CH536" s="56">
        <f>($AO536-$AO537)*100</f>
        <v/>
      </c>
      <c r="CI536" s="56">
        <f>($AP536-$AP537)*100</f>
        <v/>
      </c>
      <c r="CJ536" s="56">
        <f>($AQ536-$AQ537)*100</f>
        <v/>
      </c>
      <c r="CK536" s="56">
        <f>($AR536-$AR537)*100</f>
        <v/>
      </c>
      <c r="CL536" s="56">
        <f>($AS536-$AS537)*100</f>
        <v/>
      </c>
      <c r="CM536" s="56">
        <f>($AT536-$AT537)*100</f>
        <v/>
      </c>
      <c r="CN536" s="56">
        <f>($AU536-$AU537)*100</f>
        <v/>
      </c>
      <c r="CO536" s="56">
        <f>($AV536-$AV537)*100</f>
        <v/>
      </c>
      <c r="CP536" s="56">
        <f>($AW536-$AW537)*100</f>
        <v/>
      </c>
      <c r="CQ536" s="56">
        <f>($AX536-$AX537)*100</f>
        <v/>
      </c>
      <c r="CR536" s="56">
        <f>($AY536-$AY537)*100</f>
        <v/>
      </c>
      <c r="CS536" s="57">
        <f>IFERROR($L537/$L536-1,"")</f>
        <v/>
      </c>
      <c r="CT536" s="57">
        <f>IFERROR($M537/$M536-1,"")</f>
        <v/>
      </c>
      <c r="CU536" s="57">
        <f>IFERROR($N537/$N536-1,"")</f>
        <v/>
      </c>
      <c r="CV536" s="57">
        <f>IFERROR($O537/$O536-1,"")</f>
        <v/>
      </c>
      <c r="CW536" s="57">
        <f>IFERROR($P537/$P536-1,"")</f>
        <v/>
      </c>
      <c r="CX536" s="57">
        <f>IFERROR($Q537/$Q536-1,"")</f>
        <v/>
      </c>
      <c r="CY536" s="57">
        <f>IFERROR($R537/$R536-1,"")</f>
        <v/>
      </c>
      <c r="CZ536" s="57">
        <f>IFERROR($S537/$S536-1,"")</f>
        <v/>
      </c>
      <c r="DA536" s="57">
        <f>IFERROR($T537/$T536-1,"")</f>
        <v/>
      </c>
      <c r="DB536" s="57">
        <f>IFERROR($U537/$U536-1,"")</f>
        <v/>
      </c>
      <c r="DC536" s="57">
        <f>IFERROR($V537/$V536-1,"")</f>
        <v/>
      </c>
      <c r="DD536" s="57">
        <f>IFERROR($W537/$W536-1,"")</f>
        <v/>
      </c>
      <c r="DE536" s="57">
        <f>IFERROR($X537/$X536-1,"")</f>
        <v/>
      </c>
      <c r="DF536" s="57">
        <f>IFERROR($Y537/$Y536-1,"")</f>
        <v/>
      </c>
      <c r="DG536" s="57">
        <f>IFERROR($Z537/$Z536-1,"")</f>
        <v/>
      </c>
      <c r="DH536" s="57">
        <f>IFERROR($AA537/$AA536-1,"")</f>
        <v/>
      </c>
      <c r="DI536" s="57">
        <f>IFERROR($AB537/$AB536-1,"")</f>
        <v/>
      </c>
      <c r="DJ536" s="57">
        <f>IFERROR($AC537/$AC536-1,"")</f>
        <v/>
      </c>
      <c r="DK536" s="57">
        <f>IFERROR($AD537/$AD536-1,"")</f>
        <v/>
      </c>
      <c r="DL536" s="57">
        <f>IFERROR($AE537/$AE536-1,"")</f>
        <v/>
      </c>
      <c r="DM536" s="56">
        <f>$AZ536-$AZ537</f>
        <v/>
      </c>
      <c r="DN536" s="56">
        <f>$BA536-$BA537</f>
        <v/>
      </c>
      <c r="DO536" s="56">
        <f>$BB536-$BB537</f>
        <v/>
      </c>
      <c r="DP536" s="56">
        <f>$BC536-$BC537</f>
        <v/>
      </c>
      <c r="DQ536" s="56">
        <f>$BD536-$BD537</f>
        <v/>
      </c>
      <c r="DR536" s="56">
        <f>$BE536-$BE537</f>
        <v/>
      </c>
      <c r="DS536" s="56">
        <f>$BF536-$BF537</f>
        <v/>
      </c>
      <c r="DT536" s="56">
        <f>$BG536-$BG537</f>
        <v/>
      </c>
      <c r="DU536" s="56">
        <f>$BH536-$BH537</f>
        <v/>
      </c>
      <c r="DV536" s="56">
        <f>$BI536-$BI537</f>
        <v/>
      </c>
      <c r="DW536" s="56">
        <f>$BJ536-$BJ537</f>
        <v/>
      </c>
      <c r="DX536" s="56">
        <f>$BK536-$BK537</f>
        <v/>
      </c>
      <c r="DY536" s="56">
        <f>$BL536-$BL537</f>
        <v/>
      </c>
      <c r="DZ536" s="56">
        <f>$BM536-$BM537</f>
        <v/>
      </c>
      <c r="EA536" s="56">
        <f>$BN536-$BN537</f>
        <v/>
      </c>
      <c r="EB536" s="56">
        <f>$BO536-$BO537</f>
        <v/>
      </c>
      <c r="EC536" s="56">
        <f>$BP536-$BP537</f>
        <v/>
      </c>
      <c r="ED536" s="56">
        <f>$BQ536-$BQ537</f>
        <v/>
      </c>
      <c r="EE536" s="56">
        <f>$BR536-$BR537</f>
        <v/>
      </c>
      <c r="EF536" s="56">
        <f>$BS536-$BS537</f>
        <v/>
      </c>
      <c r="EG536" s="56">
        <f>$BT536-$BT537</f>
        <v/>
      </c>
      <c r="EH536" s="56">
        <f>$BU536-$BU537</f>
        <v/>
      </c>
    </row>
    <row r="537">
      <c r="BV537" s="56">
        <f>($D537-$D538)*100</f>
        <v/>
      </c>
      <c r="BW537" s="56">
        <f>($C537-$C538)*100</f>
        <v/>
      </c>
      <c r="BX537" s="57">
        <f>IFERROR($I537/$I538-1,"")</f>
        <v/>
      </c>
      <c r="BY537" s="56">
        <f>($AF537-$AF538)*100</f>
        <v/>
      </c>
      <c r="BZ537" s="56">
        <f>($AG537-$AG538)*100</f>
        <v/>
      </c>
      <c r="CA537" s="56">
        <f>($AH537-$AH538)*100</f>
        <v/>
      </c>
      <c r="CB537" s="56">
        <f>($AI537-$AI538)*100</f>
        <v/>
      </c>
      <c r="CC537" s="56">
        <f>($AJ537-$AJ538)*100</f>
        <v/>
      </c>
      <c r="CD537" s="56">
        <f>($AK537-$AK538)*100</f>
        <v/>
      </c>
      <c r="CE537" s="56">
        <f>($AL537-$AL538)*100</f>
        <v/>
      </c>
      <c r="CF537" s="56">
        <f>($AM537-$AM538)*100</f>
        <v/>
      </c>
      <c r="CG537" s="56">
        <f>($AN537-$AN538)*100</f>
        <v/>
      </c>
      <c r="CH537" s="56">
        <f>($AO537-$AO538)*100</f>
        <v/>
      </c>
      <c r="CI537" s="56">
        <f>($AP537-$AP538)*100</f>
        <v/>
      </c>
      <c r="CJ537" s="56">
        <f>($AQ537-$AQ538)*100</f>
        <v/>
      </c>
      <c r="CK537" s="56">
        <f>($AR537-$AR538)*100</f>
        <v/>
      </c>
      <c r="CL537" s="56">
        <f>($AS537-$AS538)*100</f>
        <v/>
      </c>
      <c r="CM537" s="56">
        <f>($AT537-$AT538)*100</f>
        <v/>
      </c>
      <c r="CN537" s="56">
        <f>($AU537-$AU538)*100</f>
        <v/>
      </c>
      <c r="CO537" s="56">
        <f>($AV537-$AV538)*100</f>
        <v/>
      </c>
      <c r="CP537" s="56">
        <f>($AW537-$AW538)*100</f>
        <v/>
      </c>
      <c r="CQ537" s="56">
        <f>($AX537-$AX538)*100</f>
        <v/>
      </c>
      <c r="CR537" s="56">
        <f>($AY537-$AY538)*100</f>
        <v/>
      </c>
      <c r="CS537" s="57">
        <f>IFERROR($L538/$L537-1,"")</f>
        <v/>
      </c>
      <c r="CT537" s="57">
        <f>IFERROR($M538/$M537-1,"")</f>
        <v/>
      </c>
      <c r="CU537" s="57">
        <f>IFERROR($N538/$N537-1,"")</f>
        <v/>
      </c>
      <c r="CV537" s="57">
        <f>IFERROR($O538/$O537-1,"")</f>
        <v/>
      </c>
      <c r="CW537" s="57">
        <f>IFERROR($P538/$P537-1,"")</f>
        <v/>
      </c>
      <c r="CX537" s="57">
        <f>IFERROR($Q538/$Q537-1,"")</f>
        <v/>
      </c>
      <c r="CY537" s="57">
        <f>IFERROR($R538/$R537-1,"")</f>
        <v/>
      </c>
      <c r="CZ537" s="57">
        <f>IFERROR($S538/$S537-1,"")</f>
        <v/>
      </c>
      <c r="DA537" s="57">
        <f>IFERROR($T538/$T537-1,"")</f>
        <v/>
      </c>
      <c r="DB537" s="57">
        <f>IFERROR($U538/$U537-1,"")</f>
        <v/>
      </c>
      <c r="DC537" s="57">
        <f>IFERROR($V538/$V537-1,"")</f>
        <v/>
      </c>
      <c r="DD537" s="57">
        <f>IFERROR($W538/$W537-1,"")</f>
        <v/>
      </c>
      <c r="DE537" s="57">
        <f>IFERROR($X538/$X537-1,"")</f>
        <v/>
      </c>
      <c r="DF537" s="57">
        <f>IFERROR($Y538/$Y537-1,"")</f>
        <v/>
      </c>
      <c r="DG537" s="57">
        <f>IFERROR($Z538/$Z537-1,"")</f>
        <v/>
      </c>
      <c r="DH537" s="57">
        <f>IFERROR($AA538/$AA537-1,"")</f>
        <v/>
      </c>
      <c r="DI537" s="57">
        <f>IFERROR($AB538/$AB537-1,"")</f>
        <v/>
      </c>
      <c r="DJ537" s="57">
        <f>IFERROR($AC538/$AC537-1,"")</f>
        <v/>
      </c>
      <c r="DK537" s="57">
        <f>IFERROR($AD538/$AD537-1,"")</f>
        <v/>
      </c>
      <c r="DL537" s="57">
        <f>IFERROR($AE538/$AE537-1,"")</f>
        <v/>
      </c>
      <c r="DM537" s="56">
        <f>$AZ537-$AZ538</f>
        <v/>
      </c>
      <c r="DN537" s="56">
        <f>$BA537-$BA538</f>
        <v/>
      </c>
      <c r="DO537" s="56">
        <f>$BB537-$BB538</f>
        <v/>
      </c>
      <c r="DP537" s="56">
        <f>$BC537-$BC538</f>
        <v/>
      </c>
      <c r="DQ537" s="56">
        <f>$BD537-$BD538</f>
        <v/>
      </c>
      <c r="DR537" s="56">
        <f>$BE537-$BE538</f>
        <v/>
      </c>
      <c r="DS537" s="56">
        <f>$BF537-$BF538</f>
        <v/>
      </c>
      <c r="DT537" s="56">
        <f>$BG537-$BG538</f>
        <v/>
      </c>
      <c r="DU537" s="56">
        <f>$BH537-$BH538</f>
        <v/>
      </c>
      <c r="DV537" s="56">
        <f>$BI537-$BI538</f>
        <v/>
      </c>
      <c r="DW537" s="56">
        <f>$BJ537-$BJ538</f>
        <v/>
      </c>
      <c r="DX537" s="56">
        <f>$BK537-$BK538</f>
        <v/>
      </c>
      <c r="DY537" s="56">
        <f>$BL537-$BL538</f>
        <v/>
      </c>
      <c r="DZ537" s="56">
        <f>$BM537-$BM538</f>
        <v/>
      </c>
      <c r="EA537" s="56">
        <f>$BN537-$BN538</f>
        <v/>
      </c>
      <c r="EB537" s="56">
        <f>$BO537-$BO538</f>
        <v/>
      </c>
      <c r="EC537" s="56">
        <f>$BP537-$BP538</f>
        <v/>
      </c>
      <c r="ED537" s="56">
        <f>$BQ537-$BQ538</f>
        <v/>
      </c>
      <c r="EE537" s="56">
        <f>$BR537-$BR538</f>
        <v/>
      </c>
      <c r="EF537" s="56">
        <f>$BS537-$BS538</f>
        <v/>
      </c>
      <c r="EG537" s="56">
        <f>$BT537-$BT538</f>
        <v/>
      </c>
      <c r="EH537" s="56">
        <f>$BU537-$BU538</f>
        <v/>
      </c>
    </row>
    <row r="538">
      <c r="BV538" s="56">
        <f>($D538-$D539)*100</f>
        <v/>
      </c>
      <c r="BW538" s="56">
        <f>($C538-$C539)*100</f>
        <v/>
      </c>
      <c r="BX538" s="57">
        <f>IFERROR($I538/$I539-1,"")</f>
        <v/>
      </c>
      <c r="BY538" s="56">
        <f>($AF538-$AF539)*100</f>
        <v/>
      </c>
      <c r="BZ538" s="56">
        <f>($AG538-$AG539)*100</f>
        <v/>
      </c>
      <c r="CA538" s="56">
        <f>($AH538-$AH539)*100</f>
        <v/>
      </c>
      <c r="CB538" s="56">
        <f>($AI538-$AI539)*100</f>
        <v/>
      </c>
      <c r="CC538" s="56">
        <f>($AJ538-$AJ539)*100</f>
        <v/>
      </c>
      <c r="CD538" s="56">
        <f>($AK538-$AK539)*100</f>
        <v/>
      </c>
      <c r="CE538" s="56">
        <f>($AL538-$AL539)*100</f>
        <v/>
      </c>
      <c r="CF538" s="56">
        <f>($AM538-$AM539)*100</f>
        <v/>
      </c>
      <c r="CG538" s="56">
        <f>($AN538-$AN539)*100</f>
        <v/>
      </c>
      <c r="CH538" s="56">
        <f>($AO538-$AO539)*100</f>
        <v/>
      </c>
      <c r="CI538" s="56">
        <f>($AP538-$AP539)*100</f>
        <v/>
      </c>
      <c r="CJ538" s="56">
        <f>($AQ538-$AQ539)*100</f>
        <v/>
      </c>
      <c r="CK538" s="56">
        <f>($AR538-$AR539)*100</f>
        <v/>
      </c>
      <c r="CL538" s="56">
        <f>($AS538-$AS539)*100</f>
        <v/>
      </c>
      <c r="CM538" s="56">
        <f>($AT538-$AT539)*100</f>
        <v/>
      </c>
      <c r="CN538" s="56">
        <f>($AU538-$AU539)*100</f>
        <v/>
      </c>
      <c r="CO538" s="56">
        <f>($AV538-$AV539)*100</f>
        <v/>
      </c>
      <c r="CP538" s="56">
        <f>($AW538-$AW539)*100</f>
        <v/>
      </c>
      <c r="CQ538" s="56">
        <f>($AX538-$AX539)*100</f>
        <v/>
      </c>
      <c r="CR538" s="56">
        <f>($AY538-$AY539)*100</f>
        <v/>
      </c>
      <c r="CS538" s="57">
        <f>IFERROR($L539/$L538-1,"")</f>
        <v/>
      </c>
      <c r="CT538" s="57">
        <f>IFERROR($M539/$M538-1,"")</f>
        <v/>
      </c>
      <c r="CU538" s="57">
        <f>IFERROR($N539/$N538-1,"")</f>
        <v/>
      </c>
      <c r="CV538" s="57">
        <f>IFERROR($O539/$O538-1,"")</f>
        <v/>
      </c>
      <c r="CW538" s="57">
        <f>IFERROR($P539/$P538-1,"")</f>
        <v/>
      </c>
      <c r="CX538" s="57">
        <f>IFERROR($Q539/$Q538-1,"")</f>
        <v/>
      </c>
      <c r="CY538" s="57">
        <f>IFERROR($R539/$R538-1,"")</f>
        <v/>
      </c>
      <c r="CZ538" s="57">
        <f>IFERROR($S539/$S538-1,"")</f>
        <v/>
      </c>
      <c r="DA538" s="57">
        <f>IFERROR($T539/$T538-1,"")</f>
        <v/>
      </c>
      <c r="DB538" s="57">
        <f>IFERROR($U539/$U538-1,"")</f>
        <v/>
      </c>
      <c r="DC538" s="57">
        <f>IFERROR($V539/$V538-1,"")</f>
        <v/>
      </c>
      <c r="DD538" s="57">
        <f>IFERROR($W539/$W538-1,"")</f>
        <v/>
      </c>
      <c r="DE538" s="57">
        <f>IFERROR($X539/$X538-1,"")</f>
        <v/>
      </c>
      <c r="DF538" s="57">
        <f>IFERROR($Y539/$Y538-1,"")</f>
        <v/>
      </c>
      <c r="DG538" s="57">
        <f>IFERROR($Z539/$Z538-1,"")</f>
        <v/>
      </c>
      <c r="DH538" s="57">
        <f>IFERROR($AA539/$AA538-1,"")</f>
        <v/>
      </c>
      <c r="DI538" s="57">
        <f>IFERROR($AB539/$AB538-1,"")</f>
        <v/>
      </c>
      <c r="DJ538" s="57">
        <f>IFERROR($AC539/$AC538-1,"")</f>
        <v/>
      </c>
      <c r="DK538" s="57">
        <f>IFERROR($AD539/$AD538-1,"")</f>
        <v/>
      </c>
      <c r="DL538" s="57">
        <f>IFERROR($AE539/$AE538-1,"")</f>
        <v/>
      </c>
      <c r="DM538" s="56">
        <f>$AZ538-$AZ539</f>
        <v/>
      </c>
      <c r="DN538" s="56">
        <f>$BA538-$BA539</f>
        <v/>
      </c>
      <c r="DO538" s="56">
        <f>$BB538-$BB539</f>
        <v/>
      </c>
      <c r="DP538" s="56">
        <f>$BC538-$BC539</f>
        <v/>
      </c>
      <c r="DQ538" s="56">
        <f>$BD538-$BD539</f>
        <v/>
      </c>
      <c r="DR538" s="56">
        <f>$BE538-$BE539</f>
        <v/>
      </c>
      <c r="DS538" s="56">
        <f>$BF538-$BF539</f>
        <v/>
      </c>
      <c r="DT538" s="56">
        <f>$BG538-$BG539</f>
        <v/>
      </c>
      <c r="DU538" s="56">
        <f>$BH538-$BH539</f>
        <v/>
      </c>
      <c r="DV538" s="56">
        <f>$BI538-$BI539</f>
        <v/>
      </c>
      <c r="DW538" s="56">
        <f>$BJ538-$BJ539</f>
        <v/>
      </c>
      <c r="DX538" s="56">
        <f>$BK538-$BK539</f>
        <v/>
      </c>
      <c r="DY538" s="56">
        <f>$BL538-$BL539</f>
        <v/>
      </c>
      <c r="DZ538" s="56">
        <f>$BM538-$BM539</f>
        <v/>
      </c>
      <c r="EA538" s="56">
        <f>$BN538-$BN539</f>
        <v/>
      </c>
      <c r="EB538" s="56">
        <f>$BO538-$BO539</f>
        <v/>
      </c>
      <c r="EC538" s="56">
        <f>$BP538-$BP539</f>
        <v/>
      </c>
      <c r="ED538" s="56">
        <f>$BQ538-$BQ539</f>
        <v/>
      </c>
      <c r="EE538" s="56">
        <f>$BR538-$BR539</f>
        <v/>
      </c>
      <c r="EF538" s="56">
        <f>$BS538-$BS539</f>
        <v/>
      </c>
      <c r="EG538" s="56">
        <f>$BT538-$BT539</f>
        <v/>
      </c>
      <c r="EH538" s="56">
        <f>$BU538-$BU539</f>
        <v/>
      </c>
    </row>
    <row r="539">
      <c r="BV539" s="56">
        <f>($D539-$D540)*100</f>
        <v/>
      </c>
      <c r="BW539" s="56">
        <f>($C539-$C540)*100</f>
        <v/>
      </c>
      <c r="BX539" s="57">
        <f>IFERROR($I539/$I540-1,"")</f>
        <v/>
      </c>
      <c r="BY539" s="56">
        <f>($AF539-$AF540)*100</f>
        <v/>
      </c>
      <c r="BZ539" s="56">
        <f>($AG539-$AG540)*100</f>
        <v/>
      </c>
      <c r="CA539" s="56">
        <f>($AH539-$AH540)*100</f>
        <v/>
      </c>
      <c r="CB539" s="56">
        <f>($AI539-$AI540)*100</f>
        <v/>
      </c>
      <c r="CC539" s="56">
        <f>($AJ539-$AJ540)*100</f>
        <v/>
      </c>
      <c r="CD539" s="56">
        <f>($AK539-$AK540)*100</f>
        <v/>
      </c>
      <c r="CE539" s="56">
        <f>($AL539-$AL540)*100</f>
        <v/>
      </c>
      <c r="CF539" s="56">
        <f>($AM539-$AM540)*100</f>
        <v/>
      </c>
      <c r="CG539" s="56">
        <f>($AN539-$AN540)*100</f>
        <v/>
      </c>
      <c r="CH539" s="56">
        <f>($AO539-$AO540)*100</f>
        <v/>
      </c>
      <c r="CI539" s="56">
        <f>($AP539-$AP540)*100</f>
        <v/>
      </c>
      <c r="CJ539" s="56">
        <f>($AQ539-$AQ540)*100</f>
        <v/>
      </c>
      <c r="CK539" s="56">
        <f>($AR539-$AR540)*100</f>
        <v/>
      </c>
      <c r="CL539" s="56">
        <f>($AS539-$AS540)*100</f>
        <v/>
      </c>
      <c r="CM539" s="56">
        <f>($AT539-$AT540)*100</f>
        <v/>
      </c>
      <c r="CN539" s="56">
        <f>($AU539-$AU540)*100</f>
        <v/>
      </c>
      <c r="CO539" s="56">
        <f>($AV539-$AV540)*100</f>
        <v/>
      </c>
      <c r="CP539" s="56">
        <f>($AW539-$AW540)*100</f>
        <v/>
      </c>
      <c r="CQ539" s="56">
        <f>($AX539-$AX540)*100</f>
        <v/>
      </c>
      <c r="CR539" s="56">
        <f>($AY539-$AY540)*100</f>
        <v/>
      </c>
      <c r="CS539" s="57">
        <f>IFERROR($L540/$L539-1,"")</f>
        <v/>
      </c>
      <c r="CT539" s="57">
        <f>IFERROR($M540/$M539-1,"")</f>
        <v/>
      </c>
      <c r="CU539" s="57">
        <f>IFERROR($N540/$N539-1,"")</f>
        <v/>
      </c>
      <c r="CV539" s="57">
        <f>IFERROR($O540/$O539-1,"")</f>
        <v/>
      </c>
      <c r="CW539" s="57">
        <f>IFERROR($P540/$P539-1,"")</f>
        <v/>
      </c>
      <c r="CX539" s="57">
        <f>IFERROR($Q540/$Q539-1,"")</f>
        <v/>
      </c>
      <c r="CY539" s="57">
        <f>IFERROR($R540/$R539-1,"")</f>
        <v/>
      </c>
      <c r="CZ539" s="57">
        <f>IFERROR($S540/$S539-1,"")</f>
        <v/>
      </c>
      <c r="DA539" s="57">
        <f>IFERROR($T540/$T539-1,"")</f>
        <v/>
      </c>
      <c r="DB539" s="57">
        <f>IFERROR($U540/$U539-1,"")</f>
        <v/>
      </c>
      <c r="DC539" s="57">
        <f>IFERROR($V540/$V539-1,"")</f>
        <v/>
      </c>
      <c r="DD539" s="57">
        <f>IFERROR($W540/$W539-1,"")</f>
        <v/>
      </c>
      <c r="DE539" s="57">
        <f>IFERROR($X540/$X539-1,"")</f>
        <v/>
      </c>
      <c r="DF539" s="57">
        <f>IFERROR($Y540/$Y539-1,"")</f>
        <v/>
      </c>
      <c r="DG539" s="57">
        <f>IFERROR($Z540/$Z539-1,"")</f>
        <v/>
      </c>
      <c r="DH539" s="57">
        <f>IFERROR($AA540/$AA539-1,"")</f>
        <v/>
      </c>
      <c r="DI539" s="57">
        <f>IFERROR($AB540/$AB539-1,"")</f>
        <v/>
      </c>
      <c r="DJ539" s="57">
        <f>IFERROR($AC540/$AC539-1,"")</f>
        <v/>
      </c>
      <c r="DK539" s="57">
        <f>IFERROR($AD540/$AD539-1,"")</f>
        <v/>
      </c>
      <c r="DL539" s="57">
        <f>IFERROR($AE540/$AE539-1,"")</f>
        <v/>
      </c>
      <c r="DM539" s="56">
        <f>$AZ539-$AZ540</f>
        <v/>
      </c>
      <c r="DN539" s="56">
        <f>$BA539-$BA540</f>
        <v/>
      </c>
      <c r="DO539" s="56">
        <f>$BB539-$BB540</f>
        <v/>
      </c>
      <c r="DP539" s="56">
        <f>$BC539-$BC540</f>
        <v/>
      </c>
      <c r="DQ539" s="56">
        <f>$BD539-$BD540</f>
        <v/>
      </c>
      <c r="DR539" s="56">
        <f>$BE539-$BE540</f>
        <v/>
      </c>
      <c r="DS539" s="56">
        <f>$BF539-$BF540</f>
        <v/>
      </c>
      <c r="DT539" s="56">
        <f>$BG539-$BG540</f>
        <v/>
      </c>
      <c r="DU539" s="56">
        <f>$BH539-$BH540</f>
        <v/>
      </c>
      <c r="DV539" s="56">
        <f>$BI539-$BI540</f>
        <v/>
      </c>
      <c r="DW539" s="56">
        <f>$BJ539-$BJ540</f>
        <v/>
      </c>
      <c r="DX539" s="56">
        <f>$BK539-$BK540</f>
        <v/>
      </c>
      <c r="DY539" s="56">
        <f>$BL539-$BL540</f>
        <v/>
      </c>
      <c r="DZ539" s="56">
        <f>$BM539-$BM540</f>
        <v/>
      </c>
      <c r="EA539" s="56">
        <f>$BN539-$BN540</f>
        <v/>
      </c>
      <c r="EB539" s="56">
        <f>$BO539-$BO540</f>
        <v/>
      </c>
      <c r="EC539" s="56">
        <f>$BP539-$BP540</f>
        <v/>
      </c>
      <c r="ED539" s="56">
        <f>$BQ539-$BQ540</f>
        <v/>
      </c>
      <c r="EE539" s="56">
        <f>$BR539-$BR540</f>
        <v/>
      </c>
      <c r="EF539" s="56">
        <f>$BS539-$BS540</f>
        <v/>
      </c>
      <c r="EG539" s="56">
        <f>$BT539-$BT540</f>
        <v/>
      </c>
      <c r="EH539" s="56">
        <f>$BU539-$BU540</f>
        <v/>
      </c>
    </row>
    <row r="540">
      <c r="BV540" s="56">
        <f>($D540-$D541)*100</f>
        <v/>
      </c>
      <c r="BW540" s="56">
        <f>($C540-$C541)*100</f>
        <v/>
      </c>
      <c r="BX540" s="57">
        <f>IFERROR($I540/$I541-1,"")</f>
        <v/>
      </c>
      <c r="BY540" s="56">
        <f>($AF540-$AF541)*100</f>
        <v/>
      </c>
      <c r="BZ540" s="56">
        <f>($AG540-$AG541)*100</f>
        <v/>
      </c>
      <c r="CA540" s="56">
        <f>($AH540-$AH541)*100</f>
        <v/>
      </c>
      <c r="CB540" s="56">
        <f>($AI540-$AI541)*100</f>
        <v/>
      </c>
      <c r="CC540" s="56">
        <f>($AJ540-$AJ541)*100</f>
        <v/>
      </c>
      <c r="CD540" s="56">
        <f>($AK540-$AK541)*100</f>
        <v/>
      </c>
      <c r="CE540" s="56">
        <f>($AL540-$AL541)*100</f>
        <v/>
      </c>
      <c r="CF540" s="56">
        <f>($AM540-$AM541)*100</f>
        <v/>
      </c>
      <c r="CG540" s="56">
        <f>($AN540-$AN541)*100</f>
        <v/>
      </c>
      <c r="CH540" s="56">
        <f>($AO540-$AO541)*100</f>
        <v/>
      </c>
      <c r="CI540" s="56">
        <f>($AP540-$AP541)*100</f>
        <v/>
      </c>
      <c r="CJ540" s="56">
        <f>($AQ540-$AQ541)*100</f>
        <v/>
      </c>
      <c r="CK540" s="56">
        <f>($AR540-$AR541)*100</f>
        <v/>
      </c>
      <c r="CL540" s="56">
        <f>($AS540-$AS541)*100</f>
        <v/>
      </c>
      <c r="CM540" s="56">
        <f>($AT540-$AT541)*100</f>
        <v/>
      </c>
      <c r="CN540" s="56">
        <f>($AU540-$AU541)*100</f>
        <v/>
      </c>
      <c r="CO540" s="56">
        <f>($AV540-$AV541)*100</f>
        <v/>
      </c>
      <c r="CP540" s="56">
        <f>($AW540-$AW541)*100</f>
        <v/>
      </c>
      <c r="CQ540" s="56">
        <f>($AX540-$AX541)*100</f>
        <v/>
      </c>
      <c r="CR540" s="56">
        <f>($AY540-$AY541)*100</f>
        <v/>
      </c>
      <c r="CS540" s="57">
        <f>IFERROR($L541/$L540-1,"")</f>
        <v/>
      </c>
      <c r="CT540" s="57">
        <f>IFERROR($M541/$M540-1,"")</f>
        <v/>
      </c>
      <c r="CU540" s="57">
        <f>IFERROR($N541/$N540-1,"")</f>
        <v/>
      </c>
      <c r="CV540" s="57">
        <f>IFERROR($O541/$O540-1,"")</f>
        <v/>
      </c>
      <c r="CW540" s="57">
        <f>IFERROR($P541/$P540-1,"")</f>
        <v/>
      </c>
      <c r="CX540" s="57">
        <f>IFERROR($Q541/$Q540-1,"")</f>
        <v/>
      </c>
      <c r="CY540" s="57">
        <f>IFERROR($R541/$R540-1,"")</f>
        <v/>
      </c>
      <c r="CZ540" s="57">
        <f>IFERROR($S541/$S540-1,"")</f>
        <v/>
      </c>
      <c r="DA540" s="57">
        <f>IFERROR($T541/$T540-1,"")</f>
        <v/>
      </c>
      <c r="DB540" s="57">
        <f>IFERROR($U541/$U540-1,"")</f>
        <v/>
      </c>
      <c r="DC540" s="57">
        <f>IFERROR($V541/$V540-1,"")</f>
        <v/>
      </c>
      <c r="DD540" s="57">
        <f>IFERROR($W541/$W540-1,"")</f>
        <v/>
      </c>
      <c r="DE540" s="57">
        <f>IFERROR($X541/$X540-1,"")</f>
        <v/>
      </c>
      <c r="DF540" s="57">
        <f>IFERROR($Y541/$Y540-1,"")</f>
        <v/>
      </c>
      <c r="DG540" s="57">
        <f>IFERROR($Z541/$Z540-1,"")</f>
        <v/>
      </c>
      <c r="DH540" s="57">
        <f>IFERROR($AA541/$AA540-1,"")</f>
        <v/>
      </c>
      <c r="DI540" s="57">
        <f>IFERROR($AB541/$AB540-1,"")</f>
        <v/>
      </c>
      <c r="DJ540" s="57">
        <f>IFERROR($AC541/$AC540-1,"")</f>
        <v/>
      </c>
      <c r="DK540" s="57">
        <f>IFERROR($AD541/$AD540-1,"")</f>
        <v/>
      </c>
      <c r="DL540" s="57">
        <f>IFERROR($AE541/$AE540-1,"")</f>
        <v/>
      </c>
      <c r="DM540" s="56">
        <f>$AZ540-$AZ541</f>
        <v/>
      </c>
      <c r="DN540" s="56">
        <f>$BA540-$BA541</f>
        <v/>
      </c>
      <c r="DO540" s="56">
        <f>$BB540-$BB541</f>
        <v/>
      </c>
      <c r="DP540" s="56">
        <f>$BC540-$BC541</f>
        <v/>
      </c>
      <c r="DQ540" s="56">
        <f>$BD540-$BD541</f>
        <v/>
      </c>
      <c r="DR540" s="56">
        <f>$BE540-$BE541</f>
        <v/>
      </c>
      <c r="DS540" s="56">
        <f>$BF540-$BF541</f>
        <v/>
      </c>
      <c r="DT540" s="56">
        <f>$BG540-$BG541</f>
        <v/>
      </c>
      <c r="DU540" s="56">
        <f>$BH540-$BH541</f>
        <v/>
      </c>
      <c r="DV540" s="56">
        <f>$BI540-$BI541</f>
        <v/>
      </c>
      <c r="DW540" s="56">
        <f>$BJ540-$BJ541</f>
        <v/>
      </c>
      <c r="DX540" s="56">
        <f>$BK540-$BK541</f>
        <v/>
      </c>
      <c r="DY540" s="56">
        <f>$BL540-$BL541</f>
        <v/>
      </c>
      <c r="DZ540" s="56">
        <f>$BM540-$BM541</f>
        <v/>
      </c>
      <c r="EA540" s="56">
        <f>$BN540-$BN541</f>
        <v/>
      </c>
      <c r="EB540" s="56">
        <f>$BO540-$BO541</f>
        <v/>
      </c>
      <c r="EC540" s="56">
        <f>$BP540-$BP541</f>
        <v/>
      </c>
      <c r="ED540" s="56">
        <f>$BQ540-$BQ541</f>
        <v/>
      </c>
      <c r="EE540" s="56">
        <f>$BR540-$BR541</f>
        <v/>
      </c>
      <c r="EF540" s="56">
        <f>$BS540-$BS541</f>
        <v/>
      </c>
      <c r="EG540" s="56">
        <f>$BT540-$BT541</f>
        <v/>
      </c>
      <c r="EH540" s="56">
        <f>$BU540-$BU541</f>
        <v/>
      </c>
    </row>
    <row r="541">
      <c r="BV541" s="56">
        <f>($D541-$D542)*100</f>
        <v/>
      </c>
      <c r="BW541" s="56">
        <f>($C541-$C542)*100</f>
        <v/>
      </c>
      <c r="BX541" s="57">
        <f>IFERROR($I541/$I542-1,"")</f>
        <v/>
      </c>
      <c r="BY541" s="56">
        <f>($AF541-$AF542)*100</f>
        <v/>
      </c>
      <c r="BZ541" s="56">
        <f>($AG541-$AG542)*100</f>
        <v/>
      </c>
      <c r="CA541" s="56">
        <f>($AH541-$AH542)*100</f>
        <v/>
      </c>
      <c r="CB541" s="56">
        <f>($AI541-$AI542)*100</f>
        <v/>
      </c>
      <c r="CC541" s="56">
        <f>($AJ541-$AJ542)*100</f>
        <v/>
      </c>
      <c r="CD541" s="56">
        <f>($AK541-$AK542)*100</f>
        <v/>
      </c>
      <c r="CE541" s="56">
        <f>($AL541-$AL542)*100</f>
        <v/>
      </c>
      <c r="CF541" s="56">
        <f>($AM541-$AM542)*100</f>
        <v/>
      </c>
      <c r="CG541" s="56">
        <f>($AN541-$AN542)*100</f>
        <v/>
      </c>
      <c r="CH541" s="56">
        <f>($AO541-$AO542)*100</f>
        <v/>
      </c>
      <c r="CI541" s="56">
        <f>($AP541-$AP542)*100</f>
        <v/>
      </c>
      <c r="CJ541" s="56">
        <f>($AQ541-$AQ542)*100</f>
        <v/>
      </c>
      <c r="CK541" s="56">
        <f>($AR541-$AR542)*100</f>
        <v/>
      </c>
      <c r="CL541" s="56">
        <f>($AS541-$AS542)*100</f>
        <v/>
      </c>
      <c r="CM541" s="56">
        <f>($AT541-$AT542)*100</f>
        <v/>
      </c>
      <c r="CN541" s="56">
        <f>($AU541-$AU542)*100</f>
        <v/>
      </c>
      <c r="CO541" s="56">
        <f>($AV541-$AV542)*100</f>
        <v/>
      </c>
      <c r="CP541" s="56">
        <f>($AW541-$AW542)*100</f>
        <v/>
      </c>
      <c r="CQ541" s="56">
        <f>($AX541-$AX542)*100</f>
        <v/>
      </c>
      <c r="CR541" s="56">
        <f>($AY541-$AY542)*100</f>
        <v/>
      </c>
      <c r="CS541" s="57">
        <f>IFERROR($L542/$L541-1,"")</f>
        <v/>
      </c>
      <c r="CT541" s="57">
        <f>IFERROR($M542/$M541-1,"")</f>
        <v/>
      </c>
      <c r="CU541" s="57">
        <f>IFERROR($N542/$N541-1,"")</f>
        <v/>
      </c>
      <c r="CV541" s="57">
        <f>IFERROR($O542/$O541-1,"")</f>
        <v/>
      </c>
      <c r="CW541" s="57">
        <f>IFERROR($P542/$P541-1,"")</f>
        <v/>
      </c>
      <c r="CX541" s="57">
        <f>IFERROR($Q542/$Q541-1,"")</f>
        <v/>
      </c>
      <c r="CY541" s="57">
        <f>IFERROR($R542/$R541-1,"")</f>
        <v/>
      </c>
      <c r="CZ541" s="57">
        <f>IFERROR($S542/$S541-1,"")</f>
        <v/>
      </c>
      <c r="DA541" s="57">
        <f>IFERROR($T542/$T541-1,"")</f>
        <v/>
      </c>
      <c r="DB541" s="57">
        <f>IFERROR($U542/$U541-1,"")</f>
        <v/>
      </c>
      <c r="DC541" s="57">
        <f>IFERROR($V542/$V541-1,"")</f>
        <v/>
      </c>
      <c r="DD541" s="57">
        <f>IFERROR($W542/$W541-1,"")</f>
        <v/>
      </c>
      <c r="DE541" s="57">
        <f>IFERROR($X542/$X541-1,"")</f>
        <v/>
      </c>
      <c r="DF541" s="57">
        <f>IFERROR($Y542/$Y541-1,"")</f>
        <v/>
      </c>
      <c r="DG541" s="57">
        <f>IFERROR($Z542/$Z541-1,"")</f>
        <v/>
      </c>
      <c r="DH541" s="57">
        <f>IFERROR($AA542/$AA541-1,"")</f>
        <v/>
      </c>
      <c r="DI541" s="57">
        <f>IFERROR($AB542/$AB541-1,"")</f>
        <v/>
      </c>
      <c r="DJ541" s="57">
        <f>IFERROR($AC542/$AC541-1,"")</f>
        <v/>
      </c>
      <c r="DK541" s="57">
        <f>IFERROR($AD542/$AD541-1,"")</f>
        <v/>
      </c>
      <c r="DL541" s="57">
        <f>IFERROR($AE542/$AE541-1,"")</f>
        <v/>
      </c>
      <c r="DM541" s="56">
        <f>$AZ541-$AZ542</f>
        <v/>
      </c>
      <c r="DN541" s="56">
        <f>$BA541-$BA542</f>
        <v/>
      </c>
      <c r="DO541" s="56">
        <f>$BB541-$BB542</f>
        <v/>
      </c>
      <c r="DP541" s="56">
        <f>$BC541-$BC542</f>
        <v/>
      </c>
      <c r="DQ541" s="56">
        <f>$BD541-$BD542</f>
        <v/>
      </c>
      <c r="DR541" s="56">
        <f>$BE541-$BE542</f>
        <v/>
      </c>
      <c r="DS541" s="56">
        <f>$BF541-$BF542</f>
        <v/>
      </c>
      <c r="DT541" s="56">
        <f>$BG541-$BG542</f>
        <v/>
      </c>
      <c r="DU541" s="56">
        <f>$BH541-$BH542</f>
        <v/>
      </c>
      <c r="DV541" s="56">
        <f>$BI541-$BI542</f>
        <v/>
      </c>
      <c r="DW541" s="56">
        <f>$BJ541-$BJ542</f>
        <v/>
      </c>
      <c r="DX541" s="56">
        <f>$BK541-$BK542</f>
        <v/>
      </c>
      <c r="DY541" s="56">
        <f>$BL541-$BL542</f>
        <v/>
      </c>
      <c r="DZ541" s="56">
        <f>$BM541-$BM542</f>
        <v/>
      </c>
      <c r="EA541" s="56">
        <f>$BN541-$BN542</f>
        <v/>
      </c>
      <c r="EB541" s="56">
        <f>$BO541-$BO542</f>
        <v/>
      </c>
      <c r="EC541" s="56">
        <f>$BP541-$BP542</f>
        <v/>
      </c>
      <c r="ED541" s="56">
        <f>$BQ541-$BQ542</f>
        <v/>
      </c>
      <c r="EE541" s="56">
        <f>$BR541-$BR542</f>
        <v/>
      </c>
      <c r="EF541" s="56">
        <f>$BS541-$BS542</f>
        <v/>
      </c>
      <c r="EG541" s="56">
        <f>$BT541-$BT542</f>
        <v/>
      </c>
      <c r="EH541" s="56">
        <f>$BU541-$BU542</f>
        <v/>
      </c>
    </row>
    <row r="542">
      <c r="BV542" s="56">
        <f>($D542-$D543)*100</f>
        <v/>
      </c>
      <c r="BW542" s="56">
        <f>($C542-$C543)*100</f>
        <v/>
      </c>
      <c r="BX542" s="57">
        <f>IFERROR($I542/$I543-1,"")</f>
        <v/>
      </c>
      <c r="BY542" s="56">
        <f>($AF542-$AF543)*100</f>
        <v/>
      </c>
      <c r="BZ542" s="56">
        <f>($AG542-$AG543)*100</f>
        <v/>
      </c>
      <c r="CA542" s="56">
        <f>($AH542-$AH543)*100</f>
        <v/>
      </c>
      <c r="CB542" s="56">
        <f>($AI542-$AI543)*100</f>
        <v/>
      </c>
      <c r="CC542" s="56">
        <f>($AJ542-$AJ543)*100</f>
        <v/>
      </c>
      <c r="CD542" s="56">
        <f>($AK542-$AK543)*100</f>
        <v/>
      </c>
      <c r="CE542" s="56">
        <f>($AL542-$AL543)*100</f>
        <v/>
      </c>
      <c r="CF542" s="56">
        <f>($AM542-$AM543)*100</f>
        <v/>
      </c>
      <c r="CG542" s="56">
        <f>($AN542-$AN543)*100</f>
        <v/>
      </c>
      <c r="CH542" s="56">
        <f>($AO542-$AO543)*100</f>
        <v/>
      </c>
      <c r="CI542" s="56">
        <f>($AP542-$AP543)*100</f>
        <v/>
      </c>
      <c r="CJ542" s="56">
        <f>($AQ542-$AQ543)*100</f>
        <v/>
      </c>
      <c r="CK542" s="56">
        <f>($AR542-$AR543)*100</f>
        <v/>
      </c>
      <c r="CL542" s="56">
        <f>($AS542-$AS543)*100</f>
        <v/>
      </c>
      <c r="CM542" s="56">
        <f>($AT542-$AT543)*100</f>
        <v/>
      </c>
      <c r="CN542" s="56">
        <f>($AU542-$AU543)*100</f>
        <v/>
      </c>
      <c r="CO542" s="56">
        <f>($AV542-$AV543)*100</f>
        <v/>
      </c>
      <c r="CP542" s="56">
        <f>($AW542-$AW543)*100</f>
        <v/>
      </c>
      <c r="CQ542" s="56">
        <f>($AX542-$AX543)*100</f>
        <v/>
      </c>
      <c r="CR542" s="56">
        <f>($AY542-$AY543)*100</f>
        <v/>
      </c>
      <c r="CS542" s="57">
        <f>IFERROR($L543/$L542-1,"")</f>
        <v/>
      </c>
      <c r="CT542" s="57">
        <f>IFERROR($M543/$M542-1,"")</f>
        <v/>
      </c>
      <c r="CU542" s="57">
        <f>IFERROR($N543/$N542-1,"")</f>
        <v/>
      </c>
      <c r="CV542" s="57">
        <f>IFERROR($O543/$O542-1,"")</f>
        <v/>
      </c>
      <c r="CW542" s="57">
        <f>IFERROR($P543/$P542-1,"")</f>
        <v/>
      </c>
      <c r="CX542" s="57">
        <f>IFERROR($Q543/$Q542-1,"")</f>
        <v/>
      </c>
      <c r="CY542" s="57">
        <f>IFERROR($R543/$R542-1,"")</f>
        <v/>
      </c>
      <c r="CZ542" s="57">
        <f>IFERROR($S543/$S542-1,"")</f>
        <v/>
      </c>
      <c r="DA542" s="57">
        <f>IFERROR($T543/$T542-1,"")</f>
        <v/>
      </c>
      <c r="DB542" s="57">
        <f>IFERROR($U543/$U542-1,"")</f>
        <v/>
      </c>
      <c r="DC542" s="57">
        <f>IFERROR($V543/$V542-1,"")</f>
        <v/>
      </c>
      <c r="DD542" s="57">
        <f>IFERROR($W543/$W542-1,"")</f>
        <v/>
      </c>
      <c r="DE542" s="57">
        <f>IFERROR($X543/$X542-1,"")</f>
        <v/>
      </c>
      <c r="DF542" s="57">
        <f>IFERROR($Y543/$Y542-1,"")</f>
        <v/>
      </c>
      <c r="DG542" s="57">
        <f>IFERROR($Z543/$Z542-1,"")</f>
        <v/>
      </c>
      <c r="DH542" s="57">
        <f>IFERROR($AA543/$AA542-1,"")</f>
        <v/>
      </c>
      <c r="DI542" s="57">
        <f>IFERROR($AB543/$AB542-1,"")</f>
        <v/>
      </c>
      <c r="DJ542" s="57">
        <f>IFERROR($AC543/$AC542-1,"")</f>
        <v/>
      </c>
      <c r="DK542" s="57">
        <f>IFERROR($AD543/$AD542-1,"")</f>
        <v/>
      </c>
      <c r="DL542" s="57">
        <f>IFERROR($AE543/$AE542-1,"")</f>
        <v/>
      </c>
      <c r="DM542" s="56">
        <f>$AZ542-$AZ543</f>
        <v/>
      </c>
      <c r="DN542" s="56">
        <f>$BA542-$BA543</f>
        <v/>
      </c>
      <c r="DO542" s="56">
        <f>$BB542-$BB543</f>
        <v/>
      </c>
      <c r="DP542" s="56">
        <f>$BC542-$BC543</f>
        <v/>
      </c>
      <c r="DQ542" s="56">
        <f>$BD542-$BD543</f>
        <v/>
      </c>
      <c r="DR542" s="56">
        <f>$BE542-$BE543</f>
        <v/>
      </c>
      <c r="DS542" s="56">
        <f>$BF542-$BF543</f>
        <v/>
      </c>
      <c r="DT542" s="56">
        <f>$BG542-$BG543</f>
        <v/>
      </c>
      <c r="DU542" s="56">
        <f>$BH542-$BH543</f>
        <v/>
      </c>
      <c r="DV542" s="56">
        <f>$BI542-$BI543</f>
        <v/>
      </c>
      <c r="DW542" s="56">
        <f>$BJ542-$BJ543</f>
        <v/>
      </c>
      <c r="DX542" s="56">
        <f>$BK542-$BK543</f>
        <v/>
      </c>
      <c r="DY542" s="56">
        <f>$BL542-$BL543</f>
        <v/>
      </c>
      <c r="DZ542" s="56">
        <f>$BM542-$BM543</f>
        <v/>
      </c>
      <c r="EA542" s="56">
        <f>$BN542-$BN543</f>
        <v/>
      </c>
      <c r="EB542" s="56">
        <f>$BO542-$BO543</f>
        <v/>
      </c>
      <c r="EC542" s="56">
        <f>$BP542-$BP543</f>
        <v/>
      </c>
      <c r="ED542" s="56">
        <f>$BQ542-$BQ543</f>
        <v/>
      </c>
      <c r="EE542" s="56">
        <f>$BR542-$BR543</f>
        <v/>
      </c>
      <c r="EF542" s="56">
        <f>$BS542-$BS543</f>
        <v/>
      </c>
      <c r="EG542" s="56">
        <f>$BT542-$BT543</f>
        <v/>
      </c>
      <c r="EH542" s="56">
        <f>$BU542-$BU543</f>
        <v/>
      </c>
    </row>
    <row r="543">
      <c r="BV543" s="56">
        <f>($D543-$D544)*100</f>
        <v/>
      </c>
      <c r="BW543" s="56">
        <f>($C543-$C544)*100</f>
        <v/>
      </c>
      <c r="BX543" s="57">
        <f>IFERROR($I543/$I544-1,"")</f>
        <v/>
      </c>
      <c r="BY543" s="56">
        <f>($AF543-$AF544)*100</f>
        <v/>
      </c>
      <c r="BZ543" s="56">
        <f>($AG543-$AG544)*100</f>
        <v/>
      </c>
      <c r="CA543" s="56">
        <f>($AH543-$AH544)*100</f>
        <v/>
      </c>
      <c r="CB543" s="56">
        <f>($AI543-$AI544)*100</f>
        <v/>
      </c>
      <c r="CC543" s="56">
        <f>($AJ543-$AJ544)*100</f>
        <v/>
      </c>
      <c r="CD543" s="56">
        <f>($AK543-$AK544)*100</f>
        <v/>
      </c>
      <c r="CE543" s="56">
        <f>($AL543-$AL544)*100</f>
        <v/>
      </c>
      <c r="CF543" s="56">
        <f>($AM543-$AM544)*100</f>
        <v/>
      </c>
      <c r="CG543" s="56">
        <f>($AN543-$AN544)*100</f>
        <v/>
      </c>
      <c r="CH543" s="56">
        <f>($AO543-$AO544)*100</f>
        <v/>
      </c>
      <c r="CI543" s="56">
        <f>($AP543-$AP544)*100</f>
        <v/>
      </c>
      <c r="CJ543" s="56">
        <f>($AQ543-$AQ544)*100</f>
        <v/>
      </c>
      <c r="CK543" s="56">
        <f>($AR543-$AR544)*100</f>
        <v/>
      </c>
      <c r="CL543" s="56">
        <f>($AS543-$AS544)*100</f>
        <v/>
      </c>
      <c r="CM543" s="56">
        <f>($AT543-$AT544)*100</f>
        <v/>
      </c>
      <c r="CN543" s="56">
        <f>($AU543-$AU544)*100</f>
        <v/>
      </c>
      <c r="CO543" s="56">
        <f>($AV543-$AV544)*100</f>
        <v/>
      </c>
      <c r="CP543" s="56">
        <f>($AW543-$AW544)*100</f>
        <v/>
      </c>
      <c r="CQ543" s="56">
        <f>($AX543-$AX544)*100</f>
        <v/>
      </c>
      <c r="CR543" s="56">
        <f>($AY543-$AY544)*100</f>
        <v/>
      </c>
      <c r="CS543" s="57">
        <f>IFERROR($L544/$L543-1,"")</f>
        <v/>
      </c>
      <c r="CT543" s="57">
        <f>IFERROR($M544/$M543-1,"")</f>
        <v/>
      </c>
      <c r="CU543" s="57">
        <f>IFERROR($N544/$N543-1,"")</f>
        <v/>
      </c>
      <c r="CV543" s="57">
        <f>IFERROR($O544/$O543-1,"")</f>
        <v/>
      </c>
      <c r="CW543" s="57">
        <f>IFERROR($P544/$P543-1,"")</f>
        <v/>
      </c>
      <c r="CX543" s="57">
        <f>IFERROR($Q544/$Q543-1,"")</f>
        <v/>
      </c>
      <c r="CY543" s="57">
        <f>IFERROR($R544/$R543-1,"")</f>
        <v/>
      </c>
      <c r="CZ543" s="57">
        <f>IFERROR($S544/$S543-1,"")</f>
        <v/>
      </c>
      <c r="DA543" s="57">
        <f>IFERROR($T544/$T543-1,"")</f>
        <v/>
      </c>
      <c r="DB543" s="57">
        <f>IFERROR($U544/$U543-1,"")</f>
        <v/>
      </c>
      <c r="DC543" s="57">
        <f>IFERROR($V544/$V543-1,"")</f>
        <v/>
      </c>
      <c r="DD543" s="57">
        <f>IFERROR($W544/$W543-1,"")</f>
        <v/>
      </c>
      <c r="DE543" s="57">
        <f>IFERROR($X544/$X543-1,"")</f>
        <v/>
      </c>
      <c r="DF543" s="57">
        <f>IFERROR($Y544/$Y543-1,"")</f>
        <v/>
      </c>
      <c r="DG543" s="57">
        <f>IFERROR($Z544/$Z543-1,"")</f>
        <v/>
      </c>
      <c r="DH543" s="57">
        <f>IFERROR($AA544/$AA543-1,"")</f>
        <v/>
      </c>
      <c r="DI543" s="57">
        <f>IFERROR($AB544/$AB543-1,"")</f>
        <v/>
      </c>
      <c r="DJ543" s="57">
        <f>IFERROR($AC544/$AC543-1,"")</f>
        <v/>
      </c>
      <c r="DK543" s="57">
        <f>IFERROR($AD544/$AD543-1,"")</f>
        <v/>
      </c>
      <c r="DL543" s="57">
        <f>IFERROR($AE544/$AE543-1,"")</f>
        <v/>
      </c>
      <c r="DM543" s="56">
        <f>$AZ543-$AZ544</f>
        <v/>
      </c>
      <c r="DN543" s="56">
        <f>$BA543-$BA544</f>
        <v/>
      </c>
      <c r="DO543" s="56">
        <f>$BB543-$BB544</f>
        <v/>
      </c>
      <c r="DP543" s="56">
        <f>$BC543-$BC544</f>
        <v/>
      </c>
      <c r="DQ543" s="56">
        <f>$BD543-$BD544</f>
        <v/>
      </c>
      <c r="DR543" s="56">
        <f>$BE543-$BE544</f>
        <v/>
      </c>
      <c r="DS543" s="56">
        <f>$BF543-$BF544</f>
        <v/>
      </c>
      <c r="DT543" s="56">
        <f>$BG543-$BG544</f>
        <v/>
      </c>
      <c r="DU543" s="56">
        <f>$BH543-$BH544</f>
        <v/>
      </c>
      <c r="DV543" s="56">
        <f>$BI543-$BI544</f>
        <v/>
      </c>
      <c r="DW543" s="56">
        <f>$BJ543-$BJ544</f>
        <v/>
      </c>
      <c r="DX543" s="56">
        <f>$BK543-$BK544</f>
        <v/>
      </c>
      <c r="DY543" s="56">
        <f>$BL543-$BL544</f>
        <v/>
      </c>
      <c r="DZ543" s="56">
        <f>$BM543-$BM544</f>
        <v/>
      </c>
      <c r="EA543" s="56">
        <f>$BN543-$BN544</f>
        <v/>
      </c>
      <c r="EB543" s="56">
        <f>$BO543-$BO544</f>
        <v/>
      </c>
      <c r="EC543" s="56">
        <f>$BP543-$BP544</f>
        <v/>
      </c>
      <c r="ED543" s="56">
        <f>$BQ543-$BQ544</f>
        <v/>
      </c>
      <c r="EE543" s="56">
        <f>$BR543-$BR544</f>
        <v/>
      </c>
      <c r="EF543" s="56">
        <f>$BS543-$BS544</f>
        <v/>
      </c>
      <c r="EG543" s="56">
        <f>$BT543-$BT544</f>
        <v/>
      </c>
      <c r="EH543" s="56">
        <f>$BU543-$BU544</f>
        <v/>
      </c>
    </row>
    <row r="544">
      <c r="BV544" s="56">
        <f>($D544-$D545)*100</f>
        <v/>
      </c>
      <c r="BW544" s="56">
        <f>($C544-$C545)*100</f>
        <v/>
      </c>
      <c r="BX544" s="57">
        <f>IFERROR($I544/$I545-1,"")</f>
        <v/>
      </c>
      <c r="BY544" s="56">
        <f>($AF544-$AF545)*100</f>
        <v/>
      </c>
      <c r="BZ544" s="56">
        <f>($AG544-$AG545)*100</f>
        <v/>
      </c>
      <c r="CA544" s="56">
        <f>($AH544-$AH545)*100</f>
        <v/>
      </c>
      <c r="CB544" s="56">
        <f>($AI544-$AI545)*100</f>
        <v/>
      </c>
      <c r="CC544" s="56">
        <f>($AJ544-$AJ545)*100</f>
        <v/>
      </c>
      <c r="CD544" s="56">
        <f>($AK544-$AK545)*100</f>
        <v/>
      </c>
      <c r="CE544" s="56">
        <f>($AL544-$AL545)*100</f>
        <v/>
      </c>
      <c r="CF544" s="56">
        <f>($AM544-$AM545)*100</f>
        <v/>
      </c>
      <c r="CG544" s="56">
        <f>($AN544-$AN545)*100</f>
        <v/>
      </c>
      <c r="CH544" s="56">
        <f>($AO544-$AO545)*100</f>
        <v/>
      </c>
      <c r="CI544" s="56">
        <f>($AP544-$AP545)*100</f>
        <v/>
      </c>
      <c r="CJ544" s="56">
        <f>($AQ544-$AQ545)*100</f>
        <v/>
      </c>
      <c r="CK544" s="56">
        <f>($AR544-$AR545)*100</f>
        <v/>
      </c>
      <c r="CL544" s="56">
        <f>($AS544-$AS545)*100</f>
        <v/>
      </c>
      <c r="CM544" s="56">
        <f>($AT544-$AT545)*100</f>
        <v/>
      </c>
      <c r="CN544" s="56">
        <f>($AU544-$AU545)*100</f>
        <v/>
      </c>
      <c r="CO544" s="56">
        <f>($AV544-$AV545)*100</f>
        <v/>
      </c>
      <c r="CP544" s="56">
        <f>($AW544-$AW545)*100</f>
        <v/>
      </c>
      <c r="CQ544" s="56">
        <f>($AX544-$AX545)*100</f>
        <v/>
      </c>
      <c r="CR544" s="56">
        <f>($AY544-$AY545)*100</f>
        <v/>
      </c>
      <c r="CS544" s="57">
        <f>IFERROR($L545/$L544-1,"")</f>
        <v/>
      </c>
      <c r="CT544" s="57">
        <f>IFERROR($M545/$M544-1,"")</f>
        <v/>
      </c>
      <c r="CU544" s="57">
        <f>IFERROR($N545/$N544-1,"")</f>
        <v/>
      </c>
      <c r="CV544" s="57">
        <f>IFERROR($O545/$O544-1,"")</f>
        <v/>
      </c>
      <c r="CW544" s="57">
        <f>IFERROR($P545/$P544-1,"")</f>
        <v/>
      </c>
      <c r="CX544" s="57">
        <f>IFERROR($Q545/$Q544-1,"")</f>
        <v/>
      </c>
      <c r="CY544" s="57">
        <f>IFERROR($R545/$R544-1,"")</f>
        <v/>
      </c>
      <c r="CZ544" s="57">
        <f>IFERROR($S545/$S544-1,"")</f>
        <v/>
      </c>
      <c r="DA544" s="57">
        <f>IFERROR($T545/$T544-1,"")</f>
        <v/>
      </c>
      <c r="DB544" s="57">
        <f>IFERROR($U545/$U544-1,"")</f>
        <v/>
      </c>
      <c r="DC544" s="57">
        <f>IFERROR($V545/$V544-1,"")</f>
        <v/>
      </c>
      <c r="DD544" s="57">
        <f>IFERROR($W545/$W544-1,"")</f>
        <v/>
      </c>
      <c r="DE544" s="57">
        <f>IFERROR($X545/$X544-1,"")</f>
        <v/>
      </c>
      <c r="DF544" s="57">
        <f>IFERROR($Y545/$Y544-1,"")</f>
        <v/>
      </c>
      <c r="DG544" s="57">
        <f>IFERROR($Z545/$Z544-1,"")</f>
        <v/>
      </c>
      <c r="DH544" s="57">
        <f>IFERROR($AA545/$AA544-1,"")</f>
        <v/>
      </c>
      <c r="DI544" s="57">
        <f>IFERROR($AB545/$AB544-1,"")</f>
        <v/>
      </c>
      <c r="DJ544" s="57">
        <f>IFERROR($AC545/$AC544-1,"")</f>
        <v/>
      </c>
      <c r="DK544" s="57">
        <f>IFERROR($AD545/$AD544-1,"")</f>
        <v/>
      </c>
      <c r="DL544" s="57">
        <f>IFERROR($AE545/$AE544-1,"")</f>
        <v/>
      </c>
      <c r="DM544" s="56">
        <f>$AZ544-$AZ545</f>
        <v/>
      </c>
      <c r="DN544" s="56">
        <f>$BA544-$BA545</f>
        <v/>
      </c>
      <c r="DO544" s="56">
        <f>$BB544-$BB545</f>
        <v/>
      </c>
      <c r="DP544" s="56">
        <f>$BC544-$BC545</f>
        <v/>
      </c>
      <c r="DQ544" s="56">
        <f>$BD544-$BD545</f>
        <v/>
      </c>
      <c r="DR544" s="56">
        <f>$BE544-$BE545</f>
        <v/>
      </c>
      <c r="DS544" s="56">
        <f>$BF544-$BF545</f>
        <v/>
      </c>
      <c r="DT544" s="56">
        <f>$BG544-$BG545</f>
        <v/>
      </c>
      <c r="DU544" s="56">
        <f>$BH544-$BH545</f>
        <v/>
      </c>
      <c r="DV544" s="56">
        <f>$BI544-$BI545</f>
        <v/>
      </c>
      <c r="DW544" s="56">
        <f>$BJ544-$BJ545</f>
        <v/>
      </c>
      <c r="DX544" s="56">
        <f>$BK544-$BK545</f>
        <v/>
      </c>
      <c r="DY544" s="56">
        <f>$BL544-$BL545</f>
        <v/>
      </c>
      <c r="DZ544" s="56">
        <f>$BM544-$BM545</f>
        <v/>
      </c>
      <c r="EA544" s="56">
        <f>$BN544-$BN545</f>
        <v/>
      </c>
      <c r="EB544" s="56">
        <f>$BO544-$BO545</f>
        <v/>
      </c>
      <c r="EC544" s="56">
        <f>$BP544-$BP545</f>
        <v/>
      </c>
      <c r="ED544" s="56">
        <f>$BQ544-$BQ545</f>
        <v/>
      </c>
      <c r="EE544" s="56">
        <f>$BR544-$BR545</f>
        <v/>
      </c>
      <c r="EF544" s="56">
        <f>$BS544-$BS545</f>
        <v/>
      </c>
      <c r="EG544" s="56">
        <f>$BT544-$BT545</f>
        <v/>
      </c>
      <c r="EH544" s="56">
        <f>$BU544-$BU545</f>
        <v/>
      </c>
    </row>
    <row r="545">
      <c r="BV545" s="56">
        <f>($D545-$D546)*100</f>
        <v/>
      </c>
      <c r="BW545" s="56">
        <f>($C545-$C546)*100</f>
        <v/>
      </c>
      <c r="BX545" s="57">
        <f>IFERROR($I545/$I546-1,"")</f>
        <v/>
      </c>
      <c r="BY545" s="56">
        <f>($AF545-$AF546)*100</f>
        <v/>
      </c>
      <c r="BZ545" s="56">
        <f>($AG545-$AG546)*100</f>
        <v/>
      </c>
      <c r="CA545" s="56">
        <f>($AH545-$AH546)*100</f>
        <v/>
      </c>
      <c r="CB545" s="56">
        <f>($AI545-$AI546)*100</f>
        <v/>
      </c>
      <c r="CC545" s="56">
        <f>($AJ545-$AJ546)*100</f>
        <v/>
      </c>
      <c r="CD545" s="56">
        <f>($AK545-$AK546)*100</f>
        <v/>
      </c>
      <c r="CE545" s="56">
        <f>($AL545-$AL546)*100</f>
        <v/>
      </c>
      <c r="CF545" s="56">
        <f>($AM545-$AM546)*100</f>
        <v/>
      </c>
      <c r="CG545" s="56">
        <f>($AN545-$AN546)*100</f>
        <v/>
      </c>
      <c r="CH545" s="56">
        <f>($AO545-$AO546)*100</f>
        <v/>
      </c>
      <c r="CI545" s="56">
        <f>($AP545-$AP546)*100</f>
        <v/>
      </c>
      <c r="CJ545" s="56">
        <f>($AQ545-$AQ546)*100</f>
        <v/>
      </c>
      <c r="CK545" s="56">
        <f>($AR545-$AR546)*100</f>
        <v/>
      </c>
      <c r="CL545" s="56">
        <f>($AS545-$AS546)*100</f>
        <v/>
      </c>
      <c r="CM545" s="56">
        <f>($AT545-$AT546)*100</f>
        <v/>
      </c>
      <c r="CN545" s="56">
        <f>($AU545-$AU546)*100</f>
        <v/>
      </c>
      <c r="CO545" s="56">
        <f>($AV545-$AV546)*100</f>
        <v/>
      </c>
      <c r="CP545" s="56">
        <f>($AW545-$AW546)*100</f>
        <v/>
      </c>
      <c r="CQ545" s="56">
        <f>($AX545-$AX546)*100</f>
        <v/>
      </c>
      <c r="CR545" s="56">
        <f>($AY545-$AY546)*100</f>
        <v/>
      </c>
      <c r="CS545" s="57">
        <f>IFERROR($L546/$L545-1,"")</f>
        <v/>
      </c>
      <c r="CT545" s="57">
        <f>IFERROR($M546/$M545-1,"")</f>
        <v/>
      </c>
      <c r="CU545" s="57">
        <f>IFERROR($N546/$N545-1,"")</f>
        <v/>
      </c>
      <c r="CV545" s="57">
        <f>IFERROR($O546/$O545-1,"")</f>
        <v/>
      </c>
      <c r="CW545" s="57">
        <f>IFERROR($P546/$P545-1,"")</f>
        <v/>
      </c>
      <c r="CX545" s="57">
        <f>IFERROR($Q546/$Q545-1,"")</f>
        <v/>
      </c>
      <c r="CY545" s="57">
        <f>IFERROR($R546/$R545-1,"")</f>
        <v/>
      </c>
      <c r="CZ545" s="57">
        <f>IFERROR($S546/$S545-1,"")</f>
        <v/>
      </c>
      <c r="DA545" s="57">
        <f>IFERROR($T546/$T545-1,"")</f>
        <v/>
      </c>
      <c r="DB545" s="57">
        <f>IFERROR($U546/$U545-1,"")</f>
        <v/>
      </c>
      <c r="DC545" s="57">
        <f>IFERROR($V546/$V545-1,"")</f>
        <v/>
      </c>
      <c r="DD545" s="57">
        <f>IFERROR($W546/$W545-1,"")</f>
        <v/>
      </c>
      <c r="DE545" s="57">
        <f>IFERROR($X546/$X545-1,"")</f>
        <v/>
      </c>
      <c r="DF545" s="57">
        <f>IFERROR($Y546/$Y545-1,"")</f>
        <v/>
      </c>
      <c r="DG545" s="57">
        <f>IFERROR($Z546/$Z545-1,"")</f>
        <v/>
      </c>
      <c r="DH545" s="57">
        <f>IFERROR($AA546/$AA545-1,"")</f>
        <v/>
      </c>
      <c r="DI545" s="57">
        <f>IFERROR($AB546/$AB545-1,"")</f>
        <v/>
      </c>
      <c r="DJ545" s="57">
        <f>IFERROR($AC546/$AC545-1,"")</f>
        <v/>
      </c>
      <c r="DK545" s="57">
        <f>IFERROR($AD546/$AD545-1,"")</f>
        <v/>
      </c>
      <c r="DL545" s="57">
        <f>IFERROR($AE546/$AE545-1,"")</f>
        <v/>
      </c>
      <c r="DM545" s="56">
        <f>$AZ545-$AZ546</f>
        <v/>
      </c>
      <c r="DN545" s="56">
        <f>$BA545-$BA546</f>
        <v/>
      </c>
      <c r="DO545" s="56">
        <f>$BB545-$BB546</f>
        <v/>
      </c>
      <c r="DP545" s="56">
        <f>$BC545-$BC546</f>
        <v/>
      </c>
      <c r="DQ545" s="56">
        <f>$BD545-$BD546</f>
        <v/>
      </c>
      <c r="DR545" s="56">
        <f>$BE545-$BE546</f>
        <v/>
      </c>
      <c r="DS545" s="56">
        <f>$BF545-$BF546</f>
        <v/>
      </c>
      <c r="DT545" s="56">
        <f>$BG545-$BG546</f>
        <v/>
      </c>
      <c r="DU545" s="56">
        <f>$BH545-$BH546</f>
        <v/>
      </c>
      <c r="DV545" s="56">
        <f>$BI545-$BI546</f>
        <v/>
      </c>
      <c r="DW545" s="56">
        <f>$BJ545-$BJ546</f>
        <v/>
      </c>
      <c r="DX545" s="56">
        <f>$BK545-$BK546</f>
        <v/>
      </c>
      <c r="DY545" s="56">
        <f>$BL545-$BL546</f>
        <v/>
      </c>
      <c r="DZ545" s="56">
        <f>$BM545-$BM546</f>
        <v/>
      </c>
      <c r="EA545" s="56">
        <f>$BN545-$BN546</f>
        <v/>
      </c>
      <c r="EB545" s="56">
        <f>$BO545-$BO546</f>
        <v/>
      </c>
      <c r="EC545" s="56">
        <f>$BP545-$BP546</f>
        <v/>
      </c>
      <c r="ED545" s="56">
        <f>$BQ545-$BQ546</f>
        <v/>
      </c>
      <c r="EE545" s="56">
        <f>$BR545-$BR546</f>
        <v/>
      </c>
      <c r="EF545" s="56">
        <f>$BS545-$BS546</f>
        <v/>
      </c>
      <c r="EG545" s="56">
        <f>$BT545-$BT546</f>
        <v/>
      </c>
      <c r="EH545" s="56">
        <f>$BU545-$BU546</f>
        <v/>
      </c>
    </row>
    <row r="546">
      <c r="BV546" s="56">
        <f>($D546-$D547)*100</f>
        <v/>
      </c>
      <c r="BW546" s="56">
        <f>($C546-$C547)*100</f>
        <v/>
      </c>
      <c r="BX546" s="57">
        <f>IFERROR($I546/$I547-1,"")</f>
        <v/>
      </c>
      <c r="BY546" s="56">
        <f>($AF546-$AF547)*100</f>
        <v/>
      </c>
      <c r="BZ546" s="56">
        <f>($AG546-$AG547)*100</f>
        <v/>
      </c>
      <c r="CA546" s="56">
        <f>($AH546-$AH547)*100</f>
        <v/>
      </c>
      <c r="CB546" s="56">
        <f>($AI546-$AI547)*100</f>
        <v/>
      </c>
      <c r="CC546" s="56">
        <f>($AJ546-$AJ547)*100</f>
        <v/>
      </c>
      <c r="CD546" s="56">
        <f>($AK546-$AK547)*100</f>
        <v/>
      </c>
      <c r="CE546" s="56">
        <f>($AL546-$AL547)*100</f>
        <v/>
      </c>
      <c r="CF546" s="56">
        <f>($AM546-$AM547)*100</f>
        <v/>
      </c>
      <c r="CG546" s="56">
        <f>($AN546-$AN547)*100</f>
        <v/>
      </c>
      <c r="CH546" s="56">
        <f>($AO546-$AO547)*100</f>
        <v/>
      </c>
      <c r="CI546" s="56">
        <f>($AP546-$AP547)*100</f>
        <v/>
      </c>
      <c r="CJ546" s="56">
        <f>($AQ546-$AQ547)*100</f>
        <v/>
      </c>
      <c r="CK546" s="56">
        <f>($AR546-$AR547)*100</f>
        <v/>
      </c>
      <c r="CL546" s="56">
        <f>($AS546-$AS547)*100</f>
        <v/>
      </c>
      <c r="CM546" s="56">
        <f>($AT546-$AT547)*100</f>
        <v/>
      </c>
      <c r="CN546" s="56">
        <f>($AU546-$AU547)*100</f>
        <v/>
      </c>
      <c r="CO546" s="56">
        <f>($AV546-$AV547)*100</f>
        <v/>
      </c>
      <c r="CP546" s="56">
        <f>($AW546-$AW547)*100</f>
        <v/>
      </c>
      <c r="CQ546" s="56">
        <f>($AX546-$AX547)*100</f>
        <v/>
      </c>
      <c r="CR546" s="56">
        <f>($AY546-$AY547)*100</f>
        <v/>
      </c>
      <c r="CS546" s="57">
        <f>IFERROR($L547/$L546-1,"")</f>
        <v/>
      </c>
      <c r="CT546" s="57">
        <f>IFERROR($M547/$M546-1,"")</f>
        <v/>
      </c>
      <c r="CU546" s="57">
        <f>IFERROR($N547/$N546-1,"")</f>
        <v/>
      </c>
      <c r="CV546" s="57">
        <f>IFERROR($O547/$O546-1,"")</f>
        <v/>
      </c>
      <c r="CW546" s="57">
        <f>IFERROR($P547/$P546-1,"")</f>
        <v/>
      </c>
      <c r="CX546" s="57">
        <f>IFERROR($Q547/$Q546-1,"")</f>
        <v/>
      </c>
      <c r="CY546" s="57">
        <f>IFERROR($R547/$R546-1,"")</f>
        <v/>
      </c>
      <c r="CZ546" s="57">
        <f>IFERROR($S547/$S546-1,"")</f>
        <v/>
      </c>
      <c r="DA546" s="57">
        <f>IFERROR($T547/$T546-1,"")</f>
        <v/>
      </c>
      <c r="DB546" s="57">
        <f>IFERROR($U547/$U546-1,"")</f>
        <v/>
      </c>
      <c r="DC546" s="57">
        <f>IFERROR($V547/$V546-1,"")</f>
        <v/>
      </c>
      <c r="DD546" s="57">
        <f>IFERROR($W547/$W546-1,"")</f>
        <v/>
      </c>
      <c r="DE546" s="57">
        <f>IFERROR($X547/$X546-1,"")</f>
        <v/>
      </c>
      <c r="DF546" s="57">
        <f>IFERROR($Y547/$Y546-1,"")</f>
        <v/>
      </c>
      <c r="DG546" s="57">
        <f>IFERROR($Z547/$Z546-1,"")</f>
        <v/>
      </c>
      <c r="DH546" s="57">
        <f>IFERROR($AA547/$AA546-1,"")</f>
        <v/>
      </c>
      <c r="DI546" s="57">
        <f>IFERROR($AB547/$AB546-1,"")</f>
        <v/>
      </c>
      <c r="DJ546" s="57">
        <f>IFERROR($AC547/$AC546-1,"")</f>
        <v/>
      </c>
      <c r="DK546" s="57">
        <f>IFERROR($AD547/$AD546-1,"")</f>
        <v/>
      </c>
      <c r="DL546" s="57">
        <f>IFERROR($AE547/$AE546-1,"")</f>
        <v/>
      </c>
      <c r="DM546" s="56">
        <f>$AZ546-$AZ547</f>
        <v/>
      </c>
      <c r="DN546" s="56">
        <f>$BA546-$BA547</f>
        <v/>
      </c>
      <c r="DO546" s="56">
        <f>$BB546-$BB547</f>
        <v/>
      </c>
      <c r="DP546" s="56">
        <f>$BC546-$BC547</f>
        <v/>
      </c>
      <c r="DQ546" s="56">
        <f>$BD546-$BD547</f>
        <v/>
      </c>
      <c r="DR546" s="56">
        <f>$BE546-$BE547</f>
        <v/>
      </c>
      <c r="DS546" s="56">
        <f>$BF546-$BF547</f>
        <v/>
      </c>
      <c r="DT546" s="56">
        <f>$BG546-$BG547</f>
        <v/>
      </c>
      <c r="DU546" s="56">
        <f>$BH546-$BH547</f>
        <v/>
      </c>
      <c r="DV546" s="56">
        <f>$BI546-$BI547</f>
        <v/>
      </c>
      <c r="DW546" s="56">
        <f>$BJ546-$BJ547</f>
        <v/>
      </c>
      <c r="DX546" s="56">
        <f>$BK546-$BK547</f>
        <v/>
      </c>
      <c r="DY546" s="56">
        <f>$BL546-$BL547</f>
        <v/>
      </c>
      <c r="DZ546" s="56">
        <f>$BM546-$BM547</f>
        <v/>
      </c>
      <c r="EA546" s="56">
        <f>$BN546-$BN547</f>
        <v/>
      </c>
      <c r="EB546" s="56">
        <f>$BO546-$BO547</f>
        <v/>
      </c>
      <c r="EC546" s="56">
        <f>$BP546-$BP547</f>
        <v/>
      </c>
      <c r="ED546" s="56">
        <f>$BQ546-$BQ547</f>
        <v/>
      </c>
      <c r="EE546" s="56">
        <f>$BR546-$BR547</f>
        <v/>
      </c>
      <c r="EF546" s="56">
        <f>$BS546-$BS547</f>
        <v/>
      </c>
      <c r="EG546" s="56">
        <f>$BT546-$BT547</f>
        <v/>
      </c>
      <c r="EH546" s="56">
        <f>$BU546-$BU547</f>
        <v/>
      </c>
    </row>
    <row r="547">
      <c r="BV547" s="56">
        <f>($D547-$D548)*100</f>
        <v/>
      </c>
      <c r="BW547" s="56">
        <f>($C547-$C548)*100</f>
        <v/>
      </c>
      <c r="BX547" s="57">
        <f>IFERROR($I547/$I548-1,"")</f>
        <v/>
      </c>
      <c r="BY547" s="56">
        <f>($AF547-$AF548)*100</f>
        <v/>
      </c>
      <c r="BZ547" s="56">
        <f>($AG547-$AG548)*100</f>
        <v/>
      </c>
      <c r="CA547" s="56">
        <f>($AH547-$AH548)*100</f>
        <v/>
      </c>
      <c r="CB547" s="56">
        <f>($AI547-$AI548)*100</f>
        <v/>
      </c>
      <c r="CC547" s="56">
        <f>($AJ547-$AJ548)*100</f>
        <v/>
      </c>
      <c r="CD547" s="56">
        <f>($AK547-$AK548)*100</f>
        <v/>
      </c>
      <c r="CE547" s="56">
        <f>($AL547-$AL548)*100</f>
        <v/>
      </c>
      <c r="CF547" s="56">
        <f>($AM547-$AM548)*100</f>
        <v/>
      </c>
      <c r="CG547" s="56">
        <f>($AN547-$AN548)*100</f>
        <v/>
      </c>
      <c r="CH547" s="56">
        <f>($AO547-$AO548)*100</f>
        <v/>
      </c>
      <c r="CI547" s="56">
        <f>($AP547-$AP548)*100</f>
        <v/>
      </c>
      <c r="CJ547" s="56">
        <f>($AQ547-$AQ548)*100</f>
        <v/>
      </c>
      <c r="CK547" s="56">
        <f>($AR547-$AR548)*100</f>
        <v/>
      </c>
      <c r="CL547" s="56">
        <f>($AS547-$AS548)*100</f>
        <v/>
      </c>
      <c r="CM547" s="56">
        <f>($AT547-$AT548)*100</f>
        <v/>
      </c>
      <c r="CN547" s="56">
        <f>($AU547-$AU548)*100</f>
        <v/>
      </c>
      <c r="CO547" s="56">
        <f>($AV547-$AV548)*100</f>
        <v/>
      </c>
      <c r="CP547" s="56">
        <f>($AW547-$AW548)*100</f>
        <v/>
      </c>
      <c r="CQ547" s="56">
        <f>($AX547-$AX548)*100</f>
        <v/>
      </c>
      <c r="CR547" s="56">
        <f>($AY547-$AY548)*100</f>
        <v/>
      </c>
      <c r="CS547" s="57">
        <f>IFERROR($L548/$L547-1,"")</f>
        <v/>
      </c>
      <c r="CT547" s="57">
        <f>IFERROR($M548/$M547-1,"")</f>
        <v/>
      </c>
      <c r="CU547" s="57">
        <f>IFERROR($N548/$N547-1,"")</f>
        <v/>
      </c>
      <c r="CV547" s="57">
        <f>IFERROR($O548/$O547-1,"")</f>
        <v/>
      </c>
      <c r="CW547" s="57">
        <f>IFERROR($P548/$P547-1,"")</f>
        <v/>
      </c>
      <c r="CX547" s="57">
        <f>IFERROR($Q548/$Q547-1,"")</f>
        <v/>
      </c>
      <c r="CY547" s="57">
        <f>IFERROR($R548/$R547-1,"")</f>
        <v/>
      </c>
      <c r="CZ547" s="57">
        <f>IFERROR($S548/$S547-1,"")</f>
        <v/>
      </c>
      <c r="DA547" s="57">
        <f>IFERROR($T548/$T547-1,"")</f>
        <v/>
      </c>
      <c r="DB547" s="57">
        <f>IFERROR($U548/$U547-1,"")</f>
        <v/>
      </c>
      <c r="DC547" s="57">
        <f>IFERROR($V548/$V547-1,"")</f>
        <v/>
      </c>
      <c r="DD547" s="57">
        <f>IFERROR($W548/$W547-1,"")</f>
        <v/>
      </c>
      <c r="DE547" s="57">
        <f>IFERROR($X548/$X547-1,"")</f>
        <v/>
      </c>
      <c r="DF547" s="57">
        <f>IFERROR($Y548/$Y547-1,"")</f>
        <v/>
      </c>
      <c r="DG547" s="57">
        <f>IFERROR($Z548/$Z547-1,"")</f>
        <v/>
      </c>
      <c r="DH547" s="57">
        <f>IFERROR($AA548/$AA547-1,"")</f>
        <v/>
      </c>
      <c r="DI547" s="57">
        <f>IFERROR($AB548/$AB547-1,"")</f>
        <v/>
      </c>
      <c r="DJ547" s="57">
        <f>IFERROR($AC548/$AC547-1,"")</f>
        <v/>
      </c>
      <c r="DK547" s="57">
        <f>IFERROR($AD548/$AD547-1,"")</f>
        <v/>
      </c>
      <c r="DL547" s="57">
        <f>IFERROR($AE548/$AE547-1,"")</f>
        <v/>
      </c>
      <c r="DM547" s="56">
        <f>$AZ547-$AZ548</f>
        <v/>
      </c>
      <c r="DN547" s="56">
        <f>$BA547-$BA548</f>
        <v/>
      </c>
      <c r="DO547" s="56">
        <f>$BB547-$BB548</f>
        <v/>
      </c>
      <c r="DP547" s="56">
        <f>$BC547-$BC548</f>
        <v/>
      </c>
      <c r="DQ547" s="56">
        <f>$BD547-$BD548</f>
        <v/>
      </c>
      <c r="DR547" s="56">
        <f>$BE547-$BE548</f>
        <v/>
      </c>
      <c r="DS547" s="56">
        <f>$BF547-$BF548</f>
        <v/>
      </c>
      <c r="DT547" s="56">
        <f>$BG547-$BG548</f>
        <v/>
      </c>
      <c r="DU547" s="56">
        <f>$BH547-$BH548</f>
        <v/>
      </c>
      <c r="DV547" s="56">
        <f>$BI547-$BI548</f>
        <v/>
      </c>
      <c r="DW547" s="56">
        <f>$BJ547-$BJ548</f>
        <v/>
      </c>
      <c r="DX547" s="56">
        <f>$BK547-$BK548</f>
        <v/>
      </c>
      <c r="DY547" s="56">
        <f>$BL547-$BL548</f>
        <v/>
      </c>
      <c r="DZ547" s="56">
        <f>$BM547-$BM548</f>
        <v/>
      </c>
      <c r="EA547" s="56">
        <f>$BN547-$BN548</f>
        <v/>
      </c>
      <c r="EB547" s="56">
        <f>$BO547-$BO548</f>
        <v/>
      </c>
      <c r="EC547" s="56">
        <f>$BP547-$BP548</f>
        <v/>
      </c>
      <c r="ED547" s="56">
        <f>$BQ547-$BQ548</f>
        <v/>
      </c>
      <c r="EE547" s="56">
        <f>$BR547-$BR548</f>
        <v/>
      </c>
      <c r="EF547" s="56">
        <f>$BS547-$BS548</f>
        <v/>
      </c>
      <c r="EG547" s="56">
        <f>$BT547-$BT548</f>
        <v/>
      </c>
      <c r="EH547" s="56">
        <f>$BU547-$BU548</f>
        <v/>
      </c>
    </row>
    <row r="548">
      <c r="BV548" s="56">
        <f>($D548-$D549)*100</f>
        <v/>
      </c>
      <c r="BW548" s="56">
        <f>($C548-$C549)*100</f>
        <v/>
      </c>
      <c r="BX548" s="57">
        <f>IFERROR($I548/$I549-1,"")</f>
        <v/>
      </c>
      <c r="BY548" s="56">
        <f>($AF548-$AF549)*100</f>
        <v/>
      </c>
      <c r="BZ548" s="56">
        <f>($AG548-$AG549)*100</f>
        <v/>
      </c>
      <c r="CA548" s="56">
        <f>($AH548-$AH549)*100</f>
        <v/>
      </c>
      <c r="CB548" s="56">
        <f>($AI548-$AI549)*100</f>
        <v/>
      </c>
      <c r="CC548" s="56">
        <f>($AJ548-$AJ549)*100</f>
        <v/>
      </c>
      <c r="CD548" s="56">
        <f>($AK548-$AK549)*100</f>
        <v/>
      </c>
      <c r="CE548" s="56">
        <f>($AL548-$AL549)*100</f>
        <v/>
      </c>
      <c r="CF548" s="56">
        <f>($AM548-$AM549)*100</f>
        <v/>
      </c>
      <c r="CG548" s="56">
        <f>($AN548-$AN549)*100</f>
        <v/>
      </c>
      <c r="CH548" s="56">
        <f>($AO548-$AO549)*100</f>
        <v/>
      </c>
      <c r="CI548" s="56">
        <f>($AP548-$AP549)*100</f>
        <v/>
      </c>
      <c r="CJ548" s="56">
        <f>($AQ548-$AQ549)*100</f>
        <v/>
      </c>
      <c r="CK548" s="56">
        <f>($AR548-$AR549)*100</f>
        <v/>
      </c>
      <c r="CL548" s="56">
        <f>($AS548-$AS549)*100</f>
        <v/>
      </c>
      <c r="CM548" s="56">
        <f>($AT548-$AT549)*100</f>
        <v/>
      </c>
      <c r="CN548" s="56">
        <f>($AU548-$AU549)*100</f>
        <v/>
      </c>
      <c r="CO548" s="56">
        <f>($AV548-$AV549)*100</f>
        <v/>
      </c>
      <c r="CP548" s="56">
        <f>($AW548-$AW549)*100</f>
        <v/>
      </c>
      <c r="CQ548" s="56">
        <f>($AX548-$AX549)*100</f>
        <v/>
      </c>
      <c r="CR548" s="56">
        <f>($AY548-$AY549)*100</f>
        <v/>
      </c>
      <c r="CS548" s="57">
        <f>IFERROR($L549/$L548-1,"")</f>
        <v/>
      </c>
      <c r="CT548" s="57">
        <f>IFERROR($M549/$M548-1,"")</f>
        <v/>
      </c>
      <c r="CU548" s="57">
        <f>IFERROR($N549/$N548-1,"")</f>
        <v/>
      </c>
      <c r="CV548" s="57">
        <f>IFERROR($O549/$O548-1,"")</f>
        <v/>
      </c>
      <c r="CW548" s="57">
        <f>IFERROR($P549/$P548-1,"")</f>
        <v/>
      </c>
      <c r="CX548" s="57">
        <f>IFERROR($Q549/$Q548-1,"")</f>
        <v/>
      </c>
      <c r="CY548" s="57">
        <f>IFERROR($R549/$R548-1,"")</f>
        <v/>
      </c>
      <c r="CZ548" s="57">
        <f>IFERROR($S549/$S548-1,"")</f>
        <v/>
      </c>
      <c r="DA548" s="57">
        <f>IFERROR($T549/$T548-1,"")</f>
        <v/>
      </c>
      <c r="DB548" s="57">
        <f>IFERROR($U549/$U548-1,"")</f>
        <v/>
      </c>
      <c r="DC548" s="57">
        <f>IFERROR($V549/$V548-1,"")</f>
        <v/>
      </c>
      <c r="DD548" s="57">
        <f>IFERROR($W549/$W548-1,"")</f>
        <v/>
      </c>
      <c r="DE548" s="57">
        <f>IFERROR($X549/$X548-1,"")</f>
        <v/>
      </c>
      <c r="DF548" s="57">
        <f>IFERROR($Y549/$Y548-1,"")</f>
        <v/>
      </c>
      <c r="DG548" s="57">
        <f>IFERROR($Z549/$Z548-1,"")</f>
        <v/>
      </c>
      <c r="DH548" s="57">
        <f>IFERROR($AA549/$AA548-1,"")</f>
        <v/>
      </c>
      <c r="DI548" s="57">
        <f>IFERROR($AB549/$AB548-1,"")</f>
        <v/>
      </c>
      <c r="DJ548" s="57">
        <f>IFERROR($AC549/$AC548-1,"")</f>
        <v/>
      </c>
      <c r="DK548" s="57">
        <f>IFERROR($AD549/$AD548-1,"")</f>
        <v/>
      </c>
      <c r="DL548" s="57">
        <f>IFERROR($AE549/$AE548-1,"")</f>
        <v/>
      </c>
      <c r="DM548" s="56">
        <f>$AZ548-$AZ549</f>
        <v/>
      </c>
      <c r="DN548" s="56">
        <f>$BA548-$BA549</f>
        <v/>
      </c>
      <c r="DO548" s="56">
        <f>$BB548-$BB549</f>
        <v/>
      </c>
      <c r="DP548" s="56">
        <f>$BC548-$BC549</f>
        <v/>
      </c>
      <c r="DQ548" s="56">
        <f>$BD548-$BD549</f>
        <v/>
      </c>
      <c r="DR548" s="56">
        <f>$BE548-$BE549</f>
        <v/>
      </c>
      <c r="DS548" s="56">
        <f>$BF548-$BF549</f>
        <v/>
      </c>
      <c r="DT548" s="56">
        <f>$BG548-$BG549</f>
        <v/>
      </c>
      <c r="DU548" s="56">
        <f>$BH548-$BH549</f>
        <v/>
      </c>
      <c r="DV548" s="56">
        <f>$BI548-$BI549</f>
        <v/>
      </c>
      <c r="DW548" s="56">
        <f>$BJ548-$BJ549</f>
        <v/>
      </c>
      <c r="DX548" s="56">
        <f>$BK548-$BK549</f>
        <v/>
      </c>
      <c r="DY548" s="56">
        <f>$BL548-$BL549</f>
        <v/>
      </c>
      <c r="DZ548" s="56">
        <f>$BM548-$BM549</f>
        <v/>
      </c>
      <c r="EA548" s="56">
        <f>$BN548-$BN549</f>
        <v/>
      </c>
      <c r="EB548" s="56">
        <f>$BO548-$BO549</f>
        <v/>
      </c>
      <c r="EC548" s="56">
        <f>$BP548-$BP549</f>
        <v/>
      </c>
      <c r="ED548" s="56">
        <f>$BQ548-$BQ549</f>
        <v/>
      </c>
      <c r="EE548" s="56">
        <f>$BR548-$BR549</f>
        <v/>
      </c>
      <c r="EF548" s="56">
        <f>$BS548-$BS549</f>
        <v/>
      </c>
      <c r="EG548" s="56">
        <f>$BT548-$BT549</f>
        <v/>
      </c>
      <c r="EH548" s="56">
        <f>$BU548-$BU549</f>
        <v/>
      </c>
    </row>
    <row r="549">
      <c r="BV549" s="56">
        <f>($D549-$D550)*100</f>
        <v/>
      </c>
      <c r="BW549" s="56">
        <f>($C549-$C550)*100</f>
        <v/>
      </c>
      <c r="BX549" s="57">
        <f>IFERROR($I549/$I550-1,"")</f>
        <v/>
      </c>
      <c r="BY549" s="56">
        <f>($AF549-$AF550)*100</f>
        <v/>
      </c>
      <c r="BZ549" s="56">
        <f>($AG549-$AG550)*100</f>
        <v/>
      </c>
      <c r="CA549" s="56">
        <f>($AH549-$AH550)*100</f>
        <v/>
      </c>
      <c r="CB549" s="56">
        <f>($AI549-$AI550)*100</f>
        <v/>
      </c>
      <c r="CC549" s="56">
        <f>($AJ549-$AJ550)*100</f>
        <v/>
      </c>
      <c r="CD549" s="56">
        <f>($AK549-$AK550)*100</f>
        <v/>
      </c>
      <c r="CE549" s="56">
        <f>($AL549-$AL550)*100</f>
        <v/>
      </c>
      <c r="CF549" s="56">
        <f>($AM549-$AM550)*100</f>
        <v/>
      </c>
      <c r="CG549" s="56">
        <f>($AN549-$AN550)*100</f>
        <v/>
      </c>
      <c r="CH549" s="56">
        <f>($AO549-$AO550)*100</f>
        <v/>
      </c>
      <c r="CI549" s="56">
        <f>($AP549-$AP550)*100</f>
        <v/>
      </c>
      <c r="CJ549" s="56">
        <f>($AQ549-$AQ550)*100</f>
        <v/>
      </c>
      <c r="CK549" s="56">
        <f>($AR549-$AR550)*100</f>
        <v/>
      </c>
      <c r="CL549" s="56">
        <f>($AS549-$AS550)*100</f>
        <v/>
      </c>
      <c r="CM549" s="56">
        <f>($AT549-$AT550)*100</f>
        <v/>
      </c>
      <c r="CN549" s="56">
        <f>($AU549-$AU550)*100</f>
        <v/>
      </c>
      <c r="CO549" s="56">
        <f>($AV549-$AV550)*100</f>
        <v/>
      </c>
      <c r="CP549" s="56">
        <f>($AW549-$AW550)*100</f>
        <v/>
      </c>
      <c r="CQ549" s="56">
        <f>($AX549-$AX550)*100</f>
        <v/>
      </c>
      <c r="CR549" s="56">
        <f>($AY549-$AY550)*100</f>
        <v/>
      </c>
      <c r="CS549" s="57">
        <f>IFERROR($L550/$L549-1,"")</f>
        <v/>
      </c>
      <c r="CT549" s="57">
        <f>IFERROR($M550/$M549-1,"")</f>
        <v/>
      </c>
      <c r="CU549" s="57">
        <f>IFERROR($N550/$N549-1,"")</f>
        <v/>
      </c>
      <c r="CV549" s="57">
        <f>IFERROR($O550/$O549-1,"")</f>
        <v/>
      </c>
      <c r="CW549" s="57">
        <f>IFERROR($P550/$P549-1,"")</f>
        <v/>
      </c>
      <c r="CX549" s="57">
        <f>IFERROR($Q550/$Q549-1,"")</f>
        <v/>
      </c>
      <c r="CY549" s="57">
        <f>IFERROR($R550/$R549-1,"")</f>
        <v/>
      </c>
      <c r="CZ549" s="57">
        <f>IFERROR($S550/$S549-1,"")</f>
        <v/>
      </c>
      <c r="DA549" s="57">
        <f>IFERROR($T550/$T549-1,"")</f>
        <v/>
      </c>
      <c r="DB549" s="57">
        <f>IFERROR($U550/$U549-1,"")</f>
        <v/>
      </c>
      <c r="DC549" s="57">
        <f>IFERROR($V550/$V549-1,"")</f>
        <v/>
      </c>
      <c r="DD549" s="57">
        <f>IFERROR($W550/$W549-1,"")</f>
        <v/>
      </c>
      <c r="DE549" s="57">
        <f>IFERROR($X550/$X549-1,"")</f>
        <v/>
      </c>
      <c r="DF549" s="57">
        <f>IFERROR($Y550/$Y549-1,"")</f>
        <v/>
      </c>
      <c r="DG549" s="57">
        <f>IFERROR($Z550/$Z549-1,"")</f>
        <v/>
      </c>
      <c r="DH549" s="57">
        <f>IFERROR($AA550/$AA549-1,"")</f>
        <v/>
      </c>
      <c r="DI549" s="57">
        <f>IFERROR($AB550/$AB549-1,"")</f>
        <v/>
      </c>
      <c r="DJ549" s="57">
        <f>IFERROR($AC550/$AC549-1,"")</f>
        <v/>
      </c>
      <c r="DK549" s="57">
        <f>IFERROR($AD550/$AD549-1,"")</f>
        <v/>
      </c>
      <c r="DL549" s="57">
        <f>IFERROR($AE550/$AE549-1,"")</f>
        <v/>
      </c>
      <c r="DM549" s="56">
        <f>$AZ549-$AZ550</f>
        <v/>
      </c>
      <c r="DN549" s="56">
        <f>$BA549-$BA550</f>
        <v/>
      </c>
      <c r="DO549" s="56">
        <f>$BB549-$BB550</f>
        <v/>
      </c>
      <c r="DP549" s="56">
        <f>$BC549-$BC550</f>
        <v/>
      </c>
      <c r="DQ549" s="56">
        <f>$BD549-$BD550</f>
        <v/>
      </c>
      <c r="DR549" s="56">
        <f>$BE549-$BE550</f>
        <v/>
      </c>
      <c r="DS549" s="56">
        <f>$BF549-$BF550</f>
        <v/>
      </c>
      <c r="DT549" s="56">
        <f>$BG549-$BG550</f>
        <v/>
      </c>
      <c r="DU549" s="56">
        <f>$BH549-$BH550</f>
        <v/>
      </c>
      <c r="DV549" s="56">
        <f>$BI549-$BI550</f>
        <v/>
      </c>
      <c r="DW549" s="56">
        <f>$BJ549-$BJ550</f>
        <v/>
      </c>
      <c r="DX549" s="56">
        <f>$BK549-$BK550</f>
        <v/>
      </c>
      <c r="DY549" s="56">
        <f>$BL549-$BL550</f>
        <v/>
      </c>
      <c r="DZ549" s="56">
        <f>$BM549-$BM550</f>
        <v/>
      </c>
      <c r="EA549" s="56">
        <f>$BN549-$BN550</f>
        <v/>
      </c>
      <c r="EB549" s="56">
        <f>$BO549-$BO550</f>
        <v/>
      </c>
      <c r="EC549" s="56">
        <f>$BP549-$BP550</f>
        <v/>
      </c>
      <c r="ED549" s="56">
        <f>$BQ549-$BQ550</f>
        <v/>
      </c>
      <c r="EE549" s="56">
        <f>$BR549-$BR550</f>
        <v/>
      </c>
      <c r="EF549" s="56">
        <f>$BS549-$BS550</f>
        <v/>
      </c>
      <c r="EG549" s="56">
        <f>$BT549-$BT550</f>
        <v/>
      </c>
      <c r="EH549" s="56">
        <f>$BU549-$BU550</f>
        <v/>
      </c>
    </row>
    <row r="550">
      <c r="BV550" s="56">
        <f>($D550-$D551)*100</f>
        <v/>
      </c>
      <c r="BW550" s="56">
        <f>($C550-$C551)*100</f>
        <v/>
      </c>
      <c r="BX550" s="57">
        <f>IFERROR($I550/$I551-1,"")</f>
        <v/>
      </c>
      <c r="BY550" s="56">
        <f>($AF550-$AF551)*100</f>
        <v/>
      </c>
      <c r="BZ550" s="56">
        <f>($AG550-$AG551)*100</f>
        <v/>
      </c>
      <c r="CA550" s="56">
        <f>($AH550-$AH551)*100</f>
        <v/>
      </c>
      <c r="CB550" s="56">
        <f>($AI550-$AI551)*100</f>
        <v/>
      </c>
      <c r="CC550" s="56">
        <f>($AJ550-$AJ551)*100</f>
        <v/>
      </c>
      <c r="CD550" s="56">
        <f>($AK550-$AK551)*100</f>
        <v/>
      </c>
      <c r="CE550" s="56">
        <f>($AL550-$AL551)*100</f>
        <v/>
      </c>
      <c r="CF550" s="56">
        <f>($AM550-$AM551)*100</f>
        <v/>
      </c>
      <c r="CG550" s="56">
        <f>($AN550-$AN551)*100</f>
        <v/>
      </c>
      <c r="CH550" s="56">
        <f>($AO550-$AO551)*100</f>
        <v/>
      </c>
      <c r="CI550" s="56">
        <f>($AP550-$AP551)*100</f>
        <v/>
      </c>
      <c r="CJ550" s="56">
        <f>($AQ550-$AQ551)*100</f>
        <v/>
      </c>
      <c r="CK550" s="56">
        <f>($AR550-$AR551)*100</f>
        <v/>
      </c>
      <c r="CL550" s="56">
        <f>($AS550-$AS551)*100</f>
        <v/>
      </c>
      <c r="CM550" s="56">
        <f>($AT550-$AT551)*100</f>
        <v/>
      </c>
      <c r="CN550" s="56">
        <f>($AU550-$AU551)*100</f>
        <v/>
      </c>
      <c r="CO550" s="56">
        <f>($AV550-$AV551)*100</f>
        <v/>
      </c>
      <c r="CP550" s="56">
        <f>($AW550-$AW551)*100</f>
        <v/>
      </c>
      <c r="CQ550" s="56">
        <f>($AX550-$AX551)*100</f>
        <v/>
      </c>
      <c r="CR550" s="56">
        <f>($AY550-$AY551)*100</f>
        <v/>
      </c>
      <c r="CS550" s="57">
        <f>IFERROR($L551/$L550-1,"")</f>
        <v/>
      </c>
      <c r="CT550" s="57">
        <f>IFERROR($M551/$M550-1,"")</f>
        <v/>
      </c>
      <c r="CU550" s="57">
        <f>IFERROR($N551/$N550-1,"")</f>
        <v/>
      </c>
      <c r="CV550" s="57">
        <f>IFERROR($O551/$O550-1,"")</f>
        <v/>
      </c>
      <c r="CW550" s="57">
        <f>IFERROR($P551/$P550-1,"")</f>
        <v/>
      </c>
      <c r="CX550" s="57">
        <f>IFERROR($Q551/$Q550-1,"")</f>
        <v/>
      </c>
      <c r="CY550" s="57">
        <f>IFERROR($R551/$R550-1,"")</f>
        <v/>
      </c>
      <c r="CZ550" s="57">
        <f>IFERROR($S551/$S550-1,"")</f>
        <v/>
      </c>
      <c r="DA550" s="57">
        <f>IFERROR($T551/$T550-1,"")</f>
        <v/>
      </c>
      <c r="DB550" s="57">
        <f>IFERROR($U551/$U550-1,"")</f>
        <v/>
      </c>
      <c r="DC550" s="57">
        <f>IFERROR($V551/$V550-1,"")</f>
        <v/>
      </c>
      <c r="DD550" s="57">
        <f>IFERROR($W551/$W550-1,"")</f>
        <v/>
      </c>
      <c r="DE550" s="57">
        <f>IFERROR($X551/$X550-1,"")</f>
        <v/>
      </c>
      <c r="DF550" s="57">
        <f>IFERROR($Y551/$Y550-1,"")</f>
        <v/>
      </c>
      <c r="DG550" s="57">
        <f>IFERROR($Z551/$Z550-1,"")</f>
        <v/>
      </c>
      <c r="DH550" s="57">
        <f>IFERROR($AA551/$AA550-1,"")</f>
        <v/>
      </c>
      <c r="DI550" s="57">
        <f>IFERROR($AB551/$AB550-1,"")</f>
        <v/>
      </c>
      <c r="DJ550" s="57">
        <f>IFERROR($AC551/$AC550-1,"")</f>
        <v/>
      </c>
      <c r="DK550" s="57">
        <f>IFERROR($AD551/$AD550-1,"")</f>
        <v/>
      </c>
      <c r="DL550" s="57">
        <f>IFERROR($AE551/$AE550-1,"")</f>
        <v/>
      </c>
      <c r="DM550" s="56">
        <f>$AZ550-$AZ551</f>
        <v/>
      </c>
      <c r="DN550" s="56">
        <f>$BA550-$BA551</f>
        <v/>
      </c>
      <c r="DO550" s="56">
        <f>$BB550-$BB551</f>
        <v/>
      </c>
      <c r="DP550" s="56">
        <f>$BC550-$BC551</f>
        <v/>
      </c>
      <c r="DQ550" s="56">
        <f>$BD550-$BD551</f>
        <v/>
      </c>
      <c r="DR550" s="56">
        <f>$BE550-$BE551</f>
        <v/>
      </c>
      <c r="DS550" s="56">
        <f>$BF550-$BF551</f>
        <v/>
      </c>
      <c r="DT550" s="56">
        <f>$BG550-$BG551</f>
        <v/>
      </c>
      <c r="DU550" s="56">
        <f>$BH550-$BH551</f>
        <v/>
      </c>
      <c r="DV550" s="56">
        <f>$BI550-$BI551</f>
        <v/>
      </c>
      <c r="DW550" s="56">
        <f>$BJ550-$BJ551</f>
        <v/>
      </c>
      <c r="DX550" s="56">
        <f>$BK550-$BK551</f>
        <v/>
      </c>
      <c r="DY550" s="56">
        <f>$BL550-$BL551</f>
        <v/>
      </c>
      <c r="DZ550" s="56">
        <f>$BM550-$BM551</f>
        <v/>
      </c>
      <c r="EA550" s="56">
        <f>$BN550-$BN551</f>
        <v/>
      </c>
      <c r="EB550" s="56">
        <f>$BO550-$BO551</f>
        <v/>
      </c>
      <c r="EC550" s="56">
        <f>$BP550-$BP551</f>
        <v/>
      </c>
      <c r="ED550" s="56">
        <f>$BQ550-$BQ551</f>
        <v/>
      </c>
      <c r="EE550" s="56">
        <f>$BR550-$BR551</f>
        <v/>
      </c>
      <c r="EF550" s="56">
        <f>$BS550-$BS551</f>
        <v/>
      </c>
      <c r="EG550" s="56">
        <f>$BT550-$BT551</f>
        <v/>
      </c>
      <c r="EH550" s="56">
        <f>$BU550-$BU551</f>
        <v/>
      </c>
    </row>
    <row r="551">
      <c r="BV551" s="56">
        <f>($D551-$D552)*100</f>
        <v/>
      </c>
      <c r="BW551" s="56">
        <f>($C551-$C552)*100</f>
        <v/>
      </c>
      <c r="BX551" s="57">
        <f>IFERROR($I551/$I552-1,"")</f>
        <v/>
      </c>
      <c r="BY551" s="56">
        <f>($AF551-$AF552)*100</f>
        <v/>
      </c>
      <c r="BZ551" s="56">
        <f>($AG551-$AG552)*100</f>
        <v/>
      </c>
      <c r="CA551" s="56">
        <f>($AH551-$AH552)*100</f>
        <v/>
      </c>
      <c r="CB551" s="56">
        <f>($AI551-$AI552)*100</f>
        <v/>
      </c>
      <c r="CC551" s="56">
        <f>($AJ551-$AJ552)*100</f>
        <v/>
      </c>
      <c r="CD551" s="56">
        <f>($AK551-$AK552)*100</f>
        <v/>
      </c>
      <c r="CE551" s="56">
        <f>($AL551-$AL552)*100</f>
        <v/>
      </c>
      <c r="CF551" s="56">
        <f>($AM551-$AM552)*100</f>
        <v/>
      </c>
      <c r="CG551" s="56">
        <f>($AN551-$AN552)*100</f>
        <v/>
      </c>
      <c r="CH551" s="56">
        <f>($AO551-$AO552)*100</f>
        <v/>
      </c>
      <c r="CI551" s="56">
        <f>($AP551-$AP552)*100</f>
        <v/>
      </c>
      <c r="CJ551" s="56">
        <f>($AQ551-$AQ552)*100</f>
        <v/>
      </c>
      <c r="CK551" s="56">
        <f>($AR551-$AR552)*100</f>
        <v/>
      </c>
      <c r="CL551" s="56">
        <f>($AS551-$AS552)*100</f>
        <v/>
      </c>
      <c r="CM551" s="56">
        <f>($AT551-$AT552)*100</f>
        <v/>
      </c>
      <c r="CN551" s="56">
        <f>($AU551-$AU552)*100</f>
        <v/>
      </c>
      <c r="CO551" s="56">
        <f>($AV551-$AV552)*100</f>
        <v/>
      </c>
      <c r="CP551" s="56">
        <f>($AW551-$AW552)*100</f>
        <v/>
      </c>
      <c r="CQ551" s="56">
        <f>($AX551-$AX552)*100</f>
        <v/>
      </c>
      <c r="CR551" s="56">
        <f>($AY551-$AY552)*100</f>
        <v/>
      </c>
      <c r="CS551" s="57">
        <f>IFERROR($L552/$L551-1,"")</f>
        <v/>
      </c>
      <c r="CT551" s="57">
        <f>IFERROR($M552/$M551-1,"")</f>
        <v/>
      </c>
      <c r="CU551" s="57">
        <f>IFERROR($N552/$N551-1,"")</f>
        <v/>
      </c>
      <c r="CV551" s="57">
        <f>IFERROR($O552/$O551-1,"")</f>
        <v/>
      </c>
      <c r="CW551" s="57">
        <f>IFERROR($P552/$P551-1,"")</f>
        <v/>
      </c>
      <c r="CX551" s="57">
        <f>IFERROR($Q552/$Q551-1,"")</f>
        <v/>
      </c>
      <c r="CY551" s="57">
        <f>IFERROR($R552/$R551-1,"")</f>
        <v/>
      </c>
      <c r="CZ551" s="57">
        <f>IFERROR($S552/$S551-1,"")</f>
        <v/>
      </c>
      <c r="DA551" s="57">
        <f>IFERROR($T552/$T551-1,"")</f>
        <v/>
      </c>
      <c r="DB551" s="57">
        <f>IFERROR($U552/$U551-1,"")</f>
        <v/>
      </c>
      <c r="DC551" s="57">
        <f>IFERROR($V552/$V551-1,"")</f>
        <v/>
      </c>
      <c r="DD551" s="57">
        <f>IFERROR($W552/$W551-1,"")</f>
        <v/>
      </c>
      <c r="DE551" s="57">
        <f>IFERROR($X552/$X551-1,"")</f>
        <v/>
      </c>
      <c r="DF551" s="57">
        <f>IFERROR($Y552/$Y551-1,"")</f>
        <v/>
      </c>
      <c r="DG551" s="57">
        <f>IFERROR($Z552/$Z551-1,"")</f>
        <v/>
      </c>
      <c r="DH551" s="57">
        <f>IFERROR($AA552/$AA551-1,"")</f>
        <v/>
      </c>
      <c r="DI551" s="57">
        <f>IFERROR($AB552/$AB551-1,"")</f>
        <v/>
      </c>
      <c r="DJ551" s="57">
        <f>IFERROR($AC552/$AC551-1,"")</f>
        <v/>
      </c>
      <c r="DK551" s="57">
        <f>IFERROR($AD552/$AD551-1,"")</f>
        <v/>
      </c>
      <c r="DL551" s="57">
        <f>IFERROR($AE552/$AE551-1,"")</f>
        <v/>
      </c>
      <c r="DM551" s="56">
        <f>$AZ551-$AZ552</f>
        <v/>
      </c>
      <c r="DN551" s="56">
        <f>$BA551-$BA552</f>
        <v/>
      </c>
      <c r="DO551" s="56">
        <f>$BB551-$BB552</f>
        <v/>
      </c>
      <c r="DP551" s="56">
        <f>$BC551-$BC552</f>
        <v/>
      </c>
      <c r="DQ551" s="56">
        <f>$BD551-$BD552</f>
        <v/>
      </c>
      <c r="DR551" s="56">
        <f>$BE551-$BE552</f>
        <v/>
      </c>
      <c r="DS551" s="56">
        <f>$BF551-$BF552</f>
        <v/>
      </c>
      <c r="DT551" s="56">
        <f>$BG551-$BG552</f>
        <v/>
      </c>
      <c r="DU551" s="56">
        <f>$BH551-$BH552</f>
        <v/>
      </c>
      <c r="DV551" s="56">
        <f>$BI551-$BI552</f>
        <v/>
      </c>
      <c r="DW551" s="56">
        <f>$BJ551-$BJ552</f>
        <v/>
      </c>
      <c r="DX551" s="56">
        <f>$BK551-$BK552</f>
        <v/>
      </c>
      <c r="DY551" s="56">
        <f>$BL551-$BL552</f>
        <v/>
      </c>
      <c r="DZ551" s="56">
        <f>$BM551-$BM552</f>
        <v/>
      </c>
      <c r="EA551" s="56">
        <f>$BN551-$BN552</f>
        <v/>
      </c>
      <c r="EB551" s="56">
        <f>$BO551-$BO552</f>
        <v/>
      </c>
      <c r="EC551" s="56">
        <f>$BP551-$BP552</f>
        <v/>
      </c>
      <c r="ED551" s="56">
        <f>$BQ551-$BQ552</f>
        <v/>
      </c>
      <c r="EE551" s="56">
        <f>$BR551-$BR552</f>
        <v/>
      </c>
      <c r="EF551" s="56">
        <f>$BS551-$BS552</f>
        <v/>
      </c>
      <c r="EG551" s="56">
        <f>$BT551-$BT552</f>
        <v/>
      </c>
      <c r="EH551" s="56">
        <f>$BU551-$BU552</f>
        <v/>
      </c>
    </row>
    <row r="552">
      <c r="BV552" s="56">
        <f>($D552-$D553)*100</f>
        <v/>
      </c>
      <c r="BW552" s="56">
        <f>($C552-$C553)*100</f>
        <v/>
      </c>
      <c r="BX552" s="57">
        <f>IFERROR($I552/$I553-1,"")</f>
        <v/>
      </c>
      <c r="BY552" s="56">
        <f>($AF552-$AF553)*100</f>
        <v/>
      </c>
      <c r="BZ552" s="56">
        <f>($AG552-$AG553)*100</f>
        <v/>
      </c>
      <c r="CA552" s="56">
        <f>($AH552-$AH553)*100</f>
        <v/>
      </c>
      <c r="CB552" s="56">
        <f>($AI552-$AI553)*100</f>
        <v/>
      </c>
      <c r="CC552" s="56">
        <f>($AJ552-$AJ553)*100</f>
        <v/>
      </c>
      <c r="CD552" s="56">
        <f>($AK552-$AK553)*100</f>
        <v/>
      </c>
      <c r="CE552" s="56">
        <f>($AL552-$AL553)*100</f>
        <v/>
      </c>
      <c r="CF552" s="56">
        <f>($AM552-$AM553)*100</f>
        <v/>
      </c>
      <c r="CG552" s="56">
        <f>($AN552-$AN553)*100</f>
        <v/>
      </c>
      <c r="CH552" s="56">
        <f>($AO552-$AO553)*100</f>
        <v/>
      </c>
      <c r="CI552" s="56">
        <f>($AP552-$AP553)*100</f>
        <v/>
      </c>
      <c r="CJ552" s="56">
        <f>($AQ552-$AQ553)*100</f>
        <v/>
      </c>
      <c r="CK552" s="56">
        <f>($AR552-$AR553)*100</f>
        <v/>
      </c>
      <c r="CL552" s="56">
        <f>($AS552-$AS553)*100</f>
        <v/>
      </c>
      <c r="CM552" s="56">
        <f>($AT552-$AT553)*100</f>
        <v/>
      </c>
      <c r="CN552" s="56">
        <f>($AU552-$AU553)*100</f>
        <v/>
      </c>
      <c r="CO552" s="56">
        <f>($AV552-$AV553)*100</f>
        <v/>
      </c>
      <c r="CP552" s="56">
        <f>($AW552-$AW553)*100</f>
        <v/>
      </c>
      <c r="CQ552" s="56">
        <f>($AX552-$AX553)*100</f>
        <v/>
      </c>
      <c r="CR552" s="56">
        <f>($AY552-$AY553)*100</f>
        <v/>
      </c>
      <c r="CS552" s="57">
        <f>IFERROR($L553/$L552-1,"")</f>
        <v/>
      </c>
      <c r="CT552" s="57">
        <f>IFERROR($M553/$M552-1,"")</f>
        <v/>
      </c>
      <c r="CU552" s="57">
        <f>IFERROR($N553/$N552-1,"")</f>
        <v/>
      </c>
      <c r="CV552" s="57">
        <f>IFERROR($O553/$O552-1,"")</f>
        <v/>
      </c>
      <c r="CW552" s="57">
        <f>IFERROR($P553/$P552-1,"")</f>
        <v/>
      </c>
      <c r="CX552" s="57">
        <f>IFERROR($Q553/$Q552-1,"")</f>
        <v/>
      </c>
      <c r="CY552" s="57">
        <f>IFERROR($R553/$R552-1,"")</f>
        <v/>
      </c>
      <c r="CZ552" s="57">
        <f>IFERROR($S553/$S552-1,"")</f>
        <v/>
      </c>
      <c r="DA552" s="57">
        <f>IFERROR($T553/$T552-1,"")</f>
        <v/>
      </c>
      <c r="DB552" s="57">
        <f>IFERROR($U553/$U552-1,"")</f>
        <v/>
      </c>
      <c r="DC552" s="57">
        <f>IFERROR($V553/$V552-1,"")</f>
        <v/>
      </c>
      <c r="DD552" s="57">
        <f>IFERROR($W553/$W552-1,"")</f>
        <v/>
      </c>
      <c r="DE552" s="57">
        <f>IFERROR($X553/$X552-1,"")</f>
        <v/>
      </c>
      <c r="DF552" s="57">
        <f>IFERROR($Y553/$Y552-1,"")</f>
        <v/>
      </c>
      <c r="DG552" s="57">
        <f>IFERROR($Z553/$Z552-1,"")</f>
        <v/>
      </c>
      <c r="DH552" s="57">
        <f>IFERROR($AA553/$AA552-1,"")</f>
        <v/>
      </c>
      <c r="DI552" s="57">
        <f>IFERROR($AB553/$AB552-1,"")</f>
        <v/>
      </c>
      <c r="DJ552" s="57">
        <f>IFERROR($AC553/$AC552-1,"")</f>
        <v/>
      </c>
      <c r="DK552" s="57">
        <f>IFERROR($AD553/$AD552-1,"")</f>
        <v/>
      </c>
      <c r="DL552" s="57">
        <f>IFERROR($AE553/$AE552-1,"")</f>
        <v/>
      </c>
      <c r="DM552" s="56">
        <f>$AZ552-$AZ553</f>
        <v/>
      </c>
      <c r="DN552" s="56">
        <f>$BA552-$BA553</f>
        <v/>
      </c>
      <c r="DO552" s="56">
        <f>$BB552-$BB553</f>
        <v/>
      </c>
      <c r="DP552" s="56">
        <f>$BC552-$BC553</f>
        <v/>
      </c>
      <c r="DQ552" s="56">
        <f>$BD552-$BD553</f>
        <v/>
      </c>
      <c r="DR552" s="56">
        <f>$BE552-$BE553</f>
        <v/>
      </c>
      <c r="DS552" s="56">
        <f>$BF552-$BF553</f>
        <v/>
      </c>
      <c r="DT552" s="56">
        <f>$BG552-$BG553</f>
        <v/>
      </c>
      <c r="DU552" s="56">
        <f>$BH552-$BH553</f>
        <v/>
      </c>
      <c r="DV552" s="56">
        <f>$BI552-$BI553</f>
        <v/>
      </c>
      <c r="DW552" s="56">
        <f>$BJ552-$BJ553</f>
        <v/>
      </c>
      <c r="DX552" s="56">
        <f>$BK552-$BK553</f>
        <v/>
      </c>
      <c r="DY552" s="56">
        <f>$BL552-$BL553</f>
        <v/>
      </c>
      <c r="DZ552" s="56">
        <f>$BM552-$BM553</f>
        <v/>
      </c>
      <c r="EA552" s="56">
        <f>$BN552-$BN553</f>
        <v/>
      </c>
      <c r="EB552" s="56">
        <f>$BO552-$BO553</f>
        <v/>
      </c>
      <c r="EC552" s="56">
        <f>$BP552-$BP553</f>
        <v/>
      </c>
      <c r="ED552" s="56">
        <f>$BQ552-$BQ553</f>
        <v/>
      </c>
      <c r="EE552" s="56">
        <f>$BR552-$BR553</f>
        <v/>
      </c>
      <c r="EF552" s="56">
        <f>$BS552-$BS553</f>
        <v/>
      </c>
      <c r="EG552" s="56">
        <f>$BT552-$BT553</f>
        <v/>
      </c>
      <c r="EH552" s="56">
        <f>$BU552-$BU553</f>
        <v/>
      </c>
    </row>
    <row r="553">
      <c r="BV553" s="56">
        <f>($D553-$D554)*100</f>
        <v/>
      </c>
      <c r="BW553" s="56">
        <f>($C553-$C554)*100</f>
        <v/>
      </c>
      <c r="BX553" s="57">
        <f>IFERROR($I553/$I554-1,"")</f>
        <v/>
      </c>
      <c r="BY553" s="56">
        <f>($AF553-$AF554)*100</f>
        <v/>
      </c>
      <c r="BZ553" s="56">
        <f>($AG553-$AG554)*100</f>
        <v/>
      </c>
      <c r="CA553" s="56">
        <f>($AH553-$AH554)*100</f>
        <v/>
      </c>
      <c r="CB553" s="56">
        <f>($AI553-$AI554)*100</f>
        <v/>
      </c>
      <c r="CC553" s="56">
        <f>($AJ553-$AJ554)*100</f>
        <v/>
      </c>
      <c r="CD553" s="56">
        <f>($AK553-$AK554)*100</f>
        <v/>
      </c>
      <c r="CE553" s="56">
        <f>($AL553-$AL554)*100</f>
        <v/>
      </c>
      <c r="CF553" s="56">
        <f>($AM553-$AM554)*100</f>
        <v/>
      </c>
      <c r="CG553" s="56">
        <f>($AN553-$AN554)*100</f>
        <v/>
      </c>
      <c r="CH553" s="56">
        <f>($AO553-$AO554)*100</f>
        <v/>
      </c>
      <c r="CI553" s="56">
        <f>($AP553-$AP554)*100</f>
        <v/>
      </c>
      <c r="CJ553" s="56">
        <f>($AQ553-$AQ554)*100</f>
        <v/>
      </c>
      <c r="CK553" s="56">
        <f>($AR553-$AR554)*100</f>
        <v/>
      </c>
      <c r="CL553" s="56">
        <f>($AS553-$AS554)*100</f>
        <v/>
      </c>
      <c r="CM553" s="56">
        <f>($AT553-$AT554)*100</f>
        <v/>
      </c>
      <c r="CN553" s="56">
        <f>($AU553-$AU554)*100</f>
        <v/>
      </c>
      <c r="CO553" s="56">
        <f>($AV553-$AV554)*100</f>
        <v/>
      </c>
      <c r="CP553" s="56">
        <f>($AW553-$AW554)*100</f>
        <v/>
      </c>
      <c r="CQ553" s="56">
        <f>($AX553-$AX554)*100</f>
        <v/>
      </c>
      <c r="CR553" s="56">
        <f>($AY553-$AY554)*100</f>
        <v/>
      </c>
      <c r="CS553" s="57">
        <f>IFERROR($L554/$L553-1,"")</f>
        <v/>
      </c>
      <c r="CT553" s="57">
        <f>IFERROR($M554/$M553-1,"")</f>
        <v/>
      </c>
      <c r="CU553" s="57">
        <f>IFERROR($N554/$N553-1,"")</f>
        <v/>
      </c>
      <c r="CV553" s="57">
        <f>IFERROR($O554/$O553-1,"")</f>
        <v/>
      </c>
      <c r="CW553" s="57">
        <f>IFERROR($P554/$P553-1,"")</f>
        <v/>
      </c>
      <c r="CX553" s="57">
        <f>IFERROR($Q554/$Q553-1,"")</f>
        <v/>
      </c>
      <c r="CY553" s="57">
        <f>IFERROR($R554/$R553-1,"")</f>
        <v/>
      </c>
      <c r="CZ553" s="57">
        <f>IFERROR($S554/$S553-1,"")</f>
        <v/>
      </c>
      <c r="DA553" s="57">
        <f>IFERROR($T554/$T553-1,"")</f>
        <v/>
      </c>
      <c r="DB553" s="57">
        <f>IFERROR($U554/$U553-1,"")</f>
        <v/>
      </c>
      <c r="DC553" s="57">
        <f>IFERROR($V554/$V553-1,"")</f>
        <v/>
      </c>
      <c r="DD553" s="57">
        <f>IFERROR($W554/$W553-1,"")</f>
        <v/>
      </c>
      <c r="DE553" s="57">
        <f>IFERROR($X554/$X553-1,"")</f>
        <v/>
      </c>
      <c r="DF553" s="57">
        <f>IFERROR($Y554/$Y553-1,"")</f>
        <v/>
      </c>
      <c r="DG553" s="57">
        <f>IFERROR($Z554/$Z553-1,"")</f>
        <v/>
      </c>
      <c r="DH553" s="57">
        <f>IFERROR($AA554/$AA553-1,"")</f>
        <v/>
      </c>
      <c r="DI553" s="57">
        <f>IFERROR($AB554/$AB553-1,"")</f>
        <v/>
      </c>
      <c r="DJ553" s="57">
        <f>IFERROR($AC554/$AC553-1,"")</f>
        <v/>
      </c>
      <c r="DK553" s="57">
        <f>IFERROR($AD554/$AD553-1,"")</f>
        <v/>
      </c>
      <c r="DL553" s="57">
        <f>IFERROR($AE554/$AE553-1,"")</f>
        <v/>
      </c>
      <c r="DM553" s="56">
        <f>$AZ553-$AZ554</f>
        <v/>
      </c>
      <c r="DN553" s="56">
        <f>$BA553-$BA554</f>
        <v/>
      </c>
      <c r="DO553" s="56">
        <f>$BB553-$BB554</f>
        <v/>
      </c>
      <c r="DP553" s="56">
        <f>$BC553-$BC554</f>
        <v/>
      </c>
      <c r="DQ553" s="56">
        <f>$BD553-$BD554</f>
        <v/>
      </c>
      <c r="DR553" s="56">
        <f>$BE553-$BE554</f>
        <v/>
      </c>
      <c r="DS553" s="56">
        <f>$BF553-$BF554</f>
        <v/>
      </c>
      <c r="DT553" s="56">
        <f>$BG553-$BG554</f>
        <v/>
      </c>
      <c r="DU553" s="56">
        <f>$BH553-$BH554</f>
        <v/>
      </c>
      <c r="DV553" s="56">
        <f>$BI553-$BI554</f>
        <v/>
      </c>
      <c r="DW553" s="56">
        <f>$BJ553-$BJ554</f>
        <v/>
      </c>
      <c r="DX553" s="56">
        <f>$BK553-$BK554</f>
        <v/>
      </c>
      <c r="DY553" s="56">
        <f>$BL553-$BL554</f>
        <v/>
      </c>
      <c r="DZ553" s="56">
        <f>$BM553-$BM554</f>
        <v/>
      </c>
      <c r="EA553" s="56">
        <f>$BN553-$BN554</f>
        <v/>
      </c>
      <c r="EB553" s="56">
        <f>$BO553-$BO554</f>
        <v/>
      </c>
      <c r="EC553" s="56">
        <f>$BP553-$BP554</f>
        <v/>
      </c>
      <c r="ED553" s="56">
        <f>$BQ553-$BQ554</f>
        <v/>
      </c>
      <c r="EE553" s="56">
        <f>$BR553-$BR554</f>
        <v/>
      </c>
      <c r="EF553" s="56">
        <f>$BS553-$BS554</f>
        <v/>
      </c>
      <c r="EG553" s="56">
        <f>$BT553-$BT554</f>
        <v/>
      </c>
      <c r="EH553" s="56">
        <f>$BU553-$BU554</f>
        <v/>
      </c>
    </row>
    <row r="554">
      <c r="BV554" s="56">
        <f>($D554-$D555)*100</f>
        <v/>
      </c>
      <c r="BW554" s="56">
        <f>($C554-$C555)*100</f>
        <v/>
      </c>
      <c r="BX554" s="57">
        <f>IFERROR($I554/$I555-1,"")</f>
        <v/>
      </c>
      <c r="BY554" s="56">
        <f>($AF554-$AF555)*100</f>
        <v/>
      </c>
      <c r="BZ554" s="56">
        <f>($AG554-$AG555)*100</f>
        <v/>
      </c>
      <c r="CA554" s="56">
        <f>($AH554-$AH555)*100</f>
        <v/>
      </c>
      <c r="CB554" s="56">
        <f>($AI554-$AI555)*100</f>
        <v/>
      </c>
      <c r="CC554" s="56">
        <f>($AJ554-$AJ555)*100</f>
        <v/>
      </c>
      <c r="CD554" s="56">
        <f>($AK554-$AK555)*100</f>
        <v/>
      </c>
      <c r="CE554" s="56">
        <f>($AL554-$AL555)*100</f>
        <v/>
      </c>
      <c r="CF554" s="56">
        <f>($AM554-$AM555)*100</f>
        <v/>
      </c>
      <c r="CG554" s="56">
        <f>($AN554-$AN555)*100</f>
        <v/>
      </c>
      <c r="CH554" s="56">
        <f>($AO554-$AO555)*100</f>
        <v/>
      </c>
      <c r="CI554" s="56">
        <f>($AP554-$AP555)*100</f>
        <v/>
      </c>
      <c r="CJ554" s="56">
        <f>($AQ554-$AQ555)*100</f>
        <v/>
      </c>
      <c r="CK554" s="56">
        <f>($AR554-$AR555)*100</f>
        <v/>
      </c>
      <c r="CL554" s="56">
        <f>($AS554-$AS555)*100</f>
        <v/>
      </c>
      <c r="CM554" s="56">
        <f>($AT554-$AT555)*100</f>
        <v/>
      </c>
      <c r="CN554" s="56">
        <f>($AU554-$AU555)*100</f>
        <v/>
      </c>
      <c r="CO554" s="56">
        <f>($AV554-$AV555)*100</f>
        <v/>
      </c>
      <c r="CP554" s="56">
        <f>($AW554-$AW555)*100</f>
        <v/>
      </c>
      <c r="CQ554" s="56">
        <f>($AX554-$AX555)*100</f>
        <v/>
      </c>
      <c r="CR554" s="56">
        <f>($AY554-$AY555)*100</f>
        <v/>
      </c>
      <c r="CS554" s="57">
        <f>IFERROR($L555/$L554-1,"")</f>
        <v/>
      </c>
      <c r="CT554" s="57">
        <f>IFERROR($M555/$M554-1,"")</f>
        <v/>
      </c>
      <c r="CU554" s="57">
        <f>IFERROR($N555/$N554-1,"")</f>
        <v/>
      </c>
      <c r="CV554" s="57">
        <f>IFERROR($O555/$O554-1,"")</f>
        <v/>
      </c>
      <c r="CW554" s="57">
        <f>IFERROR($P555/$P554-1,"")</f>
        <v/>
      </c>
      <c r="CX554" s="57">
        <f>IFERROR($Q555/$Q554-1,"")</f>
        <v/>
      </c>
      <c r="CY554" s="57">
        <f>IFERROR($R555/$R554-1,"")</f>
        <v/>
      </c>
      <c r="CZ554" s="57">
        <f>IFERROR($S555/$S554-1,"")</f>
        <v/>
      </c>
      <c r="DA554" s="57">
        <f>IFERROR($T555/$T554-1,"")</f>
        <v/>
      </c>
      <c r="DB554" s="57">
        <f>IFERROR($U555/$U554-1,"")</f>
        <v/>
      </c>
      <c r="DC554" s="57">
        <f>IFERROR($V555/$V554-1,"")</f>
        <v/>
      </c>
      <c r="DD554" s="57">
        <f>IFERROR($W555/$W554-1,"")</f>
        <v/>
      </c>
      <c r="DE554" s="57">
        <f>IFERROR($X555/$X554-1,"")</f>
        <v/>
      </c>
      <c r="DF554" s="57">
        <f>IFERROR($Y555/$Y554-1,"")</f>
        <v/>
      </c>
      <c r="DG554" s="57">
        <f>IFERROR($Z555/$Z554-1,"")</f>
        <v/>
      </c>
      <c r="DH554" s="57">
        <f>IFERROR($AA555/$AA554-1,"")</f>
        <v/>
      </c>
      <c r="DI554" s="57">
        <f>IFERROR($AB555/$AB554-1,"")</f>
        <v/>
      </c>
      <c r="DJ554" s="57">
        <f>IFERROR($AC555/$AC554-1,"")</f>
        <v/>
      </c>
      <c r="DK554" s="57">
        <f>IFERROR($AD555/$AD554-1,"")</f>
        <v/>
      </c>
      <c r="DL554" s="57">
        <f>IFERROR($AE555/$AE554-1,"")</f>
        <v/>
      </c>
      <c r="DM554" s="56">
        <f>$AZ554-$AZ555</f>
        <v/>
      </c>
      <c r="DN554" s="56">
        <f>$BA554-$BA555</f>
        <v/>
      </c>
      <c r="DO554" s="56">
        <f>$BB554-$BB555</f>
        <v/>
      </c>
      <c r="DP554" s="56">
        <f>$BC554-$BC555</f>
        <v/>
      </c>
      <c r="DQ554" s="56">
        <f>$BD554-$BD555</f>
        <v/>
      </c>
      <c r="DR554" s="56">
        <f>$BE554-$BE555</f>
        <v/>
      </c>
      <c r="DS554" s="56">
        <f>$BF554-$BF555</f>
        <v/>
      </c>
      <c r="DT554" s="56">
        <f>$BG554-$BG555</f>
        <v/>
      </c>
      <c r="DU554" s="56">
        <f>$BH554-$BH555</f>
        <v/>
      </c>
      <c r="DV554" s="56">
        <f>$BI554-$BI555</f>
        <v/>
      </c>
      <c r="DW554" s="56">
        <f>$BJ554-$BJ555</f>
        <v/>
      </c>
      <c r="DX554" s="56">
        <f>$BK554-$BK555</f>
        <v/>
      </c>
      <c r="DY554" s="56">
        <f>$BL554-$BL555</f>
        <v/>
      </c>
      <c r="DZ554" s="56">
        <f>$BM554-$BM555</f>
        <v/>
      </c>
      <c r="EA554" s="56">
        <f>$BN554-$BN555</f>
        <v/>
      </c>
      <c r="EB554" s="56">
        <f>$BO554-$BO555</f>
        <v/>
      </c>
      <c r="EC554" s="56">
        <f>$BP554-$BP555</f>
        <v/>
      </c>
      <c r="ED554" s="56">
        <f>$BQ554-$BQ555</f>
        <v/>
      </c>
      <c r="EE554" s="56">
        <f>$BR554-$BR555</f>
        <v/>
      </c>
      <c r="EF554" s="56">
        <f>$BS554-$BS555</f>
        <v/>
      </c>
      <c r="EG554" s="56">
        <f>$BT554-$BT555</f>
        <v/>
      </c>
      <c r="EH554" s="56">
        <f>$BU554-$BU555</f>
        <v/>
      </c>
    </row>
    <row r="555">
      <c r="BV555" s="56">
        <f>($D555-$D556)*100</f>
        <v/>
      </c>
      <c r="BW555" s="56">
        <f>($C555-$C556)*100</f>
        <v/>
      </c>
      <c r="BX555" s="57">
        <f>IFERROR($I555/$I556-1,"")</f>
        <v/>
      </c>
      <c r="BY555" s="56">
        <f>($AF555-$AF556)*100</f>
        <v/>
      </c>
      <c r="BZ555" s="56">
        <f>($AG555-$AG556)*100</f>
        <v/>
      </c>
      <c r="CA555" s="56">
        <f>($AH555-$AH556)*100</f>
        <v/>
      </c>
      <c r="CB555" s="56">
        <f>($AI555-$AI556)*100</f>
        <v/>
      </c>
      <c r="CC555" s="56">
        <f>($AJ555-$AJ556)*100</f>
        <v/>
      </c>
      <c r="CD555" s="56">
        <f>($AK555-$AK556)*100</f>
        <v/>
      </c>
      <c r="CE555" s="56">
        <f>($AL555-$AL556)*100</f>
        <v/>
      </c>
      <c r="CF555" s="56">
        <f>($AM555-$AM556)*100</f>
        <v/>
      </c>
      <c r="CG555" s="56">
        <f>($AN555-$AN556)*100</f>
        <v/>
      </c>
      <c r="CH555" s="56">
        <f>($AO555-$AO556)*100</f>
        <v/>
      </c>
      <c r="CI555" s="56">
        <f>($AP555-$AP556)*100</f>
        <v/>
      </c>
      <c r="CJ555" s="56">
        <f>($AQ555-$AQ556)*100</f>
        <v/>
      </c>
      <c r="CK555" s="56">
        <f>($AR555-$AR556)*100</f>
        <v/>
      </c>
      <c r="CL555" s="56">
        <f>($AS555-$AS556)*100</f>
        <v/>
      </c>
      <c r="CM555" s="56">
        <f>($AT555-$AT556)*100</f>
        <v/>
      </c>
      <c r="CN555" s="56">
        <f>($AU555-$AU556)*100</f>
        <v/>
      </c>
      <c r="CO555" s="56">
        <f>($AV555-$AV556)*100</f>
        <v/>
      </c>
      <c r="CP555" s="56">
        <f>($AW555-$AW556)*100</f>
        <v/>
      </c>
      <c r="CQ555" s="56">
        <f>($AX555-$AX556)*100</f>
        <v/>
      </c>
      <c r="CR555" s="56">
        <f>($AY555-$AY556)*100</f>
        <v/>
      </c>
      <c r="CS555" s="57">
        <f>IFERROR($L556/$L555-1,"")</f>
        <v/>
      </c>
      <c r="CT555" s="57">
        <f>IFERROR($M556/$M555-1,"")</f>
        <v/>
      </c>
      <c r="CU555" s="57">
        <f>IFERROR($N556/$N555-1,"")</f>
        <v/>
      </c>
      <c r="CV555" s="57">
        <f>IFERROR($O556/$O555-1,"")</f>
        <v/>
      </c>
      <c r="CW555" s="57">
        <f>IFERROR($P556/$P555-1,"")</f>
        <v/>
      </c>
      <c r="CX555" s="57">
        <f>IFERROR($Q556/$Q555-1,"")</f>
        <v/>
      </c>
      <c r="CY555" s="57">
        <f>IFERROR($R556/$R555-1,"")</f>
        <v/>
      </c>
      <c r="CZ555" s="57">
        <f>IFERROR($S556/$S555-1,"")</f>
        <v/>
      </c>
      <c r="DA555" s="57">
        <f>IFERROR($T556/$T555-1,"")</f>
        <v/>
      </c>
      <c r="DB555" s="57">
        <f>IFERROR($U556/$U555-1,"")</f>
        <v/>
      </c>
      <c r="DC555" s="57">
        <f>IFERROR($V556/$V555-1,"")</f>
        <v/>
      </c>
      <c r="DD555" s="57">
        <f>IFERROR($W556/$W555-1,"")</f>
        <v/>
      </c>
      <c r="DE555" s="57">
        <f>IFERROR($X556/$X555-1,"")</f>
        <v/>
      </c>
      <c r="DF555" s="57">
        <f>IFERROR($Y556/$Y555-1,"")</f>
        <v/>
      </c>
      <c r="DG555" s="57">
        <f>IFERROR($Z556/$Z555-1,"")</f>
        <v/>
      </c>
      <c r="DH555" s="57">
        <f>IFERROR($AA556/$AA555-1,"")</f>
        <v/>
      </c>
      <c r="DI555" s="57">
        <f>IFERROR($AB556/$AB555-1,"")</f>
        <v/>
      </c>
      <c r="DJ555" s="57">
        <f>IFERROR($AC556/$AC555-1,"")</f>
        <v/>
      </c>
      <c r="DK555" s="57">
        <f>IFERROR($AD556/$AD555-1,"")</f>
        <v/>
      </c>
      <c r="DL555" s="57">
        <f>IFERROR($AE556/$AE555-1,"")</f>
        <v/>
      </c>
      <c r="DM555" s="56">
        <f>$AZ555-$AZ556</f>
        <v/>
      </c>
      <c r="DN555" s="56">
        <f>$BA555-$BA556</f>
        <v/>
      </c>
      <c r="DO555" s="56">
        <f>$BB555-$BB556</f>
        <v/>
      </c>
      <c r="DP555" s="56">
        <f>$BC555-$BC556</f>
        <v/>
      </c>
      <c r="DQ555" s="56">
        <f>$BD555-$BD556</f>
        <v/>
      </c>
      <c r="DR555" s="56">
        <f>$BE555-$BE556</f>
        <v/>
      </c>
      <c r="DS555" s="56">
        <f>$BF555-$BF556</f>
        <v/>
      </c>
      <c r="DT555" s="56">
        <f>$BG555-$BG556</f>
        <v/>
      </c>
      <c r="DU555" s="56">
        <f>$BH555-$BH556</f>
        <v/>
      </c>
      <c r="DV555" s="56">
        <f>$BI555-$BI556</f>
        <v/>
      </c>
      <c r="DW555" s="56">
        <f>$BJ555-$BJ556</f>
        <v/>
      </c>
      <c r="DX555" s="56">
        <f>$BK555-$BK556</f>
        <v/>
      </c>
      <c r="DY555" s="56">
        <f>$BL555-$BL556</f>
        <v/>
      </c>
      <c r="DZ555" s="56">
        <f>$BM555-$BM556</f>
        <v/>
      </c>
      <c r="EA555" s="56">
        <f>$BN555-$BN556</f>
        <v/>
      </c>
      <c r="EB555" s="56">
        <f>$BO555-$BO556</f>
        <v/>
      </c>
      <c r="EC555" s="56">
        <f>$BP555-$BP556</f>
        <v/>
      </c>
      <c r="ED555" s="56">
        <f>$BQ555-$BQ556</f>
        <v/>
      </c>
      <c r="EE555" s="56">
        <f>$BR555-$BR556</f>
        <v/>
      </c>
      <c r="EF555" s="56">
        <f>$BS555-$BS556</f>
        <v/>
      </c>
      <c r="EG555" s="56">
        <f>$BT555-$BT556</f>
        <v/>
      </c>
      <c r="EH555" s="56">
        <f>$BU555-$BU556</f>
        <v/>
      </c>
    </row>
    <row r="556">
      <c r="BV556" s="56">
        <f>($D556-$D557)*100</f>
        <v/>
      </c>
      <c r="BW556" s="56">
        <f>($C556-$C557)*100</f>
        <v/>
      </c>
      <c r="BX556" s="57">
        <f>IFERROR($I556/$I557-1,"")</f>
        <v/>
      </c>
      <c r="BY556" s="56">
        <f>($AF556-$AF557)*100</f>
        <v/>
      </c>
      <c r="BZ556" s="56">
        <f>($AG556-$AG557)*100</f>
        <v/>
      </c>
      <c r="CA556" s="56">
        <f>($AH556-$AH557)*100</f>
        <v/>
      </c>
      <c r="CB556" s="56">
        <f>($AI556-$AI557)*100</f>
        <v/>
      </c>
      <c r="CC556" s="56">
        <f>($AJ556-$AJ557)*100</f>
        <v/>
      </c>
      <c r="CD556" s="56">
        <f>($AK556-$AK557)*100</f>
        <v/>
      </c>
      <c r="CE556" s="56">
        <f>($AL556-$AL557)*100</f>
        <v/>
      </c>
      <c r="CF556" s="56">
        <f>($AM556-$AM557)*100</f>
        <v/>
      </c>
      <c r="CG556" s="56">
        <f>($AN556-$AN557)*100</f>
        <v/>
      </c>
      <c r="CH556" s="56">
        <f>($AO556-$AO557)*100</f>
        <v/>
      </c>
      <c r="CI556" s="56">
        <f>($AP556-$AP557)*100</f>
        <v/>
      </c>
      <c r="CJ556" s="56">
        <f>($AQ556-$AQ557)*100</f>
        <v/>
      </c>
      <c r="CK556" s="56">
        <f>($AR556-$AR557)*100</f>
        <v/>
      </c>
      <c r="CL556" s="56">
        <f>($AS556-$AS557)*100</f>
        <v/>
      </c>
      <c r="CM556" s="56">
        <f>($AT556-$AT557)*100</f>
        <v/>
      </c>
      <c r="CN556" s="56">
        <f>($AU556-$AU557)*100</f>
        <v/>
      </c>
      <c r="CO556" s="56">
        <f>($AV556-$AV557)*100</f>
        <v/>
      </c>
      <c r="CP556" s="56">
        <f>($AW556-$AW557)*100</f>
        <v/>
      </c>
      <c r="CQ556" s="56">
        <f>($AX556-$AX557)*100</f>
        <v/>
      </c>
      <c r="CR556" s="56">
        <f>($AY556-$AY557)*100</f>
        <v/>
      </c>
      <c r="CS556" s="57">
        <f>IFERROR($L557/$L556-1,"")</f>
        <v/>
      </c>
      <c r="CT556" s="57">
        <f>IFERROR($M557/$M556-1,"")</f>
        <v/>
      </c>
      <c r="CU556" s="57">
        <f>IFERROR($N557/$N556-1,"")</f>
        <v/>
      </c>
      <c r="CV556" s="57">
        <f>IFERROR($O557/$O556-1,"")</f>
        <v/>
      </c>
      <c r="CW556" s="57">
        <f>IFERROR($P557/$P556-1,"")</f>
        <v/>
      </c>
      <c r="CX556" s="57">
        <f>IFERROR($Q557/$Q556-1,"")</f>
        <v/>
      </c>
      <c r="CY556" s="57">
        <f>IFERROR($R557/$R556-1,"")</f>
        <v/>
      </c>
      <c r="CZ556" s="57">
        <f>IFERROR($S557/$S556-1,"")</f>
        <v/>
      </c>
      <c r="DA556" s="57">
        <f>IFERROR($T557/$T556-1,"")</f>
        <v/>
      </c>
      <c r="DB556" s="57">
        <f>IFERROR($U557/$U556-1,"")</f>
        <v/>
      </c>
      <c r="DC556" s="57">
        <f>IFERROR($V557/$V556-1,"")</f>
        <v/>
      </c>
      <c r="DD556" s="57">
        <f>IFERROR($W557/$W556-1,"")</f>
        <v/>
      </c>
      <c r="DE556" s="57">
        <f>IFERROR($X557/$X556-1,"")</f>
        <v/>
      </c>
      <c r="DF556" s="57">
        <f>IFERROR($Y557/$Y556-1,"")</f>
        <v/>
      </c>
      <c r="DG556" s="57">
        <f>IFERROR($Z557/$Z556-1,"")</f>
        <v/>
      </c>
      <c r="DH556" s="57">
        <f>IFERROR($AA557/$AA556-1,"")</f>
        <v/>
      </c>
      <c r="DI556" s="57">
        <f>IFERROR($AB557/$AB556-1,"")</f>
        <v/>
      </c>
      <c r="DJ556" s="57">
        <f>IFERROR($AC557/$AC556-1,"")</f>
        <v/>
      </c>
      <c r="DK556" s="57">
        <f>IFERROR($AD557/$AD556-1,"")</f>
        <v/>
      </c>
      <c r="DL556" s="57">
        <f>IFERROR($AE557/$AE556-1,"")</f>
        <v/>
      </c>
      <c r="DM556" s="56">
        <f>$AZ556-$AZ557</f>
        <v/>
      </c>
      <c r="DN556" s="56">
        <f>$BA556-$BA557</f>
        <v/>
      </c>
      <c r="DO556" s="56">
        <f>$BB556-$BB557</f>
        <v/>
      </c>
      <c r="DP556" s="56">
        <f>$BC556-$BC557</f>
        <v/>
      </c>
      <c r="DQ556" s="56">
        <f>$BD556-$BD557</f>
        <v/>
      </c>
      <c r="DR556" s="56">
        <f>$BE556-$BE557</f>
        <v/>
      </c>
      <c r="DS556" s="56">
        <f>$BF556-$BF557</f>
        <v/>
      </c>
      <c r="DT556" s="56">
        <f>$BG556-$BG557</f>
        <v/>
      </c>
      <c r="DU556" s="56">
        <f>$BH556-$BH557</f>
        <v/>
      </c>
      <c r="DV556" s="56">
        <f>$BI556-$BI557</f>
        <v/>
      </c>
      <c r="DW556" s="56">
        <f>$BJ556-$BJ557</f>
        <v/>
      </c>
      <c r="DX556" s="56">
        <f>$BK556-$BK557</f>
        <v/>
      </c>
      <c r="DY556" s="56">
        <f>$BL556-$BL557</f>
        <v/>
      </c>
      <c r="DZ556" s="56">
        <f>$BM556-$BM557</f>
        <v/>
      </c>
      <c r="EA556" s="56">
        <f>$BN556-$BN557</f>
        <v/>
      </c>
      <c r="EB556" s="56">
        <f>$BO556-$BO557</f>
        <v/>
      </c>
      <c r="EC556" s="56">
        <f>$BP556-$BP557</f>
        <v/>
      </c>
      <c r="ED556" s="56">
        <f>$BQ556-$BQ557</f>
        <v/>
      </c>
      <c r="EE556" s="56">
        <f>$BR556-$BR557</f>
        <v/>
      </c>
      <c r="EF556" s="56">
        <f>$BS556-$BS557</f>
        <v/>
      </c>
      <c r="EG556" s="56">
        <f>$BT556-$BT557</f>
        <v/>
      </c>
      <c r="EH556" s="56">
        <f>$BU556-$BU557</f>
        <v/>
      </c>
    </row>
    <row r="557">
      <c r="BV557" s="56">
        <f>($D557-$D558)*100</f>
        <v/>
      </c>
      <c r="BW557" s="56">
        <f>($C557-$C558)*100</f>
        <v/>
      </c>
      <c r="BX557" s="57">
        <f>IFERROR($I557/$I558-1,"")</f>
        <v/>
      </c>
      <c r="BY557" s="56">
        <f>($AF557-$AF558)*100</f>
        <v/>
      </c>
      <c r="BZ557" s="56">
        <f>($AG557-$AG558)*100</f>
        <v/>
      </c>
      <c r="CA557" s="56">
        <f>($AH557-$AH558)*100</f>
        <v/>
      </c>
      <c r="CB557" s="56">
        <f>($AI557-$AI558)*100</f>
        <v/>
      </c>
      <c r="CC557" s="56">
        <f>($AJ557-$AJ558)*100</f>
        <v/>
      </c>
      <c r="CD557" s="56">
        <f>($AK557-$AK558)*100</f>
        <v/>
      </c>
      <c r="CE557" s="56">
        <f>($AL557-$AL558)*100</f>
        <v/>
      </c>
      <c r="CF557" s="56">
        <f>($AM557-$AM558)*100</f>
        <v/>
      </c>
      <c r="CG557" s="56">
        <f>($AN557-$AN558)*100</f>
        <v/>
      </c>
      <c r="CH557" s="56">
        <f>($AO557-$AO558)*100</f>
        <v/>
      </c>
      <c r="CI557" s="56">
        <f>($AP557-$AP558)*100</f>
        <v/>
      </c>
      <c r="CJ557" s="56">
        <f>($AQ557-$AQ558)*100</f>
        <v/>
      </c>
      <c r="CK557" s="56">
        <f>($AR557-$AR558)*100</f>
        <v/>
      </c>
      <c r="CL557" s="56">
        <f>($AS557-$AS558)*100</f>
        <v/>
      </c>
      <c r="CM557" s="56">
        <f>($AT557-$AT558)*100</f>
        <v/>
      </c>
      <c r="CN557" s="56">
        <f>($AU557-$AU558)*100</f>
        <v/>
      </c>
      <c r="CO557" s="56">
        <f>($AV557-$AV558)*100</f>
        <v/>
      </c>
      <c r="CP557" s="56">
        <f>($AW557-$AW558)*100</f>
        <v/>
      </c>
      <c r="CQ557" s="56">
        <f>($AX557-$AX558)*100</f>
        <v/>
      </c>
      <c r="CR557" s="56">
        <f>($AY557-$AY558)*100</f>
        <v/>
      </c>
      <c r="CS557" s="57">
        <f>IFERROR($L558/$L557-1,"")</f>
        <v/>
      </c>
      <c r="CT557" s="57">
        <f>IFERROR($M558/$M557-1,"")</f>
        <v/>
      </c>
      <c r="CU557" s="57">
        <f>IFERROR($N558/$N557-1,"")</f>
        <v/>
      </c>
      <c r="CV557" s="57">
        <f>IFERROR($O558/$O557-1,"")</f>
        <v/>
      </c>
      <c r="CW557" s="57">
        <f>IFERROR($P558/$P557-1,"")</f>
        <v/>
      </c>
      <c r="CX557" s="57">
        <f>IFERROR($Q558/$Q557-1,"")</f>
        <v/>
      </c>
      <c r="CY557" s="57">
        <f>IFERROR($R558/$R557-1,"")</f>
        <v/>
      </c>
      <c r="CZ557" s="57">
        <f>IFERROR($S558/$S557-1,"")</f>
        <v/>
      </c>
      <c r="DA557" s="57">
        <f>IFERROR($T558/$T557-1,"")</f>
        <v/>
      </c>
      <c r="DB557" s="57">
        <f>IFERROR($U558/$U557-1,"")</f>
        <v/>
      </c>
      <c r="DC557" s="57">
        <f>IFERROR($V558/$V557-1,"")</f>
        <v/>
      </c>
      <c r="DD557" s="57">
        <f>IFERROR($W558/$W557-1,"")</f>
        <v/>
      </c>
      <c r="DE557" s="57">
        <f>IFERROR($X558/$X557-1,"")</f>
        <v/>
      </c>
      <c r="DF557" s="57">
        <f>IFERROR($Y558/$Y557-1,"")</f>
        <v/>
      </c>
      <c r="DG557" s="57">
        <f>IFERROR($Z558/$Z557-1,"")</f>
        <v/>
      </c>
      <c r="DH557" s="57">
        <f>IFERROR($AA558/$AA557-1,"")</f>
        <v/>
      </c>
      <c r="DI557" s="57">
        <f>IFERROR($AB558/$AB557-1,"")</f>
        <v/>
      </c>
      <c r="DJ557" s="57">
        <f>IFERROR($AC558/$AC557-1,"")</f>
        <v/>
      </c>
      <c r="DK557" s="57">
        <f>IFERROR($AD558/$AD557-1,"")</f>
        <v/>
      </c>
      <c r="DL557" s="57">
        <f>IFERROR($AE558/$AE557-1,"")</f>
        <v/>
      </c>
      <c r="DM557" s="56">
        <f>$AZ557-$AZ558</f>
        <v/>
      </c>
      <c r="DN557" s="56">
        <f>$BA557-$BA558</f>
        <v/>
      </c>
      <c r="DO557" s="56">
        <f>$BB557-$BB558</f>
        <v/>
      </c>
      <c r="DP557" s="56">
        <f>$BC557-$BC558</f>
        <v/>
      </c>
      <c r="DQ557" s="56">
        <f>$BD557-$BD558</f>
        <v/>
      </c>
      <c r="DR557" s="56">
        <f>$BE557-$BE558</f>
        <v/>
      </c>
      <c r="DS557" s="56">
        <f>$BF557-$BF558</f>
        <v/>
      </c>
      <c r="DT557" s="56">
        <f>$BG557-$BG558</f>
        <v/>
      </c>
      <c r="DU557" s="56">
        <f>$BH557-$BH558</f>
        <v/>
      </c>
      <c r="DV557" s="56">
        <f>$BI557-$BI558</f>
        <v/>
      </c>
      <c r="DW557" s="56">
        <f>$BJ557-$BJ558</f>
        <v/>
      </c>
      <c r="DX557" s="56">
        <f>$BK557-$BK558</f>
        <v/>
      </c>
      <c r="DY557" s="56">
        <f>$BL557-$BL558</f>
        <v/>
      </c>
      <c r="DZ557" s="56">
        <f>$BM557-$BM558</f>
        <v/>
      </c>
      <c r="EA557" s="56">
        <f>$BN557-$BN558</f>
        <v/>
      </c>
      <c r="EB557" s="56">
        <f>$BO557-$BO558</f>
        <v/>
      </c>
      <c r="EC557" s="56">
        <f>$BP557-$BP558</f>
        <v/>
      </c>
      <c r="ED557" s="56">
        <f>$BQ557-$BQ558</f>
        <v/>
      </c>
      <c r="EE557" s="56">
        <f>$BR557-$BR558</f>
        <v/>
      </c>
      <c r="EF557" s="56">
        <f>$BS557-$BS558</f>
        <v/>
      </c>
      <c r="EG557" s="56">
        <f>$BT557-$BT558</f>
        <v/>
      </c>
      <c r="EH557" s="56">
        <f>$BU557-$BU558</f>
        <v/>
      </c>
    </row>
    <row r="558">
      <c r="BV558" s="56">
        <f>($D558-$D559)*100</f>
        <v/>
      </c>
      <c r="BW558" s="56">
        <f>($C558-$C559)*100</f>
        <v/>
      </c>
      <c r="BX558" s="57">
        <f>IFERROR($I558/$I559-1,"")</f>
        <v/>
      </c>
      <c r="BY558" s="56">
        <f>($AF558-$AF559)*100</f>
        <v/>
      </c>
      <c r="BZ558" s="56">
        <f>($AG558-$AG559)*100</f>
        <v/>
      </c>
      <c r="CA558" s="56">
        <f>($AH558-$AH559)*100</f>
        <v/>
      </c>
      <c r="CB558" s="56">
        <f>($AI558-$AI559)*100</f>
        <v/>
      </c>
      <c r="CC558" s="56">
        <f>($AJ558-$AJ559)*100</f>
        <v/>
      </c>
      <c r="CD558" s="56">
        <f>($AK558-$AK559)*100</f>
        <v/>
      </c>
      <c r="CE558" s="56">
        <f>($AL558-$AL559)*100</f>
        <v/>
      </c>
      <c r="CF558" s="56">
        <f>($AM558-$AM559)*100</f>
        <v/>
      </c>
      <c r="CG558" s="56">
        <f>($AN558-$AN559)*100</f>
        <v/>
      </c>
      <c r="CH558" s="56">
        <f>($AO558-$AO559)*100</f>
        <v/>
      </c>
      <c r="CI558" s="56">
        <f>($AP558-$AP559)*100</f>
        <v/>
      </c>
      <c r="CJ558" s="56">
        <f>($AQ558-$AQ559)*100</f>
        <v/>
      </c>
      <c r="CK558" s="56">
        <f>($AR558-$AR559)*100</f>
        <v/>
      </c>
      <c r="CL558" s="56">
        <f>($AS558-$AS559)*100</f>
        <v/>
      </c>
      <c r="CM558" s="56">
        <f>($AT558-$AT559)*100</f>
        <v/>
      </c>
      <c r="CN558" s="56">
        <f>($AU558-$AU559)*100</f>
        <v/>
      </c>
      <c r="CO558" s="56">
        <f>($AV558-$AV559)*100</f>
        <v/>
      </c>
      <c r="CP558" s="56">
        <f>($AW558-$AW559)*100</f>
        <v/>
      </c>
      <c r="CQ558" s="56">
        <f>($AX558-$AX559)*100</f>
        <v/>
      </c>
      <c r="CR558" s="56">
        <f>($AY558-$AY559)*100</f>
        <v/>
      </c>
      <c r="CS558" s="57">
        <f>IFERROR($L559/$L558-1,"")</f>
        <v/>
      </c>
      <c r="CT558" s="57">
        <f>IFERROR($M559/$M558-1,"")</f>
        <v/>
      </c>
      <c r="CU558" s="57">
        <f>IFERROR($N559/$N558-1,"")</f>
        <v/>
      </c>
      <c r="CV558" s="57">
        <f>IFERROR($O559/$O558-1,"")</f>
        <v/>
      </c>
      <c r="CW558" s="57">
        <f>IFERROR($P559/$P558-1,"")</f>
        <v/>
      </c>
      <c r="CX558" s="57">
        <f>IFERROR($Q559/$Q558-1,"")</f>
        <v/>
      </c>
      <c r="CY558" s="57">
        <f>IFERROR($R559/$R558-1,"")</f>
        <v/>
      </c>
      <c r="CZ558" s="57">
        <f>IFERROR($S559/$S558-1,"")</f>
        <v/>
      </c>
      <c r="DA558" s="57">
        <f>IFERROR($T559/$T558-1,"")</f>
        <v/>
      </c>
      <c r="DB558" s="57">
        <f>IFERROR($U559/$U558-1,"")</f>
        <v/>
      </c>
      <c r="DC558" s="57">
        <f>IFERROR($V559/$V558-1,"")</f>
        <v/>
      </c>
      <c r="DD558" s="57">
        <f>IFERROR($W559/$W558-1,"")</f>
        <v/>
      </c>
      <c r="DE558" s="57">
        <f>IFERROR($X559/$X558-1,"")</f>
        <v/>
      </c>
      <c r="DF558" s="57">
        <f>IFERROR($Y559/$Y558-1,"")</f>
        <v/>
      </c>
      <c r="DG558" s="57">
        <f>IFERROR($Z559/$Z558-1,"")</f>
        <v/>
      </c>
      <c r="DH558" s="57">
        <f>IFERROR($AA559/$AA558-1,"")</f>
        <v/>
      </c>
      <c r="DI558" s="57">
        <f>IFERROR($AB559/$AB558-1,"")</f>
        <v/>
      </c>
      <c r="DJ558" s="57">
        <f>IFERROR($AC559/$AC558-1,"")</f>
        <v/>
      </c>
      <c r="DK558" s="57">
        <f>IFERROR($AD559/$AD558-1,"")</f>
        <v/>
      </c>
      <c r="DL558" s="57">
        <f>IFERROR($AE559/$AE558-1,"")</f>
        <v/>
      </c>
      <c r="DM558" s="56">
        <f>$AZ558-$AZ559</f>
        <v/>
      </c>
      <c r="DN558" s="56">
        <f>$BA558-$BA559</f>
        <v/>
      </c>
      <c r="DO558" s="56">
        <f>$BB558-$BB559</f>
        <v/>
      </c>
      <c r="DP558" s="56">
        <f>$BC558-$BC559</f>
        <v/>
      </c>
      <c r="DQ558" s="56">
        <f>$BD558-$BD559</f>
        <v/>
      </c>
      <c r="DR558" s="56">
        <f>$BE558-$BE559</f>
        <v/>
      </c>
      <c r="DS558" s="56">
        <f>$BF558-$BF559</f>
        <v/>
      </c>
      <c r="DT558" s="56">
        <f>$BG558-$BG559</f>
        <v/>
      </c>
      <c r="DU558" s="56">
        <f>$BH558-$BH559</f>
        <v/>
      </c>
      <c r="DV558" s="56">
        <f>$BI558-$BI559</f>
        <v/>
      </c>
      <c r="DW558" s="56">
        <f>$BJ558-$BJ559</f>
        <v/>
      </c>
      <c r="DX558" s="56">
        <f>$BK558-$BK559</f>
        <v/>
      </c>
      <c r="DY558" s="56">
        <f>$BL558-$BL559</f>
        <v/>
      </c>
      <c r="DZ558" s="56">
        <f>$BM558-$BM559</f>
        <v/>
      </c>
      <c r="EA558" s="56">
        <f>$BN558-$BN559</f>
        <v/>
      </c>
      <c r="EB558" s="56">
        <f>$BO558-$BO559</f>
        <v/>
      </c>
      <c r="EC558" s="56">
        <f>$BP558-$BP559</f>
        <v/>
      </c>
      <c r="ED558" s="56">
        <f>$BQ558-$BQ559</f>
        <v/>
      </c>
      <c r="EE558" s="56">
        <f>$BR558-$BR559</f>
        <v/>
      </c>
      <c r="EF558" s="56">
        <f>$BS558-$BS559</f>
        <v/>
      </c>
      <c r="EG558" s="56">
        <f>$BT558-$BT559</f>
        <v/>
      </c>
      <c r="EH558" s="56">
        <f>$BU558-$BU559</f>
        <v/>
      </c>
    </row>
    <row r="559">
      <c r="BV559" s="56">
        <f>($D559-$D560)*100</f>
        <v/>
      </c>
      <c r="BW559" s="56">
        <f>($C559-$C560)*100</f>
        <v/>
      </c>
      <c r="BX559" s="57">
        <f>IFERROR($I559/$I560-1,"")</f>
        <v/>
      </c>
      <c r="BY559" s="56">
        <f>($AF559-$AF560)*100</f>
        <v/>
      </c>
      <c r="BZ559" s="56">
        <f>($AG559-$AG560)*100</f>
        <v/>
      </c>
      <c r="CA559" s="56">
        <f>($AH559-$AH560)*100</f>
        <v/>
      </c>
      <c r="CB559" s="56">
        <f>($AI559-$AI560)*100</f>
        <v/>
      </c>
      <c r="CC559" s="56">
        <f>($AJ559-$AJ560)*100</f>
        <v/>
      </c>
      <c r="CD559" s="56">
        <f>($AK559-$AK560)*100</f>
        <v/>
      </c>
      <c r="CE559" s="56">
        <f>($AL559-$AL560)*100</f>
        <v/>
      </c>
      <c r="CF559" s="56">
        <f>($AM559-$AM560)*100</f>
        <v/>
      </c>
      <c r="CG559" s="56">
        <f>($AN559-$AN560)*100</f>
        <v/>
      </c>
      <c r="CH559" s="56">
        <f>($AO559-$AO560)*100</f>
        <v/>
      </c>
      <c r="CI559" s="56">
        <f>($AP559-$AP560)*100</f>
        <v/>
      </c>
      <c r="CJ559" s="56">
        <f>($AQ559-$AQ560)*100</f>
        <v/>
      </c>
      <c r="CK559" s="56">
        <f>($AR559-$AR560)*100</f>
        <v/>
      </c>
      <c r="CL559" s="56">
        <f>($AS559-$AS560)*100</f>
        <v/>
      </c>
      <c r="CM559" s="56">
        <f>($AT559-$AT560)*100</f>
        <v/>
      </c>
      <c r="CN559" s="56">
        <f>($AU559-$AU560)*100</f>
        <v/>
      </c>
      <c r="CO559" s="56">
        <f>($AV559-$AV560)*100</f>
        <v/>
      </c>
      <c r="CP559" s="56">
        <f>($AW559-$AW560)*100</f>
        <v/>
      </c>
      <c r="CQ559" s="56">
        <f>($AX559-$AX560)*100</f>
        <v/>
      </c>
      <c r="CR559" s="56">
        <f>($AY559-$AY560)*100</f>
        <v/>
      </c>
      <c r="CS559" s="57">
        <f>IFERROR($L560/$L559-1,"")</f>
        <v/>
      </c>
      <c r="CT559" s="57">
        <f>IFERROR($M560/$M559-1,"")</f>
        <v/>
      </c>
      <c r="CU559" s="57">
        <f>IFERROR($N560/$N559-1,"")</f>
        <v/>
      </c>
      <c r="CV559" s="57">
        <f>IFERROR($O560/$O559-1,"")</f>
        <v/>
      </c>
      <c r="CW559" s="57">
        <f>IFERROR($P560/$P559-1,"")</f>
        <v/>
      </c>
      <c r="CX559" s="57">
        <f>IFERROR($Q560/$Q559-1,"")</f>
        <v/>
      </c>
      <c r="CY559" s="57">
        <f>IFERROR($R560/$R559-1,"")</f>
        <v/>
      </c>
      <c r="CZ559" s="57">
        <f>IFERROR($S560/$S559-1,"")</f>
        <v/>
      </c>
      <c r="DA559" s="57">
        <f>IFERROR($T560/$T559-1,"")</f>
        <v/>
      </c>
      <c r="DB559" s="57">
        <f>IFERROR($U560/$U559-1,"")</f>
        <v/>
      </c>
      <c r="DC559" s="57">
        <f>IFERROR($V560/$V559-1,"")</f>
        <v/>
      </c>
      <c r="DD559" s="57">
        <f>IFERROR($W560/$W559-1,"")</f>
        <v/>
      </c>
      <c r="DE559" s="57">
        <f>IFERROR($X560/$X559-1,"")</f>
        <v/>
      </c>
      <c r="DF559" s="57">
        <f>IFERROR($Y560/$Y559-1,"")</f>
        <v/>
      </c>
      <c r="DG559" s="57">
        <f>IFERROR($Z560/$Z559-1,"")</f>
        <v/>
      </c>
      <c r="DH559" s="57">
        <f>IFERROR($AA560/$AA559-1,"")</f>
        <v/>
      </c>
      <c r="DI559" s="57">
        <f>IFERROR($AB560/$AB559-1,"")</f>
        <v/>
      </c>
      <c r="DJ559" s="57">
        <f>IFERROR($AC560/$AC559-1,"")</f>
        <v/>
      </c>
      <c r="DK559" s="57">
        <f>IFERROR($AD560/$AD559-1,"")</f>
        <v/>
      </c>
      <c r="DL559" s="57">
        <f>IFERROR($AE560/$AE559-1,"")</f>
        <v/>
      </c>
      <c r="DM559" s="56">
        <f>$AZ559-$AZ560</f>
        <v/>
      </c>
      <c r="DN559" s="56">
        <f>$BA559-$BA560</f>
        <v/>
      </c>
      <c r="DO559" s="56">
        <f>$BB559-$BB560</f>
        <v/>
      </c>
      <c r="DP559" s="56">
        <f>$BC559-$BC560</f>
        <v/>
      </c>
      <c r="DQ559" s="56">
        <f>$BD559-$BD560</f>
        <v/>
      </c>
      <c r="DR559" s="56">
        <f>$BE559-$BE560</f>
        <v/>
      </c>
      <c r="DS559" s="56">
        <f>$BF559-$BF560</f>
        <v/>
      </c>
      <c r="DT559" s="56">
        <f>$BG559-$BG560</f>
        <v/>
      </c>
      <c r="DU559" s="56">
        <f>$BH559-$BH560</f>
        <v/>
      </c>
      <c r="DV559" s="56">
        <f>$BI559-$BI560</f>
        <v/>
      </c>
      <c r="DW559" s="56">
        <f>$BJ559-$BJ560</f>
        <v/>
      </c>
      <c r="DX559" s="56">
        <f>$BK559-$BK560</f>
        <v/>
      </c>
      <c r="DY559" s="56">
        <f>$BL559-$BL560</f>
        <v/>
      </c>
      <c r="DZ559" s="56">
        <f>$BM559-$BM560</f>
        <v/>
      </c>
      <c r="EA559" s="56">
        <f>$BN559-$BN560</f>
        <v/>
      </c>
      <c r="EB559" s="56">
        <f>$BO559-$BO560</f>
        <v/>
      </c>
      <c r="EC559" s="56">
        <f>$BP559-$BP560</f>
        <v/>
      </c>
      <c r="ED559" s="56">
        <f>$BQ559-$BQ560</f>
        <v/>
      </c>
      <c r="EE559" s="56">
        <f>$BR559-$BR560</f>
        <v/>
      </c>
      <c r="EF559" s="56">
        <f>$BS559-$BS560</f>
        <v/>
      </c>
      <c r="EG559" s="56">
        <f>$BT559-$BT560</f>
        <v/>
      </c>
      <c r="EH559" s="56">
        <f>$BU559-$BU560</f>
        <v/>
      </c>
    </row>
    <row r="560">
      <c r="BV560" s="56">
        <f>($D560-$D561)*100</f>
        <v/>
      </c>
      <c r="BW560" s="56">
        <f>($C560-$C561)*100</f>
        <v/>
      </c>
      <c r="BX560" s="57">
        <f>IFERROR($I560/$I561-1,"")</f>
        <v/>
      </c>
      <c r="BY560" s="56">
        <f>($AF560-$AF561)*100</f>
        <v/>
      </c>
      <c r="BZ560" s="56">
        <f>($AG560-$AG561)*100</f>
        <v/>
      </c>
      <c r="CA560" s="56">
        <f>($AH560-$AH561)*100</f>
        <v/>
      </c>
      <c r="CB560" s="56">
        <f>($AI560-$AI561)*100</f>
        <v/>
      </c>
      <c r="CC560" s="56">
        <f>($AJ560-$AJ561)*100</f>
        <v/>
      </c>
      <c r="CD560" s="56">
        <f>($AK560-$AK561)*100</f>
        <v/>
      </c>
      <c r="CE560" s="56">
        <f>($AL560-$AL561)*100</f>
        <v/>
      </c>
      <c r="CF560" s="56">
        <f>($AM560-$AM561)*100</f>
        <v/>
      </c>
      <c r="CG560" s="56">
        <f>($AN560-$AN561)*100</f>
        <v/>
      </c>
      <c r="CH560" s="56">
        <f>($AO560-$AO561)*100</f>
        <v/>
      </c>
      <c r="CI560" s="56">
        <f>($AP560-$AP561)*100</f>
        <v/>
      </c>
      <c r="CJ560" s="56">
        <f>($AQ560-$AQ561)*100</f>
        <v/>
      </c>
      <c r="CK560" s="56">
        <f>($AR560-$AR561)*100</f>
        <v/>
      </c>
      <c r="CL560" s="56">
        <f>($AS560-$AS561)*100</f>
        <v/>
      </c>
      <c r="CM560" s="56">
        <f>($AT560-$AT561)*100</f>
        <v/>
      </c>
      <c r="CN560" s="56">
        <f>($AU560-$AU561)*100</f>
        <v/>
      </c>
      <c r="CO560" s="56">
        <f>($AV560-$AV561)*100</f>
        <v/>
      </c>
      <c r="CP560" s="56">
        <f>($AW560-$AW561)*100</f>
        <v/>
      </c>
      <c r="CQ560" s="56">
        <f>($AX560-$AX561)*100</f>
        <v/>
      </c>
      <c r="CR560" s="56">
        <f>($AY560-$AY561)*100</f>
        <v/>
      </c>
      <c r="CS560" s="57">
        <f>IFERROR($L561/$L560-1,"")</f>
        <v/>
      </c>
      <c r="CT560" s="57">
        <f>IFERROR($M561/$M560-1,"")</f>
        <v/>
      </c>
      <c r="CU560" s="57">
        <f>IFERROR($N561/$N560-1,"")</f>
        <v/>
      </c>
      <c r="CV560" s="57">
        <f>IFERROR($O561/$O560-1,"")</f>
        <v/>
      </c>
      <c r="CW560" s="57">
        <f>IFERROR($P561/$P560-1,"")</f>
        <v/>
      </c>
      <c r="CX560" s="57">
        <f>IFERROR($Q561/$Q560-1,"")</f>
        <v/>
      </c>
      <c r="CY560" s="57">
        <f>IFERROR($R561/$R560-1,"")</f>
        <v/>
      </c>
      <c r="CZ560" s="57">
        <f>IFERROR($S561/$S560-1,"")</f>
        <v/>
      </c>
      <c r="DA560" s="57">
        <f>IFERROR($T561/$T560-1,"")</f>
        <v/>
      </c>
      <c r="DB560" s="57">
        <f>IFERROR($U561/$U560-1,"")</f>
        <v/>
      </c>
      <c r="DC560" s="57">
        <f>IFERROR($V561/$V560-1,"")</f>
        <v/>
      </c>
      <c r="DD560" s="57">
        <f>IFERROR($W561/$W560-1,"")</f>
        <v/>
      </c>
      <c r="DE560" s="57">
        <f>IFERROR($X561/$X560-1,"")</f>
        <v/>
      </c>
      <c r="DF560" s="57">
        <f>IFERROR($Y561/$Y560-1,"")</f>
        <v/>
      </c>
      <c r="DG560" s="57">
        <f>IFERROR($Z561/$Z560-1,"")</f>
        <v/>
      </c>
      <c r="DH560" s="57">
        <f>IFERROR($AA561/$AA560-1,"")</f>
        <v/>
      </c>
      <c r="DI560" s="57">
        <f>IFERROR($AB561/$AB560-1,"")</f>
        <v/>
      </c>
      <c r="DJ560" s="57">
        <f>IFERROR($AC561/$AC560-1,"")</f>
        <v/>
      </c>
      <c r="DK560" s="57">
        <f>IFERROR($AD561/$AD560-1,"")</f>
        <v/>
      </c>
      <c r="DL560" s="57">
        <f>IFERROR($AE561/$AE560-1,"")</f>
        <v/>
      </c>
      <c r="DM560" s="56">
        <f>$AZ560-$AZ561</f>
        <v/>
      </c>
      <c r="DN560" s="56">
        <f>$BA560-$BA561</f>
        <v/>
      </c>
      <c r="DO560" s="56">
        <f>$BB560-$BB561</f>
        <v/>
      </c>
      <c r="DP560" s="56">
        <f>$BC560-$BC561</f>
        <v/>
      </c>
      <c r="DQ560" s="56">
        <f>$BD560-$BD561</f>
        <v/>
      </c>
      <c r="DR560" s="56">
        <f>$BE560-$BE561</f>
        <v/>
      </c>
      <c r="DS560" s="56">
        <f>$BF560-$BF561</f>
        <v/>
      </c>
      <c r="DT560" s="56">
        <f>$BG560-$BG561</f>
        <v/>
      </c>
      <c r="DU560" s="56">
        <f>$BH560-$BH561</f>
        <v/>
      </c>
      <c r="DV560" s="56">
        <f>$BI560-$BI561</f>
        <v/>
      </c>
      <c r="DW560" s="56">
        <f>$BJ560-$BJ561</f>
        <v/>
      </c>
      <c r="DX560" s="56">
        <f>$BK560-$BK561</f>
        <v/>
      </c>
      <c r="DY560" s="56">
        <f>$BL560-$BL561</f>
        <v/>
      </c>
      <c r="DZ560" s="56">
        <f>$BM560-$BM561</f>
        <v/>
      </c>
      <c r="EA560" s="56">
        <f>$BN560-$BN561</f>
        <v/>
      </c>
      <c r="EB560" s="56">
        <f>$BO560-$BO561</f>
        <v/>
      </c>
      <c r="EC560" s="56">
        <f>$BP560-$BP561</f>
        <v/>
      </c>
      <c r="ED560" s="56">
        <f>$BQ560-$BQ561</f>
        <v/>
      </c>
      <c r="EE560" s="56">
        <f>$BR560-$BR561</f>
        <v/>
      </c>
      <c r="EF560" s="56">
        <f>$BS560-$BS561</f>
        <v/>
      </c>
      <c r="EG560" s="56">
        <f>$BT560-$BT561</f>
        <v/>
      </c>
      <c r="EH560" s="56">
        <f>$BU560-$BU561</f>
        <v/>
      </c>
    </row>
    <row r="561">
      <c r="BV561" s="56">
        <f>($D561-$D562)*100</f>
        <v/>
      </c>
      <c r="BW561" s="56">
        <f>($C561-$C562)*100</f>
        <v/>
      </c>
      <c r="BX561" s="57">
        <f>IFERROR($I561/$I562-1,"")</f>
        <v/>
      </c>
      <c r="BY561" s="56">
        <f>($AF561-$AF562)*100</f>
        <v/>
      </c>
      <c r="BZ561" s="56">
        <f>($AG561-$AG562)*100</f>
        <v/>
      </c>
      <c r="CA561" s="56">
        <f>($AH561-$AH562)*100</f>
        <v/>
      </c>
      <c r="CB561" s="56">
        <f>($AI561-$AI562)*100</f>
        <v/>
      </c>
      <c r="CC561" s="56">
        <f>($AJ561-$AJ562)*100</f>
        <v/>
      </c>
      <c r="CD561" s="56">
        <f>($AK561-$AK562)*100</f>
        <v/>
      </c>
      <c r="CE561" s="56">
        <f>($AL561-$AL562)*100</f>
        <v/>
      </c>
      <c r="CF561" s="56">
        <f>($AM561-$AM562)*100</f>
        <v/>
      </c>
      <c r="CG561" s="56">
        <f>($AN561-$AN562)*100</f>
        <v/>
      </c>
      <c r="CH561" s="56">
        <f>($AO561-$AO562)*100</f>
        <v/>
      </c>
      <c r="CI561" s="56">
        <f>($AP561-$AP562)*100</f>
        <v/>
      </c>
      <c r="CJ561" s="56">
        <f>($AQ561-$AQ562)*100</f>
        <v/>
      </c>
      <c r="CK561" s="56">
        <f>($AR561-$AR562)*100</f>
        <v/>
      </c>
      <c r="CL561" s="56">
        <f>($AS561-$AS562)*100</f>
        <v/>
      </c>
      <c r="CM561" s="56">
        <f>($AT561-$AT562)*100</f>
        <v/>
      </c>
      <c r="CN561" s="56">
        <f>($AU561-$AU562)*100</f>
        <v/>
      </c>
      <c r="CO561" s="56">
        <f>($AV561-$AV562)*100</f>
        <v/>
      </c>
      <c r="CP561" s="56">
        <f>($AW561-$AW562)*100</f>
        <v/>
      </c>
      <c r="CQ561" s="56">
        <f>($AX561-$AX562)*100</f>
        <v/>
      </c>
      <c r="CR561" s="56">
        <f>($AY561-$AY562)*100</f>
        <v/>
      </c>
      <c r="CS561" s="57">
        <f>IFERROR($L562/$L561-1,"")</f>
        <v/>
      </c>
      <c r="CT561" s="57">
        <f>IFERROR($M562/$M561-1,"")</f>
        <v/>
      </c>
      <c r="CU561" s="57">
        <f>IFERROR($N562/$N561-1,"")</f>
        <v/>
      </c>
      <c r="CV561" s="57">
        <f>IFERROR($O562/$O561-1,"")</f>
        <v/>
      </c>
      <c r="CW561" s="57">
        <f>IFERROR($P562/$P561-1,"")</f>
        <v/>
      </c>
      <c r="CX561" s="57">
        <f>IFERROR($Q562/$Q561-1,"")</f>
        <v/>
      </c>
      <c r="CY561" s="57">
        <f>IFERROR($R562/$R561-1,"")</f>
        <v/>
      </c>
      <c r="CZ561" s="57">
        <f>IFERROR($S562/$S561-1,"")</f>
        <v/>
      </c>
      <c r="DA561" s="57">
        <f>IFERROR($T562/$T561-1,"")</f>
        <v/>
      </c>
      <c r="DB561" s="57">
        <f>IFERROR($U562/$U561-1,"")</f>
        <v/>
      </c>
      <c r="DC561" s="57">
        <f>IFERROR($V562/$V561-1,"")</f>
        <v/>
      </c>
      <c r="DD561" s="57">
        <f>IFERROR($W562/$W561-1,"")</f>
        <v/>
      </c>
      <c r="DE561" s="57">
        <f>IFERROR($X562/$X561-1,"")</f>
        <v/>
      </c>
      <c r="DF561" s="57">
        <f>IFERROR($Y562/$Y561-1,"")</f>
        <v/>
      </c>
      <c r="DG561" s="57">
        <f>IFERROR($Z562/$Z561-1,"")</f>
        <v/>
      </c>
      <c r="DH561" s="57">
        <f>IFERROR($AA562/$AA561-1,"")</f>
        <v/>
      </c>
      <c r="DI561" s="57">
        <f>IFERROR($AB562/$AB561-1,"")</f>
        <v/>
      </c>
      <c r="DJ561" s="57">
        <f>IFERROR($AC562/$AC561-1,"")</f>
        <v/>
      </c>
      <c r="DK561" s="57">
        <f>IFERROR($AD562/$AD561-1,"")</f>
        <v/>
      </c>
      <c r="DL561" s="57">
        <f>IFERROR($AE562/$AE561-1,"")</f>
        <v/>
      </c>
      <c r="DM561" s="56">
        <f>$AZ561-$AZ562</f>
        <v/>
      </c>
      <c r="DN561" s="56">
        <f>$BA561-$BA562</f>
        <v/>
      </c>
      <c r="DO561" s="56">
        <f>$BB561-$BB562</f>
        <v/>
      </c>
      <c r="DP561" s="56">
        <f>$BC561-$BC562</f>
        <v/>
      </c>
      <c r="DQ561" s="56">
        <f>$BD561-$BD562</f>
        <v/>
      </c>
      <c r="DR561" s="56">
        <f>$BE561-$BE562</f>
        <v/>
      </c>
      <c r="DS561" s="56">
        <f>$BF561-$BF562</f>
        <v/>
      </c>
      <c r="DT561" s="56">
        <f>$BG561-$BG562</f>
        <v/>
      </c>
      <c r="DU561" s="56">
        <f>$BH561-$BH562</f>
        <v/>
      </c>
      <c r="DV561" s="56">
        <f>$BI561-$BI562</f>
        <v/>
      </c>
      <c r="DW561" s="56">
        <f>$BJ561-$BJ562</f>
        <v/>
      </c>
      <c r="DX561" s="56">
        <f>$BK561-$BK562</f>
        <v/>
      </c>
      <c r="DY561" s="56">
        <f>$BL561-$BL562</f>
        <v/>
      </c>
      <c r="DZ561" s="56">
        <f>$BM561-$BM562</f>
        <v/>
      </c>
      <c r="EA561" s="56">
        <f>$BN561-$BN562</f>
        <v/>
      </c>
      <c r="EB561" s="56">
        <f>$BO561-$BO562</f>
        <v/>
      </c>
      <c r="EC561" s="56">
        <f>$BP561-$BP562</f>
        <v/>
      </c>
      <c r="ED561" s="56">
        <f>$BQ561-$BQ562</f>
        <v/>
      </c>
      <c r="EE561" s="56">
        <f>$BR561-$BR562</f>
        <v/>
      </c>
      <c r="EF561" s="56">
        <f>$BS561-$BS562</f>
        <v/>
      </c>
      <c r="EG561" s="56">
        <f>$BT561-$BT562</f>
        <v/>
      </c>
      <c r="EH561" s="56">
        <f>$BU561-$BU562</f>
        <v/>
      </c>
    </row>
    <row r="562">
      <c r="BV562" s="56">
        <f>($D562-$D563)*100</f>
        <v/>
      </c>
      <c r="BW562" s="56">
        <f>($C562-$C563)*100</f>
        <v/>
      </c>
      <c r="BX562" s="57">
        <f>IFERROR($I562/$I563-1,"")</f>
        <v/>
      </c>
      <c r="BY562" s="56">
        <f>($AF562-$AF563)*100</f>
        <v/>
      </c>
      <c r="BZ562" s="56">
        <f>($AG562-$AG563)*100</f>
        <v/>
      </c>
      <c r="CA562" s="56">
        <f>($AH562-$AH563)*100</f>
        <v/>
      </c>
      <c r="CB562" s="56">
        <f>($AI562-$AI563)*100</f>
        <v/>
      </c>
      <c r="CC562" s="56">
        <f>($AJ562-$AJ563)*100</f>
        <v/>
      </c>
      <c r="CD562" s="56">
        <f>($AK562-$AK563)*100</f>
        <v/>
      </c>
      <c r="CE562" s="56">
        <f>($AL562-$AL563)*100</f>
        <v/>
      </c>
      <c r="CF562" s="56">
        <f>($AM562-$AM563)*100</f>
        <v/>
      </c>
      <c r="CG562" s="56">
        <f>($AN562-$AN563)*100</f>
        <v/>
      </c>
      <c r="CH562" s="56">
        <f>($AO562-$AO563)*100</f>
        <v/>
      </c>
      <c r="CI562" s="56">
        <f>($AP562-$AP563)*100</f>
        <v/>
      </c>
      <c r="CJ562" s="56">
        <f>($AQ562-$AQ563)*100</f>
        <v/>
      </c>
      <c r="CK562" s="56">
        <f>($AR562-$AR563)*100</f>
        <v/>
      </c>
      <c r="CL562" s="56">
        <f>($AS562-$AS563)*100</f>
        <v/>
      </c>
      <c r="CM562" s="56">
        <f>($AT562-$AT563)*100</f>
        <v/>
      </c>
      <c r="CN562" s="56">
        <f>($AU562-$AU563)*100</f>
        <v/>
      </c>
      <c r="CO562" s="56">
        <f>($AV562-$AV563)*100</f>
        <v/>
      </c>
      <c r="CP562" s="56">
        <f>($AW562-$AW563)*100</f>
        <v/>
      </c>
      <c r="CQ562" s="56">
        <f>($AX562-$AX563)*100</f>
        <v/>
      </c>
      <c r="CR562" s="56">
        <f>($AY562-$AY563)*100</f>
        <v/>
      </c>
      <c r="CS562" s="57">
        <f>IFERROR($L563/$L562-1,"")</f>
        <v/>
      </c>
      <c r="CT562" s="57">
        <f>IFERROR($M563/$M562-1,"")</f>
        <v/>
      </c>
      <c r="CU562" s="57">
        <f>IFERROR($N563/$N562-1,"")</f>
        <v/>
      </c>
      <c r="CV562" s="57">
        <f>IFERROR($O563/$O562-1,"")</f>
        <v/>
      </c>
      <c r="CW562" s="57">
        <f>IFERROR($P563/$P562-1,"")</f>
        <v/>
      </c>
      <c r="CX562" s="57">
        <f>IFERROR($Q563/$Q562-1,"")</f>
        <v/>
      </c>
      <c r="CY562" s="57">
        <f>IFERROR($R563/$R562-1,"")</f>
        <v/>
      </c>
      <c r="CZ562" s="57">
        <f>IFERROR($S563/$S562-1,"")</f>
        <v/>
      </c>
      <c r="DA562" s="57">
        <f>IFERROR($T563/$T562-1,"")</f>
        <v/>
      </c>
      <c r="DB562" s="57">
        <f>IFERROR($U563/$U562-1,"")</f>
        <v/>
      </c>
      <c r="DC562" s="57">
        <f>IFERROR($V563/$V562-1,"")</f>
        <v/>
      </c>
      <c r="DD562" s="57">
        <f>IFERROR($W563/$W562-1,"")</f>
        <v/>
      </c>
      <c r="DE562" s="57">
        <f>IFERROR($X563/$X562-1,"")</f>
        <v/>
      </c>
      <c r="DF562" s="57">
        <f>IFERROR($Y563/$Y562-1,"")</f>
        <v/>
      </c>
      <c r="DG562" s="57">
        <f>IFERROR($Z563/$Z562-1,"")</f>
        <v/>
      </c>
      <c r="DH562" s="57">
        <f>IFERROR($AA563/$AA562-1,"")</f>
        <v/>
      </c>
      <c r="DI562" s="57">
        <f>IFERROR($AB563/$AB562-1,"")</f>
        <v/>
      </c>
      <c r="DJ562" s="57">
        <f>IFERROR($AC563/$AC562-1,"")</f>
        <v/>
      </c>
      <c r="DK562" s="57">
        <f>IFERROR($AD563/$AD562-1,"")</f>
        <v/>
      </c>
      <c r="DL562" s="57">
        <f>IFERROR($AE563/$AE562-1,"")</f>
        <v/>
      </c>
      <c r="DM562" s="56">
        <f>$AZ562-$AZ563</f>
        <v/>
      </c>
      <c r="DN562" s="56">
        <f>$BA562-$BA563</f>
        <v/>
      </c>
      <c r="DO562" s="56">
        <f>$BB562-$BB563</f>
        <v/>
      </c>
      <c r="DP562" s="56">
        <f>$BC562-$BC563</f>
        <v/>
      </c>
      <c r="DQ562" s="56">
        <f>$BD562-$BD563</f>
        <v/>
      </c>
      <c r="DR562" s="56">
        <f>$BE562-$BE563</f>
        <v/>
      </c>
      <c r="DS562" s="56">
        <f>$BF562-$BF563</f>
        <v/>
      </c>
      <c r="DT562" s="56">
        <f>$BG562-$BG563</f>
        <v/>
      </c>
      <c r="DU562" s="56">
        <f>$BH562-$BH563</f>
        <v/>
      </c>
      <c r="DV562" s="56">
        <f>$BI562-$BI563</f>
        <v/>
      </c>
      <c r="DW562" s="56">
        <f>$BJ562-$BJ563</f>
        <v/>
      </c>
      <c r="DX562" s="56">
        <f>$BK562-$BK563</f>
        <v/>
      </c>
      <c r="DY562" s="56">
        <f>$BL562-$BL563</f>
        <v/>
      </c>
      <c r="DZ562" s="56">
        <f>$BM562-$BM563</f>
        <v/>
      </c>
      <c r="EA562" s="56">
        <f>$BN562-$BN563</f>
        <v/>
      </c>
      <c r="EB562" s="56">
        <f>$BO562-$BO563</f>
        <v/>
      </c>
      <c r="EC562" s="56">
        <f>$BP562-$BP563</f>
        <v/>
      </c>
      <c r="ED562" s="56">
        <f>$BQ562-$BQ563</f>
        <v/>
      </c>
      <c r="EE562" s="56">
        <f>$BR562-$BR563</f>
        <v/>
      </c>
      <c r="EF562" s="56">
        <f>$BS562-$BS563</f>
        <v/>
      </c>
      <c r="EG562" s="56">
        <f>$BT562-$BT563</f>
        <v/>
      </c>
      <c r="EH562" s="56">
        <f>$BU562-$BU563</f>
        <v/>
      </c>
    </row>
    <row r="563">
      <c r="BV563" s="56">
        <f>($D563-$D564)*100</f>
        <v/>
      </c>
      <c r="BW563" s="56">
        <f>($C563-$C564)*100</f>
        <v/>
      </c>
      <c r="BX563" s="57">
        <f>IFERROR($I563/$I564-1,"")</f>
        <v/>
      </c>
      <c r="BY563" s="56">
        <f>($AF563-$AF564)*100</f>
        <v/>
      </c>
      <c r="BZ563" s="56">
        <f>($AG563-$AG564)*100</f>
        <v/>
      </c>
      <c r="CA563" s="56">
        <f>($AH563-$AH564)*100</f>
        <v/>
      </c>
      <c r="CB563" s="56">
        <f>($AI563-$AI564)*100</f>
        <v/>
      </c>
      <c r="CC563" s="56">
        <f>($AJ563-$AJ564)*100</f>
        <v/>
      </c>
      <c r="CD563" s="56">
        <f>($AK563-$AK564)*100</f>
        <v/>
      </c>
      <c r="CE563" s="56">
        <f>($AL563-$AL564)*100</f>
        <v/>
      </c>
      <c r="CF563" s="56">
        <f>($AM563-$AM564)*100</f>
        <v/>
      </c>
      <c r="CG563" s="56">
        <f>($AN563-$AN564)*100</f>
        <v/>
      </c>
      <c r="CH563" s="56">
        <f>($AO563-$AO564)*100</f>
        <v/>
      </c>
      <c r="CI563" s="56">
        <f>($AP563-$AP564)*100</f>
        <v/>
      </c>
      <c r="CJ563" s="56">
        <f>($AQ563-$AQ564)*100</f>
        <v/>
      </c>
      <c r="CK563" s="56">
        <f>($AR563-$AR564)*100</f>
        <v/>
      </c>
      <c r="CL563" s="56">
        <f>($AS563-$AS564)*100</f>
        <v/>
      </c>
      <c r="CM563" s="56">
        <f>($AT563-$AT564)*100</f>
        <v/>
      </c>
      <c r="CN563" s="56">
        <f>($AU563-$AU564)*100</f>
        <v/>
      </c>
      <c r="CO563" s="56">
        <f>($AV563-$AV564)*100</f>
        <v/>
      </c>
      <c r="CP563" s="56">
        <f>($AW563-$AW564)*100</f>
        <v/>
      </c>
      <c r="CQ563" s="56">
        <f>($AX563-$AX564)*100</f>
        <v/>
      </c>
      <c r="CR563" s="56">
        <f>($AY563-$AY564)*100</f>
        <v/>
      </c>
      <c r="CS563" s="57">
        <f>IFERROR($L564/$L563-1,"")</f>
        <v/>
      </c>
      <c r="CT563" s="57">
        <f>IFERROR($M564/$M563-1,"")</f>
        <v/>
      </c>
      <c r="CU563" s="57">
        <f>IFERROR($N564/$N563-1,"")</f>
        <v/>
      </c>
      <c r="CV563" s="57">
        <f>IFERROR($O564/$O563-1,"")</f>
        <v/>
      </c>
      <c r="CW563" s="57">
        <f>IFERROR($P564/$P563-1,"")</f>
        <v/>
      </c>
      <c r="CX563" s="57">
        <f>IFERROR($Q564/$Q563-1,"")</f>
        <v/>
      </c>
      <c r="CY563" s="57">
        <f>IFERROR($R564/$R563-1,"")</f>
        <v/>
      </c>
      <c r="CZ563" s="57">
        <f>IFERROR($S564/$S563-1,"")</f>
        <v/>
      </c>
      <c r="DA563" s="57">
        <f>IFERROR($T564/$T563-1,"")</f>
        <v/>
      </c>
      <c r="DB563" s="57">
        <f>IFERROR($U564/$U563-1,"")</f>
        <v/>
      </c>
      <c r="DC563" s="57">
        <f>IFERROR($V564/$V563-1,"")</f>
        <v/>
      </c>
      <c r="DD563" s="57">
        <f>IFERROR($W564/$W563-1,"")</f>
        <v/>
      </c>
      <c r="DE563" s="57">
        <f>IFERROR($X564/$X563-1,"")</f>
        <v/>
      </c>
      <c r="DF563" s="57">
        <f>IFERROR($Y564/$Y563-1,"")</f>
        <v/>
      </c>
      <c r="DG563" s="57">
        <f>IFERROR($Z564/$Z563-1,"")</f>
        <v/>
      </c>
      <c r="DH563" s="57">
        <f>IFERROR($AA564/$AA563-1,"")</f>
        <v/>
      </c>
      <c r="DI563" s="57">
        <f>IFERROR($AB564/$AB563-1,"")</f>
        <v/>
      </c>
      <c r="DJ563" s="57">
        <f>IFERROR($AC564/$AC563-1,"")</f>
        <v/>
      </c>
      <c r="DK563" s="57">
        <f>IFERROR($AD564/$AD563-1,"")</f>
        <v/>
      </c>
      <c r="DL563" s="57">
        <f>IFERROR($AE564/$AE563-1,"")</f>
        <v/>
      </c>
      <c r="DM563" s="56">
        <f>$AZ563-$AZ564</f>
        <v/>
      </c>
      <c r="DN563" s="56">
        <f>$BA563-$BA564</f>
        <v/>
      </c>
      <c r="DO563" s="56">
        <f>$BB563-$BB564</f>
        <v/>
      </c>
      <c r="DP563" s="56">
        <f>$BC563-$BC564</f>
        <v/>
      </c>
      <c r="DQ563" s="56">
        <f>$BD563-$BD564</f>
        <v/>
      </c>
      <c r="DR563" s="56">
        <f>$BE563-$BE564</f>
        <v/>
      </c>
      <c r="DS563" s="56">
        <f>$BF563-$BF564</f>
        <v/>
      </c>
      <c r="DT563" s="56">
        <f>$BG563-$BG564</f>
        <v/>
      </c>
      <c r="DU563" s="56">
        <f>$BH563-$BH564</f>
        <v/>
      </c>
      <c r="DV563" s="56">
        <f>$BI563-$BI564</f>
        <v/>
      </c>
      <c r="DW563" s="56">
        <f>$BJ563-$BJ564</f>
        <v/>
      </c>
      <c r="DX563" s="56">
        <f>$BK563-$BK564</f>
        <v/>
      </c>
      <c r="DY563" s="56">
        <f>$BL563-$BL564</f>
        <v/>
      </c>
      <c r="DZ563" s="56">
        <f>$BM563-$BM564</f>
        <v/>
      </c>
      <c r="EA563" s="56">
        <f>$BN563-$BN564</f>
        <v/>
      </c>
      <c r="EB563" s="56">
        <f>$BO563-$BO564</f>
        <v/>
      </c>
      <c r="EC563" s="56">
        <f>$BP563-$BP564</f>
        <v/>
      </c>
      <c r="ED563" s="56">
        <f>$BQ563-$BQ564</f>
        <v/>
      </c>
      <c r="EE563" s="56">
        <f>$BR563-$BR564</f>
        <v/>
      </c>
      <c r="EF563" s="56">
        <f>$BS563-$BS564</f>
        <v/>
      </c>
      <c r="EG563" s="56">
        <f>$BT563-$BT564</f>
        <v/>
      </c>
      <c r="EH563" s="56">
        <f>$BU563-$BU564</f>
        <v/>
      </c>
    </row>
    <row r="564">
      <c r="BV564" s="56">
        <f>($D564-$D565)*100</f>
        <v/>
      </c>
      <c r="BW564" s="56">
        <f>($C564-$C565)*100</f>
        <v/>
      </c>
      <c r="BX564" s="57">
        <f>IFERROR($I564/$I565-1,"")</f>
        <v/>
      </c>
      <c r="BY564" s="56">
        <f>($AF564-$AF565)*100</f>
        <v/>
      </c>
      <c r="BZ564" s="56">
        <f>($AG564-$AG565)*100</f>
        <v/>
      </c>
      <c r="CA564" s="56">
        <f>($AH564-$AH565)*100</f>
        <v/>
      </c>
      <c r="CB564" s="56">
        <f>($AI564-$AI565)*100</f>
        <v/>
      </c>
      <c r="CC564" s="56">
        <f>($AJ564-$AJ565)*100</f>
        <v/>
      </c>
      <c r="CD564" s="56">
        <f>($AK564-$AK565)*100</f>
        <v/>
      </c>
      <c r="CE564" s="56">
        <f>($AL564-$AL565)*100</f>
        <v/>
      </c>
      <c r="CF564" s="56">
        <f>($AM564-$AM565)*100</f>
        <v/>
      </c>
      <c r="CG564" s="56">
        <f>($AN564-$AN565)*100</f>
        <v/>
      </c>
      <c r="CH564" s="56">
        <f>($AO564-$AO565)*100</f>
        <v/>
      </c>
      <c r="CI564" s="56">
        <f>($AP564-$AP565)*100</f>
        <v/>
      </c>
      <c r="CJ564" s="56">
        <f>($AQ564-$AQ565)*100</f>
        <v/>
      </c>
      <c r="CK564" s="56">
        <f>($AR564-$AR565)*100</f>
        <v/>
      </c>
      <c r="CL564" s="56">
        <f>($AS564-$AS565)*100</f>
        <v/>
      </c>
      <c r="CM564" s="56">
        <f>($AT564-$AT565)*100</f>
        <v/>
      </c>
      <c r="CN564" s="56">
        <f>($AU564-$AU565)*100</f>
        <v/>
      </c>
      <c r="CO564" s="56">
        <f>($AV564-$AV565)*100</f>
        <v/>
      </c>
      <c r="CP564" s="56">
        <f>($AW564-$AW565)*100</f>
        <v/>
      </c>
      <c r="CQ564" s="56">
        <f>($AX564-$AX565)*100</f>
        <v/>
      </c>
      <c r="CR564" s="56">
        <f>($AY564-$AY565)*100</f>
        <v/>
      </c>
      <c r="CS564" s="57">
        <f>IFERROR($L565/$L564-1,"")</f>
        <v/>
      </c>
      <c r="CT564" s="57">
        <f>IFERROR($M565/$M564-1,"")</f>
        <v/>
      </c>
      <c r="CU564" s="57">
        <f>IFERROR($N565/$N564-1,"")</f>
        <v/>
      </c>
      <c r="CV564" s="57">
        <f>IFERROR($O565/$O564-1,"")</f>
        <v/>
      </c>
      <c r="CW564" s="57">
        <f>IFERROR($P565/$P564-1,"")</f>
        <v/>
      </c>
      <c r="CX564" s="57">
        <f>IFERROR($Q565/$Q564-1,"")</f>
        <v/>
      </c>
      <c r="CY564" s="57">
        <f>IFERROR($R565/$R564-1,"")</f>
        <v/>
      </c>
      <c r="CZ564" s="57">
        <f>IFERROR($S565/$S564-1,"")</f>
        <v/>
      </c>
      <c r="DA564" s="57">
        <f>IFERROR($T565/$T564-1,"")</f>
        <v/>
      </c>
      <c r="DB564" s="57">
        <f>IFERROR($U565/$U564-1,"")</f>
        <v/>
      </c>
      <c r="DC564" s="57">
        <f>IFERROR($V565/$V564-1,"")</f>
        <v/>
      </c>
      <c r="DD564" s="57">
        <f>IFERROR($W565/$W564-1,"")</f>
        <v/>
      </c>
      <c r="DE564" s="57">
        <f>IFERROR($X565/$X564-1,"")</f>
        <v/>
      </c>
      <c r="DF564" s="57">
        <f>IFERROR($Y565/$Y564-1,"")</f>
        <v/>
      </c>
      <c r="DG564" s="57">
        <f>IFERROR($Z565/$Z564-1,"")</f>
        <v/>
      </c>
      <c r="DH564" s="57">
        <f>IFERROR($AA565/$AA564-1,"")</f>
        <v/>
      </c>
      <c r="DI564" s="57">
        <f>IFERROR($AB565/$AB564-1,"")</f>
        <v/>
      </c>
      <c r="DJ564" s="57">
        <f>IFERROR($AC565/$AC564-1,"")</f>
        <v/>
      </c>
      <c r="DK564" s="57">
        <f>IFERROR($AD565/$AD564-1,"")</f>
        <v/>
      </c>
      <c r="DL564" s="57">
        <f>IFERROR($AE565/$AE564-1,"")</f>
        <v/>
      </c>
      <c r="DM564" s="56">
        <f>$AZ564-$AZ565</f>
        <v/>
      </c>
      <c r="DN564" s="56">
        <f>$BA564-$BA565</f>
        <v/>
      </c>
      <c r="DO564" s="56">
        <f>$BB564-$BB565</f>
        <v/>
      </c>
      <c r="DP564" s="56">
        <f>$BC564-$BC565</f>
        <v/>
      </c>
      <c r="DQ564" s="56">
        <f>$BD564-$BD565</f>
        <v/>
      </c>
      <c r="DR564" s="56">
        <f>$BE564-$BE565</f>
        <v/>
      </c>
      <c r="DS564" s="56">
        <f>$BF564-$BF565</f>
        <v/>
      </c>
      <c r="DT564" s="56">
        <f>$BG564-$BG565</f>
        <v/>
      </c>
      <c r="DU564" s="56">
        <f>$BH564-$BH565</f>
        <v/>
      </c>
      <c r="DV564" s="56">
        <f>$BI564-$BI565</f>
        <v/>
      </c>
      <c r="DW564" s="56">
        <f>$BJ564-$BJ565</f>
        <v/>
      </c>
      <c r="DX564" s="56">
        <f>$BK564-$BK565</f>
        <v/>
      </c>
      <c r="DY564" s="56">
        <f>$BL564-$BL565</f>
        <v/>
      </c>
      <c r="DZ564" s="56">
        <f>$BM564-$BM565</f>
        <v/>
      </c>
      <c r="EA564" s="56">
        <f>$BN564-$BN565</f>
        <v/>
      </c>
      <c r="EB564" s="56">
        <f>$BO564-$BO565</f>
        <v/>
      </c>
      <c r="EC564" s="56">
        <f>$BP564-$BP565</f>
        <v/>
      </c>
      <c r="ED564" s="56">
        <f>$BQ564-$BQ565</f>
        <v/>
      </c>
      <c r="EE564" s="56">
        <f>$BR564-$BR565</f>
        <v/>
      </c>
      <c r="EF564" s="56">
        <f>$BS564-$BS565</f>
        <v/>
      </c>
      <c r="EG564" s="56">
        <f>$BT564-$BT565</f>
        <v/>
      </c>
      <c r="EH564" s="56">
        <f>$BU564-$BU565</f>
        <v/>
      </c>
    </row>
    <row r="565">
      <c r="BV565" s="56">
        <f>($D565-$D566)*100</f>
        <v/>
      </c>
      <c r="BW565" s="56">
        <f>($C565-$C566)*100</f>
        <v/>
      </c>
      <c r="BX565" s="57">
        <f>IFERROR($I565/$I566-1,"")</f>
        <v/>
      </c>
      <c r="BY565" s="56">
        <f>($AF565-$AF566)*100</f>
        <v/>
      </c>
      <c r="BZ565" s="56">
        <f>($AG565-$AG566)*100</f>
        <v/>
      </c>
      <c r="CA565" s="56">
        <f>($AH565-$AH566)*100</f>
        <v/>
      </c>
      <c r="CB565" s="56">
        <f>($AI565-$AI566)*100</f>
        <v/>
      </c>
      <c r="CC565" s="56">
        <f>($AJ565-$AJ566)*100</f>
        <v/>
      </c>
      <c r="CD565" s="56">
        <f>($AK565-$AK566)*100</f>
        <v/>
      </c>
      <c r="CE565" s="56">
        <f>($AL565-$AL566)*100</f>
        <v/>
      </c>
      <c r="CF565" s="56">
        <f>($AM565-$AM566)*100</f>
        <v/>
      </c>
      <c r="CG565" s="56">
        <f>($AN565-$AN566)*100</f>
        <v/>
      </c>
      <c r="CH565" s="56">
        <f>($AO565-$AO566)*100</f>
        <v/>
      </c>
      <c r="CI565" s="56">
        <f>($AP565-$AP566)*100</f>
        <v/>
      </c>
      <c r="CJ565" s="56">
        <f>($AQ565-$AQ566)*100</f>
        <v/>
      </c>
      <c r="CK565" s="56">
        <f>($AR565-$AR566)*100</f>
        <v/>
      </c>
      <c r="CL565" s="56">
        <f>($AS565-$AS566)*100</f>
        <v/>
      </c>
      <c r="CM565" s="56">
        <f>($AT565-$AT566)*100</f>
        <v/>
      </c>
      <c r="CN565" s="56">
        <f>($AU565-$AU566)*100</f>
        <v/>
      </c>
      <c r="CO565" s="56">
        <f>($AV565-$AV566)*100</f>
        <v/>
      </c>
      <c r="CP565" s="56">
        <f>($AW565-$AW566)*100</f>
        <v/>
      </c>
      <c r="CQ565" s="56">
        <f>($AX565-$AX566)*100</f>
        <v/>
      </c>
      <c r="CR565" s="56">
        <f>($AY565-$AY566)*100</f>
        <v/>
      </c>
      <c r="CS565" s="57">
        <f>IFERROR($L566/$L565-1,"")</f>
        <v/>
      </c>
      <c r="CT565" s="57">
        <f>IFERROR($M566/$M565-1,"")</f>
        <v/>
      </c>
      <c r="CU565" s="57">
        <f>IFERROR($N566/$N565-1,"")</f>
        <v/>
      </c>
      <c r="CV565" s="57">
        <f>IFERROR($O566/$O565-1,"")</f>
        <v/>
      </c>
      <c r="CW565" s="57">
        <f>IFERROR($P566/$P565-1,"")</f>
        <v/>
      </c>
      <c r="CX565" s="57">
        <f>IFERROR($Q566/$Q565-1,"")</f>
        <v/>
      </c>
      <c r="CY565" s="57">
        <f>IFERROR($R566/$R565-1,"")</f>
        <v/>
      </c>
      <c r="CZ565" s="57">
        <f>IFERROR($S566/$S565-1,"")</f>
        <v/>
      </c>
      <c r="DA565" s="57">
        <f>IFERROR($T566/$T565-1,"")</f>
        <v/>
      </c>
      <c r="DB565" s="57">
        <f>IFERROR($U566/$U565-1,"")</f>
        <v/>
      </c>
      <c r="DC565" s="57">
        <f>IFERROR($V566/$V565-1,"")</f>
        <v/>
      </c>
      <c r="DD565" s="57">
        <f>IFERROR($W566/$W565-1,"")</f>
        <v/>
      </c>
      <c r="DE565" s="57">
        <f>IFERROR($X566/$X565-1,"")</f>
        <v/>
      </c>
      <c r="DF565" s="57">
        <f>IFERROR($Y566/$Y565-1,"")</f>
        <v/>
      </c>
      <c r="DG565" s="57">
        <f>IFERROR($Z566/$Z565-1,"")</f>
        <v/>
      </c>
      <c r="DH565" s="57">
        <f>IFERROR($AA566/$AA565-1,"")</f>
        <v/>
      </c>
      <c r="DI565" s="57">
        <f>IFERROR($AB566/$AB565-1,"")</f>
        <v/>
      </c>
      <c r="DJ565" s="57">
        <f>IFERROR($AC566/$AC565-1,"")</f>
        <v/>
      </c>
      <c r="DK565" s="57">
        <f>IFERROR($AD566/$AD565-1,"")</f>
        <v/>
      </c>
      <c r="DL565" s="57">
        <f>IFERROR($AE566/$AE565-1,"")</f>
        <v/>
      </c>
      <c r="DM565" s="56">
        <f>$AZ565-$AZ566</f>
        <v/>
      </c>
      <c r="DN565" s="56">
        <f>$BA565-$BA566</f>
        <v/>
      </c>
      <c r="DO565" s="56">
        <f>$BB565-$BB566</f>
        <v/>
      </c>
      <c r="DP565" s="56">
        <f>$BC565-$BC566</f>
        <v/>
      </c>
      <c r="DQ565" s="56">
        <f>$BD565-$BD566</f>
        <v/>
      </c>
      <c r="DR565" s="56">
        <f>$BE565-$BE566</f>
        <v/>
      </c>
      <c r="DS565" s="56">
        <f>$BF565-$BF566</f>
        <v/>
      </c>
      <c r="DT565" s="56">
        <f>$BG565-$BG566</f>
        <v/>
      </c>
      <c r="DU565" s="56">
        <f>$BH565-$BH566</f>
        <v/>
      </c>
      <c r="DV565" s="56">
        <f>$BI565-$BI566</f>
        <v/>
      </c>
      <c r="DW565" s="56">
        <f>$BJ565-$BJ566</f>
        <v/>
      </c>
      <c r="DX565" s="56">
        <f>$BK565-$BK566</f>
        <v/>
      </c>
      <c r="DY565" s="56">
        <f>$BL565-$BL566</f>
        <v/>
      </c>
      <c r="DZ565" s="56">
        <f>$BM565-$BM566</f>
        <v/>
      </c>
      <c r="EA565" s="56">
        <f>$BN565-$BN566</f>
        <v/>
      </c>
      <c r="EB565" s="56">
        <f>$BO565-$BO566</f>
        <v/>
      </c>
      <c r="EC565" s="56">
        <f>$BP565-$BP566</f>
        <v/>
      </c>
      <c r="ED565" s="56">
        <f>$BQ565-$BQ566</f>
        <v/>
      </c>
      <c r="EE565" s="56">
        <f>$BR565-$BR566</f>
        <v/>
      </c>
      <c r="EF565" s="56">
        <f>$BS565-$BS566</f>
        <v/>
      </c>
      <c r="EG565" s="56">
        <f>$BT565-$BT566</f>
        <v/>
      </c>
      <c r="EH565" s="56">
        <f>$BU565-$BU566</f>
        <v/>
      </c>
    </row>
    <row r="566">
      <c r="BV566" s="56">
        <f>($D566-$D567)*100</f>
        <v/>
      </c>
      <c r="BW566" s="56">
        <f>($C566-$C567)*100</f>
        <v/>
      </c>
      <c r="BX566" s="57">
        <f>IFERROR($I566/$I567-1,"")</f>
        <v/>
      </c>
      <c r="BY566" s="56">
        <f>($AF566-$AF567)*100</f>
        <v/>
      </c>
      <c r="BZ566" s="56">
        <f>($AG566-$AG567)*100</f>
        <v/>
      </c>
      <c r="CA566" s="56">
        <f>($AH566-$AH567)*100</f>
        <v/>
      </c>
      <c r="CB566" s="56">
        <f>($AI566-$AI567)*100</f>
        <v/>
      </c>
      <c r="CC566" s="56">
        <f>($AJ566-$AJ567)*100</f>
        <v/>
      </c>
      <c r="CD566" s="56">
        <f>($AK566-$AK567)*100</f>
        <v/>
      </c>
      <c r="CE566" s="56">
        <f>($AL566-$AL567)*100</f>
        <v/>
      </c>
      <c r="CF566" s="56">
        <f>($AM566-$AM567)*100</f>
        <v/>
      </c>
      <c r="CG566" s="56">
        <f>($AN566-$AN567)*100</f>
        <v/>
      </c>
      <c r="CH566" s="56">
        <f>($AO566-$AO567)*100</f>
        <v/>
      </c>
      <c r="CI566" s="56">
        <f>($AP566-$AP567)*100</f>
        <v/>
      </c>
      <c r="CJ566" s="56">
        <f>($AQ566-$AQ567)*100</f>
        <v/>
      </c>
      <c r="CK566" s="56">
        <f>($AR566-$AR567)*100</f>
        <v/>
      </c>
      <c r="CL566" s="56">
        <f>($AS566-$AS567)*100</f>
        <v/>
      </c>
      <c r="CM566" s="56">
        <f>($AT566-$AT567)*100</f>
        <v/>
      </c>
      <c r="CN566" s="56">
        <f>($AU566-$AU567)*100</f>
        <v/>
      </c>
      <c r="CO566" s="56">
        <f>($AV566-$AV567)*100</f>
        <v/>
      </c>
      <c r="CP566" s="56">
        <f>($AW566-$AW567)*100</f>
        <v/>
      </c>
      <c r="CQ566" s="56">
        <f>($AX566-$AX567)*100</f>
        <v/>
      </c>
      <c r="CR566" s="56">
        <f>($AY566-$AY567)*100</f>
        <v/>
      </c>
      <c r="CS566" s="57">
        <f>IFERROR($L567/$L566-1,"")</f>
        <v/>
      </c>
      <c r="CT566" s="57">
        <f>IFERROR($M567/$M566-1,"")</f>
        <v/>
      </c>
      <c r="CU566" s="57">
        <f>IFERROR($N567/$N566-1,"")</f>
        <v/>
      </c>
      <c r="CV566" s="57">
        <f>IFERROR($O567/$O566-1,"")</f>
        <v/>
      </c>
      <c r="CW566" s="57">
        <f>IFERROR($P567/$P566-1,"")</f>
        <v/>
      </c>
      <c r="CX566" s="57">
        <f>IFERROR($Q567/$Q566-1,"")</f>
        <v/>
      </c>
      <c r="CY566" s="57">
        <f>IFERROR($R567/$R566-1,"")</f>
        <v/>
      </c>
      <c r="CZ566" s="57">
        <f>IFERROR($S567/$S566-1,"")</f>
        <v/>
      </c>
      <c r="DA566" s="57">
        <f>IFERROR($T567/$T566-1,"")</f>
        <v/>
      </c>
      <c r="DB566" s="57">
        <f>IFERROR($U567/$U566-1,"")</f>
        <v/>
      </c>
      <c r="DC566" s="57">
        <f>IFERROR($V567/$V566-1,"")</f>
        <v/>
      </c>
      <c r="DD566" s="57">
        <f>IFERROR($W567/$W566-1,"")</f>
        <v/>
      </c>
      <c r="DE566" s="57">
        <f>IFERROR($X567/$X566-1,"")</f>
        <v/>
      </c>
      <c r="DF566" s="57">
        <f>IFERROR($Y567/$Y566-1,"")</f>
        <v/>
      </c>
      <c r="DG566" s="57">
        <f>IFERROR($Z567/$Z566-1,"")</f>
        <v/>
      </c>
      <c r="DH566" s="57">
        <f>IFERROR($AA567/$AA566-1,"")</f>
        <v/>
      </c>
      <c r="DI566" s="57">
        <f>IFERROR($AB567/$AB566-1,"")</f>
        <v/>
      </c>
      <c r="DJ566" s="57">
        <f>IFERROR($AC567/$AC566-1,"")</f>
        <v/>
      </c>
      <c r="DK566" s="57">
        <f>IFERROR($AD567/$AD566-1,"")</f>
        <v/>
      </c>
      <c r="DL566" s="57">
        <f>IFERROR($AE567/$AE566-1,"")</f>
        <v/>
      </c>
      <c r="DM566" s="56">
        <f>$AZ566-$AZ567</f>
        <v/>
      </c>
      <c r="DN566" s="56">
        <f>$BA566-$BA567</f>
        <v/>
      </c>
      <c r="DO566" s="56">
        <f>$BB566-$BB567</f>
        <v/>
      </c>
      <c r="DP566" s="56">
        <f>$BC566-$BC567</f>
        <v/>
      </c>
      <c r="DQ566" s="56">
        <f>$BD566-$BD567</f>
        <v/>
      </c>
      <c r="DR566" s="56">
        <f>$BE566-$BE567</f>
        <v/>
      </c>
      <c r="DS566" s="56">
        <f>$BF566-$BF567</f>
        <v/>
      </c>
      <c r="DT566" s="56">
        <f>$BG566-$BG567</f>
        <v/>
      </c>
      <c r="DU566" s="56">
        <f>$BH566-$BH567</f>
        <v/>
      </c>
      <c r="DV566" s="56">
        <f>$BI566-$BI567</f>
        <v/>
      </c>
      <c r="DW566" s="56">
        <f>$BJ566-$BJ567</f>
        <v/>
      </c>
      <c r="DX566" s="56">
        <f>$BK566-$BK567</f>
        <v/>
      </c>
      <c r="DY566" s="56">
        <f>$BL566-$BL567</f>
        <v/>
      </c>
      <c r="DZ566" s="56">
        <f>$BM566-$BM567</f>
        <v/>
      </c>
      <c r="EA566" s="56">
        <f>$BN566-$BN567</f>
        <v/>
      </c>
      <c r="EB566" s="56">
        <f>$BO566-$BO567</f>
        <v/>
      </c>
      <c r="EC566" s="56">
        <f>$BP566-$BP567</f>
        <v/>
      </c>
      <c r="ED566" s="56">
        <f>$BQ566-$BQ567</f>
        <v/>
      </c>
      <c r="EE566" s="56">
        <f>$BR566-$BR567</f>
        <v/>
      </c>
      <c r="EF566" s="56">
        <f>$BS566-$BS567</f>
        <v/>
      </c>
      <c r="EG566" s="56">
        <f>$BT566-$BT567</f>
        <v/>
      </c>
      <c r="EH566" s="56">
        <f>$BU566-$BU567</f>
        <v/>
      </c>
    </row>
    <row r="567">
      <c r="BV567" s="56">
        <f>($D567-$D568)*100</f>
        <v/>
      </c>
      <c r="BW567" s="56">
        <f>($C567-$C568)*100</f>
        <v/>
      </c>
      <c r="BX567" s="57">
        <f>IFERROR($I567/$I568-1,"")</f>
        <v/>
      </c>
      <c r="BY567" s="56">
        <f>($AF567-$AF568)*100</f>
        <v/>
      </c>
      <c r="BZ567" s="56">
        <f>($AG567-$AG568)*100</f>
        <v/>
      </c>
      <c r="CA567" s="56">
        <f>($AH567-$AH568)*100</f>
        <v/>
      </c>
      <c r="CB567" s="56">
        <f>($AI567-$AI568)*100</f>
        <v/>
      </c>
      <c r="CC567" s="56">
        <f>($AJ567-$AJ568)*100</f>
        <v/>
      </c>
      <c r="CD567" s="56">
        <f>($AK567-$AK568)*100</f>
        <v/>
      </c>
      <c r="CE567" s="56">
        <f>($AL567-$AL568)*100</f>
        <v/>
      </c>
      <c r="CF567" s="56">
        <f>($AM567-$AM568)*100</f>
        <v/>
      </c>
      <c r="CG567" s="56">
        <f>($AN567-$AN568)*100</f>
        <v/>
      </c>
      <c r="CH567" s="56">
        <f>($AO567-$AO568)*100</f>
        <v/>
      </c>
      <c r="CI567" s="56">
        <f>($AP567-$AP568)*100</f>
        <v/>
      </c>
      <c r="CJ567" s="56">
        <f>($AQ567-$AQ568)*100</f>
        <v/>
      </c>
      <c r="CK567" s="56">
        <f>($AR567-$AR568)*100</f>
        <v/>
      </c>
      <c r="CL567" s="56">
        <f>($AS567-$AS568)*100</f>
        <v/>
      </c>
      <c r="CM567" s="56">
        <f>($AT567-$AT568)*100</f>
        <v/>
      </c>
      <c r="CN567" s="56">
        <f>($AU567-$AU568)*100</f>
        <v/>
      </c>
      <c r="CO567" s="56">
        <f>($AV567-$AV568)*100</f>
        <v/>
      </c>
      <c r="CP567" s="56">
        <f>($AW567-$AW568)*100</f>
        <v/>
      </c>
      <c r="CQ567" s="56">
        <f>($AX567-$AX568)*100</f>
        <v/>
      </c>
      <c r="CR567" s="56">
        <f>($AY567-$AY568)*100</f>
        <v/>
      </c>
      <c r="CS567" s="57">
        <f>IFERROR($L568/$L567-1,"")</f>
        <v/>
      </c>
      <c r="CT567" s="57">
        <f>IFERROR($M568/$M567-1,"")</f>
        <v/>
      </c>
      <c r="CU567" s="57">
        <f>IFERROR($N568/$N567-1,"")</f>
        <v/>
      </c>
      <c r="CV567" s="57">
        <f>IFERROR($O568/$O567-1,"")</f>
        <v/>
      </c>
      <c r="CW567" s="57">
        <f>IFERROR($P568/$P567-1,"")</f>
        <v/>
      </c>
      <c r="CX567" s="57">
        <f>IFERROR($Q568/$Q567-1,"")</f>
        <v/>
      </c>
      <c r="CY567" s="57">
        <f>IFERROR($R568/$R567-1,"")</f>
        <v/>
      </c>
      <c r="CZ567" s="57">
        <f>IFERROR($S568/$S567-1,"")</f>
        <v/>
      </c>
      <c r="DA567" s="57">
        <f>IFERROR($T568/$T567-1,"")</f>
        <v/>
      </c>
      <c r="DB567" s="57">
        <f>IFERROR($U568/$U567-1,"")</f>
        <v/>
      </c>
      <c r="DC567" s="57">
        <f>IFERROR($V568/$V567-1,"")</f>
        <v/>
      </c>
      <c r="DD567" s="57">
        <f>IFERROR($W568/$W567-1,"")</f>
        <v/>
      </c>
      <c r="DE567" s="57">
        <f>IFERROR($X568/$X567-1,"")</f>
        <v/>
      </c>
      <c r="DF567" s="57">
        <f>IFERROR($Y568/$Y567-1,"")</f>
        <v/>
      </c>
      <c r="DG567" s="57">
        <f>IFERROR($Z568/$Z567-1,"")</f>
        <v/>
      </c>
      <c r="DH567" s="57">
        <f>IFERROR($AA568/$AA567-1,"")</f>
        <v/>
      </c>
      <c r="DI567" s="57">
        <f>IFERROR($AB568/$AB567-1,"")</f>
        <v/>
      </c>
      <c r="DJ567" s="57">
        <f>IFERROR($AC568/$AC567-1,"")</f>
        <v/>
      </c>
      <c r="DK567" s="57">
        <f>IFERROR($AD568/$AD567-1,"")</f>
        <v/>
      </c>
      <c r="DL567" s="57">
        <f>IFERROR($AE568/$AE567-1,"")</f>
        <v/>
      </c>
      <c r="DM567" s="56">
        <f>$AZ567-$AZ568</f>
        <v/>
      </c>
      <c r="DN567" s="56">
        <f>$BA567-$BA568</f>
        <v/>
      </c>
      <c r="DO567" s="56">
        <f>$BB567-$BB568</f>
        <v/>
      </c>
      <c r="DP567" s="56">
        <f>$BC567-$BC568</f>
        <v/>
      </c>
      <c r="DQ567" s="56">
        <f>$BD567-$BD568</f>
        <v/>
      </c>
      <c r="DR567" s="56">
        <f>$BE567-$BE568</f>
        <v/>
      </c>
      <c r="DS567" s="56">
        <f>$BF567-$BF568</f>
        <v/>
      </c>
      <c r="DT567" s="56">
        <f>$BG567-$BG568</f>
        <v/>
      </c>
      <c r="DU567" s="56">
        <f>$BH567-$BH568</f>
        <v/>
      </c>
      <c r="DV567" s="56">
        <f>$BI567-$BI568</f>
        <v/>
      </c>
      <c r="DW567" s="56">
        <f>$BJ567-$BJ568</f>
        <v/>
      </c>
      <c r="DX567" s="56">
        <f>$BK567-$BK568</f>
        <v/>
      </c>
      <c r="DY567" s="56">
        <f>$BL567-$BL568</f>
        <v/>
      </c>
      <c r="DZ567" s="56">
        <f>$BM567-$BM568</f>
        <v/>
      </c>
      <c r="EA567" s="56">
        <f>$BN567-$BN568</f>
        <v/>
      </c>
      <c r="EB567" s="56">
        <f>$BO567-$BO568</f>
        <v/>
      </c>
      <c r="EC567" s="56">
        <f>$BP567-$BP568</f>
        <v/>
      </c>
      <c r="ED567" s="56">
        <f>$BQ567-$BQ568</f>
        <v/>
      </c>
      <c r="EE567" s="56">
        <f>$BR567-$BR568</f>
        <v/>
      </c>
      <c r="EF567" s="56">
        <f>$BS567-$BS568</f>
        <v/>
      </c>
      <c r="EG567" s="56">
        <f>$BT567-$BT568</f>
        <v/>
      </c>
      <c r="EH567" s="56">
        <f>$BU567-$BU568</f>
        <v/>
      </c>
    </row>
    <row r="568">
      <c r="BV568" s="56">
        <f>($D568-$D569)*100</f>
        <v/>
      </c>
      <c r="BW568" s="56">
        <f>($C568-$C569)*100</f>
        <v/>
      </c>
      <c r="BX568" s="57">
        <f>IFERROR($I568/$I569-1,"")</f>
        <v/>
      </c>
      <c r="BY568" s="56">
        <f>($AF568-$AF569)*100</f>
        <v/>
      </c>
      <c r="BZ568" s="56">
        <f>($AG568-$AG569)*100</f>
        <v/>
      </c>
      <c r="CA568" s="56">
        <f>($AH568-$AH569)*100</f>
        <v/>
      </c>
      <c r="CB568" s="56">
        <f>($AI568-$AI569)*100</f>
        <v/>
      </c>
      <c r="CC568" s="56">
        <f>($AJ568-$AJ569)*100</f>
        <v/>
      </c>
      <c r="CD568" s="56">
        <f>($AK568-$AK569)*100</f>
        <v/>
      </c>
      <c r="CE568" s="56">
        <f>($AL568-$AL569)*100</f>
        <v/>
      </c>
      <c r="CF568" s="56">
        <f>($AM568-$AM569)*100</f>
        <v/>
      </c>
      <c r="CG568" s="56">
        <f>($AN568-$AN569)*100</f>
        <v/>
      </c>
      <c r="CH568" s="56">
        <f>($AO568-$AO569)*100</f>
        <v/>
      </c>
      <c r="CI568" s="56">
        <f>($AP568-$AP569)*100</f>
        <v/>
      </c>
      <c r="CJ568" s="56">
        <f>($AQ568-$AQ569)*100</f>
        <v/>
      </c>
      <c r="CK568" s="56">
        <f>($AR568-$AR569)*100</f>
        <v/>
      </c>
      <c r="CL568" s="56">
        <f>($AS568-$AS569)*100</f>
        <v/>
      </c>
      <c r="CM568" s="56">
        <f>($AT568-$AT569)*100</f>
        <v/>
      </c>
      <c r="CN568" s="56">
        <f>($AU568-$AU569)*100</f>
        <v/>
      </c>
      <c r="CO568" s="56">
        <f>($AV568-$AV569)*100</f>
        <v/>
      </c>
      <c r="CP568" s="56">
        <f>($AW568-$AW569)*100</f>
        <v/>
      </c>
      <c r="CQ568" s="56">
        <f>($AX568-$AX569)*100</f>
        <v/>
      </c>
      <c r="CR568" s="56">
        <f>($AY568-$AY569)*100</f>
        <v/>
      </c>
      <c r="CS568" s="57">
        <f>IFERROR($L569/$L568-1,"")</f>
        <v/>
      </c>
      <c r="CT568" s="57">
        <f>IFERROR($M569/$M568-1,"")</f>
        <v/>
      </c>
      <c r="CU568" s="57">
        <f>IFERROR($N569/$N568-1,"")</f>
        <v/>
      </c>
      <c r="CV568" s="57">
        <f>IFERROR($O569/$O568-1,"")</f>
        <v/>
      </c>
      <c r="CW568" s="57">
        <f>IFERROR($P569/$P568-1,"")</f>
        <v/>
      </c>
      <c r="CX568" s="57">
        <f>IFERROR($Q569/$Q568-1,"")</f>
        <v/>
      </c>
      <c r="CY568" s="57">
        <f>IFERROR($R569/$R568-1,"")</f>
        <v/>
      </c>
      <c r="CZ568" s="57">
        <f>IFERROR($S569/$S568-1,"")</f>
        <v/>
      </c>
      <c r="DA568" s="57">
        <f>IFERROR($T569/$T568-1,"")</f>
        <v/>
      </c>
      <c r="DB568" s="57">
        <f>IFERROR($U569/$U568-1,"")</f>
        <v/>
      </c>
      <c r="DC568" s="57">
        <f>IFERROR($V569/$V568-1,"")</f>
        <v/>
      </c>
      <c r="DD568" s="57">
        <f>IFERROR($W569/$W568-1,"")</f>
        <v/>
      </c>
      <c r="DE568" s="57">
        <f>IFERROR($X569/$X568-1,"")</f>
        <v/>
      </c>
      <c r="DF568" s="57">
        <f>IFERROR($Y569/$Y568-1,"")</f>
        <v/>
      </c>
      <c r="DG568" s="57">
        <f>IFERROR($Z569/$Z568-1,"")</f>
        <v/>
      </c>
      <c r="DH568" s="57">
        <f>IFERROR($AA569/$AA568-1,"")</f>
        <v/>
      </c>
      <c r="DI568" s="57">
        <f>IFERROR($AB569/$AB568-1,"")</f>
        <v/>
      </c>
      <c r="DJ568" s="57">
        <f>IFERROR($AC569/$AC568-1,"")</f>
        <v/>
      </c>
      <c r="DK568" s="57">
        <f>IFERROR($AD569/$AD568-1,"")</f>
        <v/>
      </c>
      <c r="DL568" s="57">
        <f>IFERROR($AE569/$AE568-1,"")</f>
        <v/>
      </c>
      <c r="DM568" s="56">
        <f>$AZ568-$AZ569</f>
        <v/>
      </c>
      <c r="DN568" s="56">
        <f>$BA568-$BA569</f>
        <v/>
      </c>
      <c r="DO568" s="56">
        <f>$BB568-$BB569</f>
        <v/>
      </c>
      <c r="DP568" s="56">
        <f>$BC568-$BC569</f>
        <v/>
      </c>
      <c r="DQ568" s="56">
        <f>$BD568-$BD569</f>
        <v/>
      </c>
      <c r="DR568" s="56">
        <f>$BE568-$BE569</f>
        <v/>
      </c>
      <c r="DS568" s="56">
        <f>$BF568-$BF569</f>
        <v/>
      </c>
      <c r="DT568" s="56">
        <f>$BG568-$BG569</f>
        <v/>
      </c>
      <c r="DU568" s="56">
        <f>$BH568-$BH569</f>
        <v/>
      </c>
      <c r="DV568" s="56">
        <f>$BI568-$BI569</f>
        <v/>
      </c>
      <c r="DW568" s="56">
        <f>$BJ568-$BJ569</f>
        <v/>
      </c>
      <c r="DX568" s="56">
        <f>$BK568-$BK569</f>
        <v/>
      </c>
      <c r="DY568" s="56">
        <f>$BL568-$BL569</f>
        <v/>
      </c>
      <c r="DZ568" s="56">
        <f>$BM568-$BM569</f>
        <v/>
      </c>
      <c r="EA568" s="56">
        <f>$BN568-$BN569</f>
        <v/>
      </c>
      <c r="EB568" s="56">
        <f>$BO568-$BO569</f>
        <v/>
      </c>
      <c r="EC568" s="56">
        <f>$BP568-$BP569</f>
        <v/>
      </c>
      <c r="ED568" s="56">
        <f>$BQ568-$BQ569</f>
        <v/>
      </c>
      <c r="EE568" s="56">
        <f>$BR568-$BR569</f>
        <v/>
      </c>
      <c r="EF568" s="56">
        <f>$BS568-$BS569</f>
        <v/>
      </c>
      <c r="EG568" s="56">
        <f>$BT568-$BT569</f>
        <v/>
      </c>
      <c r="EH568" s="56">
        <f>$BU568-$BU569</f>
        <v/>
      </c>
    </row>
    <row r="569">
      <c r="BV569" s="56">
        <f>($D569-$D570)*100</f>
        <v/>
      </c>
      <c r="BW569" s="56">
        <f>($C569-$C570)*100</f>
        <v/>
      </c>
      <c r="BX569" s="57">
        <f>IFERROR($I569/$I570-1,"")</f>
        <v/>
      </c>
      <c r="BY569" s="56">
        <f>($AF569-$AF570)*100</f>
        <v/>
      </c>
      <c r="BZ569" s="56">
        <f>($AG569-$AG570)*100</f>
        <v/>
      </c>
      <c r="CA569" s="56">
        <f>($AH569-$AH570)*100</f>
        <v/>
      </c>
      <c r="CB569" s="56">
        <f>($AI569-$AI570)*100</f>
        <v/>
      </c>
      <c r="CC569" s="56">
        <f>($AJ569-$AJ570)*100</f>
        <v/>
      </c>
      <c r="CD569" s="56">
        <f>($AK569-$AK570)*100</f>
        <v/>
      </c>
      <c r="CE569" s="56">
        <f>($AL569-$AL570)*100</f>
        <v/>
      </c>
      <c r="CF569" s="56">
        <f>($AM569-$AM570)*100</f>
        <v/>
      </c>
      <c r="CG569" s="56">
        <f>($AN569-$AN570)*100</f>
        <v/>
      </c>
      <c r="CH569" s="56">
        <f>($AO569-$AO570)*100</f>
        <v/>
      </c>
      <c r="CI569" s="56">
        <f>($AP569-$AP570)*100</f>
        <v/>
      </c>
      <c r="CJ569" s="56">
        <f>($AQ569-$AQ570)*100</f>
        <v/>
      </c>
      <c r="CK569" s="56">
        <f>($AR569-$AR570)*100</f>
        <v/>
      </c>
      <c r="CL569" s="56">
        <f>($AS569-$AS570)*100</f>
        <v/>
      </c>
      <c r="CM569" s="56">
        <f>($AT569-$AT570)*100</f>
        <v/>
      </c>
      <c r="CN569" s="56">
        <f>($AU569-$AU570)*100</f>
        <v/>
      </c>
      <c r="CO569" s="56">
        <f>($AV569-$AV570)*100</f>
        <v/>
      </c>
      <c r="CP569" s="56">
        <f>($AW569-$AW570)*100</f>
        <v/>
      </c>
      <c r="CQ569" s="56">
        <f>($AX569-$AX570)*100</f>
        <v/>
      </c>
      <c r="CR569" s="56">
        <f>($AY569-$AY570)*100</f>
        <v/>
      </c>
      <c r="CS569" s="57">
        <f>IFERROR($L570/$L569-1,"")</f>
        <v/>
      </c>
      <c r="CT569" s="57">
        <f>IFERROR($M570/$M569-1,"")</f>
        <v/>
      </c>
      <c r="CU569" s="57">
        <f>IFERROR($N570/$N569-1,"")</f>
        <v/>
      </c>
      <c r="CV569" s="57">
        <f>IFERROR($O570/$O569-1,"")</f>
        <v/>
      </c>
      <c r="CW569" s="57">
        <f>IFERROR($P570/$P569-1,"")</f>
        <v/>
      </c>
      <c r="CX569" s="57">
        <f>IFERROR($Q570/$Q569-1,"")</f>
        <v/>
      </c>
      <c r="CY569" s="57">
        <f>IFERROR($R570/$R569-1,"")</f>
        <v/>
      </c>
      <c r="CZ569" s="57">
        <f>IFERROR($S570/$S569-1,"")</f>
        <v/>
      </c>
      <c r="DA569" s="57">
        <f>IFERROR($T570/$T569-1,"")</f>
        <v/>
      </c>
      <c r="DB569" s="57">
        <f>IFERROR($U570/$U569-1,"")</f>
        <v/>
      </c>
      <c r="DC569" s="57">
        <f>IFERROR($V570/$V569-1,"")</f>
        <v/>
      </c>
      <c r="DD569" s="57">
        <f>IFERROR($W570/$W569-1,"")</f>
        <v/>
      </c>
      <c r="DE569" s="57">
        <f>IFERROR($X570/$X569-1,"")</f>
        <v/>
      </c>
      <c r="DF569" s="57">
        <f>IFERROR($Y570/$Y569-1,"")</f>
        <v/>
      </c>
      <c r="DG569" s="57">
        <f>IFERROR($Z570/$Z569-1,"")</f>
        <v/>
      </c>
      <c r="DH569" s="57">
        <f>IFERROR($AA570/$AA569-1,"")</f>
        <v/>
      </c>
      <c r="DI569" s="57">
        <f>IFERROR($AB570/$AB569-1,"")</f>
        <v/>
      </c>
      <c r="DJ569" s="57">
        <f>IFERROR($AC570/$AC569-1,"")</f>
        <v/>
      </c>
      <c r="DK569" s="57">
        <f>IFERROR($AD570/$AD569-1,"")</f>
        <v/>
      </c>
      <c r="DL569" s="57">
        <f>IFERROR($AE570/$AE569-1,"")</f>
        <v/>
      </c>
      <c r="DM569" s="56">
        <f>$AZ569-$AZ570</f>
        <v/>
      </c>
      <c r="DN569" s="56">
        <f>$BA569-$BA570</f>
        <v/>
      </c>
      <c r="DO569" s="56">
        <f>$BB569-$BB570</f>
        <v/>
      </c>
      <c r="DP569" s="56">
        <f>$BC569-$BC570</f>
        <v/>
      </c>
      <c r="DQ569" s="56">
        <f>$BD569-$BD570</f>
        <v/>
      </c>
      <c r="DR569" s="56">
        <f>$BE569-$BE570</f>
        <v/>
      </c>
      <c r="DS569" s="56">
        <f>$BF569-$BF570</f>
        <v/>
      </c>
      <c r="DT569" s="56">
        <f>$BG569-$BG570</f>
        <v/>
      </c>
      <c r="DU569" s="56">
        <f>$BH569-$BH570</f>
        <v/>
      </c>
      <c r="DV569" s="56">
        <f>$BI569-$BI570</f>
        <v/>
      </c>
      <c r="DW569" s="56">
        <f>$BJ569-$BJ570</f>
        <v/>
      </c>
      <c r="DX569" s="56">
        <f>$BK569-$BK570</f>
        <v/>
      </c>
      <c r="DY569" s="56">
        <f>$BL569-$BL570</f>
        <v/>
      </c>
      <c r="DZ569" s="56">
        <f>$BM569-$BM570</f>
        <v/>
      </c>
      <c r="EA569" s="56">
        <f>$BN569-$BN570</f>
        <v/>
      </c>
      <c r="EB569" s="56">
        <f>$BO569-$BO570</f>
        <v/>
      </c>
      <c r="EC569" s="56">
        <f>$BP569-$BP570</f>
        <v/>
      </c>
      <c r="ED569" s="56">
        <f>$BQ569-$BQ570</f>
        <v/>
      </c>
      <c r="EE569" s="56">
        <f>$BR569-$BR570</f>
        <v/>
      </c>
      <c r="EF569" s="56">
        <f>$BS569-$BS570</f>
        <v/>
      </c>
      <c r="EG569" s="56">
        <f>$BT569-$BT570</f>
        <v/>
      </c>
      <c r="EH569" s="56">
        <f>$BU569-$BU570</f>
        <v/>
      </c>
    </row>
    <row r="570">
      <c r="BV570" s="56">
        <f>($D570-$D571)*100</f>
        <v/>
      </c>
      <c r="BW570" s="56">
        <f>($C570-$C571)*100</f>
        <v/>
      </c>
      <c r="BX570" s="57">
        <f>IFERROR($I570/$I571-1,"")</f>
        <v/>
      </c>
      <c r="BY570" s="56">
        <f>($AF570-$AF571)*100</f>
        <v/>
      </c>
      <c r="BZ570" s="56">
        <f>($AG570-$AG571)*100</f>
        <v/>
      </c>
      <c r="CA570" s="56">
        <f>($AH570-$AH571)*100</f>
        <v/>
      </c>
      <c r="CB570" s="56">
        <f>($AI570-$AI571)*100</f>
        <v/>
      </c>
      <c r="CC570" s="56">
        <f>($AJ570-$AJ571)*100</f>
        <v/>
      </c>
      <c r="CD570" s="56">
        <f>($AK570-$AK571)*100</f>
        <v/>
      </c>
      <c r="CE570" s="56">
        <f>($AL570-$AL571)*100</f>
        <v/>
      </c>
      <c r="CF570" s="56">
        <f>($AM570-$AM571)*100</f>
        <v/>
      </c>
      <c r="CG570" s="56">
        <f>($AN570-$AN571)*100</f>
        <v/>
      </c>
      <c r="CH570" s="56">
        <f>($AO570-$AO571)*100</f>
        <v/>
      </c>
      <c r="CI570" s="56">
        <f>($AP570-$AP571)*100</f>
        <v/>
      </c>
      <c r="CJ570" s="56">
        <f>($AQ570-$AQ571)*100</f>
        <v/>
      </c>
      <c r="CK570" s="56">
        <f>($AR570-$AR571)*100</f>
        <v/>
      </c>
      <c r="CL570" s="56">
        <f>($AS570-$AS571)*100</f>
        <v/>
      </c>
      <c r="CM570" s="56">
        <f>($AT570-$AT571)*100</f>
        <v/>
      </c>
      <c r="CN570" s="56">
        <f>($AU570-$AU571)*100</f>
        <v/>
      </c>
      <c r="CO570" s="56">
        <f>($AV570-$AV571)*100</f>
        <v/>
      </c>
      <c r="CP570" s="56">
        <f>($AW570-$AW571)*100</f>
        <v/>
      </c>
      <c r="CQ570" s="56">
        <f>($AX570-$AX571)*100</f>
        <v/>
      </c>
      <c r="CR570" s="56">
        <f>($AY570-$AY571)*100</f>
        <v/>
      </c>
      <c r="CS570" s="57">
        <f>IFERROR($L571/$L570-1,"")</f>
        <v/>
      </c>
      <c r="CT570" s="57">
        <f>IFERROR($M571/$M570-1,"")</f>
        <v/>
      </c>
      <c r="CU570" s="57">
        <f>IFERROR($N571/$N570-1,"")</f>
        <v/>
      </c>
      <c r="CV570" s="57">
        <f>IFERROR($O571/$O570-1,"")</f>
        <v/>
      </c>
      <c r="CW570" s="57">
        <f>IFERROR($P571/$P570-1,"")</f>
        <v/>
      </c>
      <c r="CX570" s="57">
        <f>IFERROR($Q571/$Q570-1,"")</f>
        <v/>
      </c>
      <c r="CY570" s="57">
        <f>IFERROR($R571/$R570-1,"")</f>
        <v/>
      </c>
      <c r="CZ570" s="57">
        <f>IFERROR($S571/$S570-1,"")</f>
        <v/>
      </c>
      <c r="DA570" s="57">
        <f>IFERROR($T571/$T570-1,"")</f>
        <v/>
      </c>
      <c r="DB570" s="57">
        <f>IFERROR($U571/$U570-1,"")</f>
        <v/>
      </c>
      <c r="DC570" s="57">
        <f>IFERROR($V571/$V570-1,"")</f>
        <v/>
      </c>
      <c r="DD570" s="57">
        <f>IFERROR($W571/$W570-1,"")</f>
        <v/>
      </c>
      <c r="DE570" s="57">
        <f>IFERROR($X571/$X570-1,"")</f>
        <v/>
      </c>
      <c r="DF570" s="57">
        <f>IFERROR($Y571/$Y570-1,"")</f>
        <v/>
      </c>
      <c r="DG570" s="57">
        <f>IFERROR($Z571/$Z570-1,"")</f>
        <v/>
      </c>
      <c r="DH570" s="57">
        <f>IFERROR($AA571/$AA570-1,"")</f>
        <v/>
      </c>
      <c r="DI570" s="57">
        <f>IFERROR($AB571/$AB570-1,"")</f>
        <v/>
      </c>
      <c r="DJ570" s="57">
        <f>IFERROR($AC571/$AC570-1,"")</f>
        <v/>
      </c>
      <c r="DK570" s="57">
        <f>IFERROR($AD571/$AD570-1,"")</f>
        <v/>
      </c>
      <c r="DL570" s="57">
        <f>IFERROR($AE571/$AE570-1,"")</f>
        <v/>
      </c>
      <c r="DM570" s="56">
        <f>$AZ570-$AZ571</f>
        <v/>
      </c>
      <c r="DN570" s="56">
        <f>$BA570-$BA571</f>
        <v/>
      </c>
      <c r="DO570" s="56">
        <f>$BB570-$BB571</f>
        <v/>
      </c>
      <c r="DP570" s="56">
        <f>$BC570-$BC571</f>
        <v/>
      </c>
      <c r="DQ570" s="56">
        <f>$BD570-$BD571</f>
        <v/>
      </c>
      <c r="DR570" s="56">
        <f>$BE570-$BE571</f>
        <v/>
      </c>
      <c r="DS570" s="56">
        <f>$BF570-$BF571</f>
        <v/>
      </c>
      <c r="DT570" s="56">
        <f>$BG570-$BG571</f>
        <v/>
      </c>
      <c r="DU570" s="56">
        <f>$BH570-$BH571</f>
        <v/>
      </c>
      <c r="DV570" s="56">
        <f>$BI570-$BI571</f>
        <v/>
      </c>
      <c r="DW570" s="56">
        <f>$BJ570-$BJ571</f>
        <v/>
      </c>
      <c r="DX570" s="56">
        <f>$BK570-$BK571</f>
        <v/>
      </c>
      <c r="DY570" s="56">
        <f>$BL570-$BL571</f>
        <v/>
      </c>
      <c r="DZ570" s="56">
        <f>$BM570-$BM571</f>
        <v/>
      </c>
      <c r="EA570" s="56">
        <f>$BN570-$BN571</f>
        <v/>
      </c>
      <c r="EB570" s="56">
        <f>$BO570-$BO571</f>
        <v/>
      </c>
      <c r="EC570" s="56">
        <f>$BP570-$BP571</f>
        <v/>
      </c>
      <c r="ED570" s="56">
        <f>$BQ570-$BQ571</f>
        <v/>
      </c>
      <c r="EE570" s="56">
        <f>$BR570-$BR571</f>
        <v/>
      </c>
      <c r="EF570" s="56">
        <f>$BS570-$BS571</f>
        <v/>
      </c>
      <c r="EG570" s="56">
        <f>$BT570-$BT571</f>
        <v/>
      </c>
      <c r="EH570" s="56">
        <f>$BU570-$BU571</f>
        <v/>
      </c>
    </row>
    <row r="571">
      <c r="BV571" s="56">
        <f>($D571-$D572)*100</f>
        <v/>
      </c>
      <c r="BW571" s="56">
        <f>($C571-$C572)*100</f>
        <v/>
      </c>
      <c r="BX571" s="57">
        <f>IFERROR($I571/$I572-1,"")</f>
        <v/>
      </c>
      <c r="BY571" s="56">
        <f>($AF571-$AF572)*100</f>
        <v/>
      </c>
      <c r="BZ571" s="56">
        <f>($AG571-$AG572)*100</f>
        <v/>
      </c>
      <c r="CA571" s="56">
        <f>($AH571-$AH572)*100</f>
        <v/>
      </c>
      <c r="CB571" s="56">
        <f>($AI571-$AI572)*100</f>
        <v/>
      </c>
      <c r="CC571" s="56">
        <f>($AJ571-$AJ572)*100</f>
        <v/>
      </c>
      <c r="CD571" s="56">
        <f>($AK571-$AK572)*100</f>
        <v/>
      </c>
      <c r="CE571" s="56">
        <f>($AL571-$AL572)*100</f>
        <v/>
      </c>
      <c r="CF571" s="56">
        <f>($AM571-$AM572)*100</f>
        <v/>
      </c>
      <c r="CG571" s="56">
        <f>($AN571-$AN572)*100</f>
        <v/>
      </c>
      <c r="CH571" s="56">
        <f>($AO571-$AO572)*100</f>
        <v/>
      </c>
      <c r="CI571" s="56">
        <f>($AP571-$AP572)*100</f>
        <v/>
      </c>
      <c r="CJ571" s="56">
        <f>($AQ571-$AQ572)*100</f>
        <v/>
      </c>
      <c r="CK571" s="56">
        <f>($AR571-$AR572)*100</f>
        <v/>
      </c>
      <c r="CL571" s="56">
        <f>($AS571-$AS572)*100</f>
        <v/>
      </c>
      <c r="CM571" s="56">
        <f>($AT571-$AT572)*100</f>
        <v/>
      </c>
      <c r="CN571" s="56">
        <f>($AU571-$AU572)*100</f>
        <v/>
      </c>
      <c r="CO571" s="56">
        <f>($AV571-$AV572)*100</f>
        <v/>
      </c>
      <c r="CP571" s="56">
        <f>($AW571-$AW572)*100</f>
        <v/>
      </c>
      <c r="CQ571" s="56">
        <f>($AX571-$AX572)*100</f>
        <v/>
      </c>
      <c r="CR571" s="56">
        <f>($AY571-$AY572)*100</f>
        <v/>
      </c>
      <c r="CS571" s="57">
        <f>IFERROR($L572/$L571-1,"")</f>
        <v/>
      </c>
      <c r="CT571" s="57">
        <f>IFERROR($M572/$M571-1,"")</f>
        <v/>
      </c>
      <c r="CU571" s="57">
        <f>IFERROR($N572/$N571-1,"")</f>
        <v/>
      </c>
      <c r="CV571" s="57">
        <f>IFERROR($O572/$O571-1,"")</f>
        <v/>
      </c>
      <c r="CW571" s="57">
        <f>IFERROR($P572/$P571-1,"")</f>
        <v/>
      </c>
      <c r="CX571" s="57">
        <f>IFERROR($Q572/$Q571-1,"")</f>
        <v/>
      </c>
      <c r="CY571" s="57">
        <f>IFERROR($R572/$R571-1,"")</f>
        <v/>
      </c>
      <c r="CZ571" s="57">
        <f>IFERROR($S572/$S571-1,"")</f>
        <v/>
      </c>
      <c r="DA571" s="57">
        <f>IFERROR($T572/$T571-1,"")</f>
        <v/>
      </c>
      <c r="DB571" s="57">
        <f>IFERROR($U572/$U571-1,"")</f>
        <v/>
      </c>
      <c r="DC571" s="57">
        <f>IFERROR($V572/$V571-1,"")</f>
        <v/>
      </c>
      <c r="DD571" s="57">
        <f>IFERROR($W572/$W571-1,"")</f>
        <v/>
      </c>
      <c r="DE571" s="57">
        <f>IFERROR($X572/$X571-1,"")</f>
        <v/>
      </c>
      <c r="DF571" s="57">
        <f>IFERROR($Y572/$Y571-1,"")</f>
        <v/>
      </c>
      <c r="DG571" s="57">
        <f>IFERROR($Z572/$Z571-1,"")</f>
        <v/>
      </c>
      <c r="DH571" s="57">
        <f>IFERROR($AA572/$AA571-1,"")</f>
        <v/>
      </c>
      <c r="DI571" s="57">
        <f>IFERROR($AB572/$AB571-1,"")</f>
        <v/>
      </c>
      <c r="DJ571" s="57">
        <f>IFERROR($AC572/$AC571-1,"")</f>
        <v/>
      </c>
      <c r="DK571" s="57">
        <f>IFERROR($AD572/$AD571-1,"")</f>
        <v/>
      </c>
      <c r="DL571" s="57">
        <f>IFERROR($AE572/$AE571-1,"")</f>
        <v/>
      </c>
      <c r="DM571" s="56">
        <f>$AZ571-$AZ572</f>
        <v/>
      </c>
      <c r="DN571" s="56">
        <f>$BA571-$BA572</f>
        <v/>
      </c>
      <c r="DO571" s="56">
        <f>$BB571-$BB572</f>
        <v/>
      </c>
      <c r="DP571" s="56">
        <f>$BC571-$BC572</f>
        <v/>
      </c>
      <c r="DQ571" s="56">
        <f>$BD571-$BD572</f>
        <v/>
      </c>
      <c r="DR571" s="56">
        <f>$BE571-$BE572</f>
        <v/>
      </c>
      <c r="DS571" s="56">
        <f>$BF571-$BF572</f>
        <v/>
      </c>
      <c r="DT571" s="56">
        <f>$BG571-$BG572</f>
        <v/>
      </c>
      <c r="DU571" s="56">
        <f>$BH571-$BH572</f>
        <v/>
      </c>
      <c r="DV571" s="56">
        <f>$BI571-$BI572</f>
        <v/>
      </c>
      <c r="DW571" s="56">
        <f>$BJ571-$BJ572</f>
        <v/>
      </c>
      <c r="DX571" s="56">
        <f>$BK571-$BK572</f>
        <v/>
      </c>
      <c r="DY571" s="56">
        <f>$BL571-$BL572</f>
        <v/>
      </c>
      <c r="DZ571" s="56">
        <f>$BM571-$BM572</f>
        <v/>
      </c>
      <c r="EA571" s="56">
        <f>$BN571-$BN572</f>
        <v/>
      </c>
      <c r="EB571" s="56">
        <f>$BO571-$BO572</f>
        <v/>
      </c>
      <c r="EC571" s="56">
        <f>$BP571-$BP572</f>
        <v/>
      </c>
      <c r="ED571" s="56">
        <f>$BQ571-$BQ572</f>
        <v/>
      </c>
      <c r="EE571" s="56">
        <f>$BR571-$BR572</f>
        <v/>
      </c>
      <c r="EF571" s="56">
        <f>$BS571-$BS572</f>
        <v/>
      </c>
      <c r="EG571" s="56">
        <f>$BT571-$BT572</f>
        <v/>
      </c>
      <c r="EH571" s="56">
        <f>$BU571-$BU572</f>
        <v/>
      </c>
    </row>
    <row r="572">
      <c r="BV572" s="56">
        <f>($D572-$D573)*100</f>
        <v/>
      </c>
      <c r="BW572" s="56">
        <f>($C572-$C573)*100</f>
        <v/>
      </c>
      <c r="BX572" s="57">
        <f>IFERROR($I572/$I573-1,"")</f>
        <v/>
      </c>
      <c r="BY572" s="56">
        <f>($AF572-$AF573)*100</f>
        <v/>
      </c>
      <c r="BZ572" s="56">
        <f>($AG572-$AG573)*100</f>
        <v/>
      </c>
      <c r="CA572" s="56">
        <f>($AH572-$AH573)*100</f>
        <v/>
      </c>
      <c r="CB572" s="56">
        <f>($AI572-$AI573)*100</f>
        <v/>
      </c>
      <c r="CC572" s="56">
        <f>($AJ572-$AJ573)*100</f>
        <v/>
      </c>
      <c r="CD572" s="56">
        <f>($AK572-$AK573)*100</f>
        <v/>
      </c>
      <c r="CE572" s="56">
        <f>($AL572-$AL573)*100</f>
        <v/>
      </c>
      <c r="CF572" s="56">
        <f>($AM572-$AM573)*100</f>
        <v/>
      </c>
      <c r="CG572" s="56">
        <f>($AN572-$AN573)*100</f>
        <v/>
      </c>
      <c r="CH572" s="56">
        <f>($AO572-$AO573)*100</f>
        <v/>
      </c>
      <c r="CI572" s="56">
        <f>($AP572-$AP573)*100</f>
        <v/>
      </c>
      <c r="CJ572" s="56">
        <f>($AQ572-$AQ573)*100</f>
        <v/>
      </c>
      <c r="CK572" s="56">
        <f>($AR572-$AR573)*100</f>
        <v/>
      </c>
      <c r="CL572" s="56">
        <f>($AS572-$AS573)*100</f>
        <v/>
      </c>
      <c r="CM572" s="56">
        <f>($AT572-$AT573)*100</f>
        <v/>
      </c>
      <c r="CN572" s="56">
        <f>($AU572-$AU573)*100</f>
        <v/>
      </c>
      <c r="CO572" s="56">
        <f>($AV572-$AV573)*100</f>
        <v/>
      </c>
      <c r="CP572" s="56">
        <f>($AW572-$AW573)*100</f>
        <v/>
      </c>
      <c r="CQ572" s="56">
        <f>($AX572-$AX573)*100</f>
        <v/>
      </c>
      <c r="CR572" s="56">
        <f>($AY572-$AY573)*100</f>
        <v/>
      </c>
      <c r="CS572" s="57">
        <f>IFERROR($L573/$L572-1,"")</f>
        <v/>
      </c>
      <c r="CT572" s="57">
        <f>IFERROR($M573/$M572-1,"")</f>
        <v/>
      </c>
      <c r="CU572" s="57">
        <f>IFERROR($N573/$N572-1,"")</f>
        <v/>
      </c>
      <c r="CV572" s="57">
        <f>IFERROR($O573/$O572-1,"")</f>
        <v/>
      </c>
      <c r="CW572" s="57">
        <f>IFERROR($P573/$P572-1,"")</f>
        <v/>
      </c>
      <c r="CX572" s="57">
        <f>IFERROR($Q573/$Q572-1,"")</f>
        <v/>
      </c>
      <c r="CY572" s="57">
        <f>IFERROR($R573/$R572-1,"")</f>
        <v/>
      </c>
      <c r="CZ572" s="57">
        <f>IFERROR($S573/$S572-1,"")</f>
        <v/>
      </c>
      <c r="DA572" s="57">
        <f>IFERROR($T573/$T572-1,"")</f>
        <v/>
      </c>
      <c r="DB572" s="57">
        <f>IFERROR($U573/$U572-1,"")</f>
        <v/>
      </c>
      <c r="DC572" s="57">
        <f>IFERROR($V573/$V572-1,"")</f>
        <v/>
      </c>
      <c r="DD572" s="57">
        <f>IFERROR($W573/$W572-1,"")</f>
        <v/>
      </c>
      <c r="DE572" s="57">
        <f>IFERROR($X573/$X572-1,"")</f>
        <v/>
      </c>
      <c r="DF572" s="57">
        <f>IFERROR($Y573/$Y572-1,"")</f>
        <v/>
      </c>
      <c r="DG572" s="57">
        <f>IFERROR($Z573/$Z572-1,"")</f>
        <v/>
      </c>
      <c r="DH572" s="57">
        <f>IFERROR($AA573/$AA572-1,"")</f>
        <v/>
      </c>
      <c r="DI572" s="57">
        <f>IFERROR($AB573/$AB572-1,"")</f>
        <v/>
      </c>
      <c r="DJ572" s="57">
        <f>IFERROR($AC573/$AC572-1,"")</f>
        <v/>
      </c>
      <c r="DK572" s="57">
        <f>IFERROR($AD573/$AD572-1,"")</f>
        <v/>
      </c>
      <c r="DL572" s="57">
        <f>IFERROR($AE573/$AE572-1,"")</f>
        <v/>
      </c>
      <c r="DM572" s="56">
        <f>$AZ572-$AZ573</f>
        <v/>
      </c>
      <c r="DN572" s="56">
        <f>$BA572-$BA573</f>
        <v/>
      </c>
      <c r="DO572" s="56">
        <f>$BB572-$BB573</f>
        <v/>
      </c>
      <c r="DP572" s="56">
        <f>$BC572-$BC573</f>
        <v/>
      </c>
      <c r="DQ572" s="56">
        <f>$BD572-$BD573</f>
        <v/>
      </c>
      <c r="DR572" s="56">
        <f>$BE572-$BE573</f>
        <v/>
      </c>
      <c r="DS572" s="56">
        <f>$BF572-$BF573</f>
        <v/>
      </c>
      <c r="DT572" s="56">
        <f>$BG572-$BG573</f>
        <v/>
      </c>
      <c r="DU572" s="56">
        <f>$BH572-$BH573</f>
        <v/>
      </c>
      <c r="DV572" s="56">
        <f>$BI572-$BI573</f>
        <v/>
      </c>
      <c r="DW572" s="56">
        <f>$BJ572-$BJ573</f>
        <v/>
      </c>
      <c r="DX572" s="56">
        <f>$BK572-$BK573</f>
        <v/>
      </c>
      <c r="DY572" s="56">
        <f>$BL572-$BL573</f>
        <v/>
      </c>
      <c r="DZ572" s="56">
        <f>$BM572-$BM573</f>
        <v/>
      </c>
      <c r="EA572" s="56">
        <f>$BN572-$BN573</f>
        <v/>
      </c>
      <c r="EB572" s="56">
        <f>$BO572-$BO573</f>
        <v/>
      </c>
      <c r="EC572" s="56">
        <f>$BP572-$BP573</f>
        <v/>
      </c>
      <c r="ED572" s="56">
        <f>$BQ572-$BQ573</f>
        <v/>
      </c>
      <c r="EE572" s="56">
        <f>$BR572-$BR573</f>
        <v/>
      </c>
      <c r="EF572" s="56">
        <f>$BS572-$BS573</f>
        <v/>
      </c>
      <c r="EG572" s="56">
        <f>$BT572-$BT573</f>
        <v/>
      </c>
      <c r="EH572" s="56">
        <f>$BU572-$BU573</f>
        <v/>
      </c>
    </row>
    <row r="573">
      <c r="BV573" s="56">
        <f>($D573-$D574)*100</f>
        <v/>
      </c>
      <c r="BW573" s="56">
        <f>($C573-$C574)*100</f>
        <v/>
      </c>
      <c r="BX573" s="57">
        <f>IFERROR($I573/$I574-1,"")</f>
        <v/>
      </c>
      <c r="BY573" s="56">
        <f>($AF573-$AF574)*100</f>
        <v/>
      </c>
      <c r="BZ573" s="56">
        <f>($AG573-$AG574)*100</f>
        <v/>
      </c>
      <c r="CA573" s="56">
        <f>($AH573-$AH574)*100</f>
        <v/>
      </c>
      <c r="CB573" s="56">
        <f>($AI573-$AI574)*100</f>
        <v/>
      </c>
      <c r="CC573" s="56">
        <f>($AJ573-$AJ574)*100</f>
        <v/>
      </c>
      <c r="CD573" s="56">
        <f>($AK573-$AK574)*100</f>
        <v/>
      </c>
      <c r="CE573" s="56">
        <f>($AL573-$AL574)*100</f>
        <v/>
      </c>
      <c r="CF573" s="56">
        <f>($AM573-$AM574)*100</f>
        <v/>
      </c>
      <c r="CG573" s="56">
        <f>($AN573-$AN574)*100</f>
        <v/>
      </c>
      <c r="CH573" s="56">
        <f>($AO573-$AO574)*100</f>
        <v/>
      </c>
      <c r="CI573" s="56">
        <f>($AP573-$AP574)*100</f>
        <v/>
      </c>
      <c r="CJ573" s="56">
        <f>($AQ573-$AQ574)*100</f>
        <v/>
      </c>
      <c r="CK573" s="56">
        <f>($AR573-$AR574)*100</f>
        <v/>
      </c>
      <c r="CL573" s="56">
        <f>($AS573-$AS574)*100</f>
        <v/>
      </c>
      <c r="CM573" s="56">
        <f>($AT573-$AT574)*100</f>
        <v/>
      </c>
      <c r="CN573" s="56">
        <f>($AU573-$AU574)*100</f>
        <v/>
      </c>
      <c r="CO573" s="56">
        <f>($AV573-$AV574)*100</f>
        <v/>
      </c>
      <c r="CP573" s="56">
        <f>($AW573-$AW574)*100</f>
        <v/>
      </c>
      <c r="CQ573" s="56">
        <f>($AX573-$AX574)*100</f>
        <v/>
      </c>
      <c r="CR573" s="56">
        <f>($AY573-$AY574)*100</f>
        <v/>
      </c>
      <c r="CS573" s="57">
        <f>IFERROR($L574/$L573-1,"")</f>
        <v/>
      </c>
      <c r="CT573" s="57">
        <f>IFERROR($M574/$M573-1,"")</f>
        <v/>
      </c>
      <c r="CU573" s="57">
        <f>IFERROR($N574/$N573-1,"")</f>
        <v/>
      </c>
      <c r="CV573" s="57">
        <f>IFERROR($O574/$O573-1,"")</f>
        <v/>
      </c>
      <c r="CW573" s="57">
        <f>IFERROR($P574/$P573-1,"")</f>
        <v/>
      </c>
      <c r="CX573" s="57">
        <f>IFERROR($Q574/$Q573-1,"")</f>
        <v/>
      </c>
      <c r="CY573" s="57">
        <f>IFERROR($R574/$R573-1,"")</f>
        <v/>
      </c>
      <c r="CZ573" s="57">
        <f>IFERROR($S574/$S573-1,"")</f>
        <v/>
      </c>
      <c r="DA573" s="57">
        <f>IFERROR($T574/$T573-1,"")</f>
        <v/>
      </c>
      <c r="DB573" s="57">
        <f>IFERROR($U574/$U573-1,"")</f>
        <v/>
      </c>
      <c r="DC573" s="57">
        <f>IFERROR($V574/$V573-1,"")</f>
        <v/>
      </c>
      <c r="DD573" s="57">
        <f>IFERROR($W574/$W573-1,"")</f>
        <v/>
      </c>
      <c r="DE573" s="57">
        <f>IFERROR($X574/$X573-1,"")</f>
        <v/>
      </c>
      <c r="DF573" s="57">
        <f>IFERROR($Y574/$Y573-1,"")</f>
        <v/>
      </c>
      <c r="DG573" s="57">
        <f>IFERROR($Z574/$Z573-1,"")</f>
        <v/>
      </c>
      <c r="DH573" s="57">
        <f>IFERROR($AA574/$AA573-1,"")</f>
        <v/>
      </c>
      <c r="DI573" s="57">
        <f>IFERROR($AB574/$AB573-1,"")</f>
        <v/>
      </c>
      <c r="DJ573" s="57">
        <f>IFERROR($AC574/$AC573-1,"")</f>
        <v/>
      </c>
      <c r="DK573" s="57">
        <f>IFERROR($AD574/$AD573-1,"")</f>
        <v/>
      </c>
      <c r="DL573" s="57">
        <f>IFERROR($AE574/$AE573-1,"")</f>
        <v/>
      </c>
      <c r="DM573" s="56">
        <f>$AZ573-$AZ574</f>
        <v/>
      </c>
      <c r="DN573" s="56">
        <f>$BA573-$BA574</f>
        <v/>
      </c>
      <c r="DO573" s="56">
        <f>$BB573-$BB574</f>
        <v/>
      </c>
      <c r="DP573" s="56">
        <f>$BC573-$BC574</f>
        <v/>
      </c>
      <c r="DQ573" s="56">
        <f>$BD573-$BD574</f>
        <v/>
      </c>
      <c r="DR573" s="56">
        <f>$BE573-$BE574</f>
        <v/>
      </c>
      <c r="DS573" s="56">
        <f>$BF573-$BF574</f>
        <v/>
      </c>
      <c r="DT573" s="56">
        <f>$BG573-$BG574</f>
        <v/>
      </c>
      <c r="DU573" s="56">
        <f>$BH573-$BH574</f>
        <v/>
      </c>
      <c r="DV573" s="56">
        <f>$BI573-$BI574</f>
        <v/>
      </c>
      <c r="DW573" s="56">
        <f>$BJ573-$BJ574</f>
        <v/>
      </c>
      <c r="DX573" s="56">
        <f>$BK573-$BK574</f>
        <v/>
      </c>
      <c r="DY573" s="56">
        <f>$BL573-$BL574</f>
        <v/>
      </c>
      <c r="DZ573" s="56">
        <f>$BM573-$BM574</f>
        <v/>
      </c>
      <c r="EA573" s="56">
        <f>$BN573-$BN574</f>
        <v/>
      </c>
      <c r="EB573" s="56">
        <f>$BO573-$BO574</f>
        <v/>
      </c>
      <c r="EC573" s="56">
        <f>$BP573-$BP574</f>
        <v/>
      </c>
      <c r="ED573" s="56">
        <f>$BQ573-$BQ574</f>
        <v/>
      </c>
      <c r="EE573" s="56">
        <f>$BR573-$BR574</f>
        <v/>
      </c>
      <c r="EF573" s="56">
        <f>$BS573-$BS574</f>
        <v/>
      </c>
      <c r="EG573" s="56">
        <f>$BT573-$BT574</f>
        <v/>
      </c>
      <c r="EH573" s="56">
        <f>$BU573-$BU574</f>
        <v/>
      </c>
    </row>
    <row r="574">
      <c r="BV574" s="56">
        <f>($D574-$D575)*100</f>
        <v/>
      </c>
      <c r="BW574" s="56">
        <f>($C574-$C575)*100</f>
        <v/>
      </c>
      <c r="BX574" s="57">
        <f>IFERROR($I574/$I575-1,"")</f>
        <v/>
      </c>
      <c r="BY574" s="56">
        <f>($AF574-$AF575)*100</f>
        <v/>
      </c>
      <c r="BZ574" s="56">
        <f>($AG574-$AG575)*100</f>
        <v/>
      </c>
      <c r="CA574" s="56">
        <f>($AH574-$AH575)*100</f>
        <v/>
      </c>
      <c r="CB574" s="56">
        <f>($AI574-$AI575)*100</f>
        <v/>
      </c>
      <c r="CC574" s="56">
        <f>($AJ574-$AJ575)*100</f>
        <v/>
      </c>
      <c r="CD574" s="56">
        <f>($AK574-$AK575)*100</f>
        <v/>
      </c>
      <c r="CE574" s="56">
        <f>($AL574-$AL575)*100</f>
        <v/>
      </c>
      <c r="CF574" s="56">
        <f>($AM574-$AM575)*100</f>
        <v/>
      </c>
      <c r="CG574" s="56">
        <f>($AN574-$AN575)*100</f>
        <v/>
      </c>
      <c r="CH574" s="56">
        <f>($AO574-$AO575)*100</f>
        <v/>
      </c>
      <c r="CI574" s="56">
        <f>($AP574-$AP575)*100</f>
        <v/>
      </c>
      <c r="CJ574" s="56">
        <f>($AQ574-$AQ575)*100</f>
        <v/>
      </c>
      <c r="CK574" s="56">
        <f>($AR574-$AR575)*100</f>
        <v/>
      </c>
      <c r="CL574" s="56">
        <f>($AS574-$AS575)*100</f>
        <v/>
      </c>
      <c r="CM574" s="56">
        <f>($AT574-$AT575)*100</f>
        <v/>
      </c>
      <c r="CN574" s="56">
        <f>($AU574-$AU575)*100</f>
        <v/>
      </c>
      <c r="CO574" s="56">
        <f>($AV574-$AV575)*100</f>
        <v/>
      </c>
      <c r="CP574" s="56">
        <f>($AW574-$AW575)*100</f>
        <v/>
      </c>
      <c r="CQ574" s="56">
        <f>($AX574-$AX575)*100</f>
        <v/>
      </c>
      <c r="CR574" s="56">
        <f>($AY574-$AY575)*100</f>
        <v/>
      </c>
      <c r="CS574" s="57">
        <f>IFERROR($L575/$L574-1,"")</f>
        <v/>
      </c>
      <c r="CT574" s="57">
        <f>IFERROR($M575/$M574-1,"")</f>
        <v/>
      </c>
      <c r="CU574" s="57">
        <f>IFERROR($N575/$N574-1,"")</f>
        <v/>
      </c>
      <c r="CV574" s="57">
        <f>IFERROR($O575/$O574-1,"")</f>
        <v/>
      </c>
      <c r="CW574" s="57">
        <f>IFERROR($P575/$P574-1,"")</f>
        <v/>
      </c>
      <c r="CX574" s="57">
        <f>IFERROR($Q575/$Q574-1,"")</f>
        <v/>
      </c>
      <c r="CY574" s="57">
        <f>IFERROR($R575/$R574-1,"")</f>
        <v/>
      </c>
      <c r="CZ574" s="57">
        <f>IFERROR($S575/$S574-1,"")</f>
        <v/>
      </c>
      <c r="DA574" s="57">
        <f>IFERROR($T575/$T574-1,"")</f>
        <v/>
      </c>
      <c r="DB574" s="57">
        <f>IFERROR($U575/$U574-1,"")</f>
        <v/>
      </c>
      <c r="DC574" s="57">
        <f>IFERROR($V575/$V574-1,"")</f>
        <v/>
      </c>
      <c r="DD574" s="57">
        <f>IFERROR($W575/$W574-1,"")</f>
        <v/>
      </c>
      <c r="DE574" s="57">
        <f>IFERROR($X575/$X574-1,"")</f>
        <v/>
      </c>
      <c r="DF574" s="57">
        <f>IFERROR($Y575/$Y574-1,"")</f>
        <v/>
      </c>
      <c r="DG574" s="57">
        <f>IFERROR($Z575/$Z574-1,"")</f>
        <v/>
      </c>
      <c r="DH574" s="57">
        <f>IFERROR($AA575/$AA574-1,"")</f>
        <v/>
      </c>
      <c r="DI574" s="57">
        <f>IFERROR($AB575/$AB574-1,"")</f>
        <v/>
      </c>
      <c r="DJ574" s="57">
        <f>IFERROR($AC575/$AC574-1,"")</f>
        <v/>
      </c>
      <c r="DK574" s="57">
        <f>IFERROR($AD575/$AD574-1,"")</f>
        <v/>
      </c>
      <c r="DL574" s="57">
        <f>IFERROR($AE575/$AE574-1,"")</f>
        <v/>
      </c>
      <c r="DM574" s="56">
        <f>$AZ574-$AZ575</f>
        <v/>
      </c>
      <c r="DN574" s="56">
        <f>$BA574-$BA575</f>
        <v/>
      </c>
      <c r="DO574" s="56">
        <f>$BB574-$BB575</f>
        <v/>
      </c>
      <c r="DP574" s="56">
        <f>$BC574-$BC575</f>
        <v/>
      </c>
      <c r="DQ574" s="56">
        <f>$BD574-$BD575</f>
        <v/>
      </c>
      <c r="DR574" s="56">
        <f>$BE574-$BE575</f>
        <v/>
      </c>
      <c r="DS574" s="56">
        <f>$BF574-$BF575</f>
        <v/>
      </c>
      <c r="DT574" s="56">
        <f>$BG574-$BG575</f>
        <v/>
      </c>
      <c r="DU574" s="56">
        <f>$BH574-$BH575</f>
        <v/>
      </c>
      <c r="DV574" s="56">
        <f>$BI574-$BI575</f>
        <v/>
      </c>
      <c r="DW574" s="56">
        <f>$BJ574-$BJ575</f>
        <v/>
      </c>
      <c r="DX574" s="56">
        <f>$BK574-$BK575</f>
        <v/>
      </c>
      <c r="DY574" s="56">
        <f>$BL574-$BL575</f>
        <v/>
      </c>
      <c r="DZ574" s="56">
        <f>$BM574-$BM575</f>
        <v/>
      </c>
      <c r="EA574" s="56">
        <f>$BN574-$BN575</f>
        <v/>
      </c>
      <c r="EB574" s="56">
        <f>$BO574-$BO575</f>
        <v/>
      </c>
      <c r="EC574" s="56">
        <f>$BP574-$BP575</f>
        <v/>
      </c>
      <c r="ED574" s="56">
        <f>$BQ574-$BQ575</f>
        <v/>
      </c>
      <c r="EE574" s="56">
        <f>$BR574-$BR575</f>
        <v/>
      </c>
      <c r="EF574" s="56">
        <f>$BS574-$BS575</f>
        <v/>
      </c>
      <c r="EG574" s="56">
        <f>$BT574-$BT575</f>
        <v/>
      </c>
      <c r="EH574" s="56">
        <f>$BU574-$BU575</f>
        <v/>
      </c>
    </row>
    <row r="575">
      <c r="BV575" s="56">
        <f>($D575-$D576)*100</f>
        <v/>
      </c>
      <c r="BW575" s="56">
        <f>($C575-$C576)*100</f>
        <v/>
      </c>
      <c r="BX575" s="57">
        <f>IFERROR($I575/$I576-1,"")</f>
        <v/>
      </c>
      <c r="BY575" s="56">
        <f>($AF575-$AF576)*100</f>
        <v/>
      </c>
      <c r="BZ575" s="56">
        <f>($AG575-$AG576)*100</f>
        <v/>
      </c>
      <c r="CA575" s="56">
        <f>($AH575-$AH576)*100</f>
        <v/>
      </c>
      <c r="CB575" s="56">
        <f>($AI575-$AI576)*100</f>
        <v/>
      </c>
      <c r="CC575" s="56">
        <f>($AJ575-$AJ576)*100</f>
        <v/>
      </c>
      <c r="CD575" s="56">
        <f>($AK575-$AK576)*100</f>
        <v/>
      </c>
      <c r="CE575" s="56">
        <f>($AL575-$AL576)*100</f>
        <v/>
      </c>
      <c r="CF575" s="56">
        <f>($AM575-$AM576)*100</f>
        <v/>
      </c>
      <c r="CG575" s="56">
        <f>($AN575-$AN576)*100</f>
        <v/>
      </c>
      <c r="CH575" s="56">
        <f>($AO575-$AO576)*100</f>
        <v/>
      </c>
      <c r="CI575" s="56">
        <f>($AP575-$AP576)*100</f>
        <v/>
      </c>
      <c r="CJ575" s="56">
        <f>($AQ575-$AQ576)*100</f>
        <v/>
      </c>
      <c r="CK575" s="56">
        <f>($AR575-$AR576)*100</f>
        <v/>
      </c>
      <c r="CL575" s="56">
        <f>($AS575-$AS576)*100</f>
        <v/>
      </c>
      <c r="CM575" s="56">
        <f>($AT575-$AT576)*100</f>
        <v/>
      </c>
      <c r="CN575" s="56">
        <f>($AU575-$AU576)*100</f>
        <v/>
      </c>
      <c r="CO575" s="56">
        <f>($AV575-$AV576)*100</f>
        <v/>
      </c>
      <c r="CP575" s="56">
        <f>($AW575-$AW576)*100</f>
        <v/>
      </c>
      <c r="CQ575" s="56">
        <f>($AX575-$AX576)*100</f>
        <v/>
      </c>
      <c r="CR575" s="56">
        <f>($AY575-$AY576)*100</f>
        <v/>
      </c>
      <c r="CS575" s="57">
        <f>IFERROR($L576/$L575-1,"")</f>
        <v/>
      </c>
      <c r="CT575" s="57">
        <f>IFERROR($M576/$M575-1,"")</f>
        <v/>
      </c>
      <c r="CU575" s="57">
        <f>IFERROR($N576/$N575-1,"")</f>
        <v/>
      </c>
      <c r="CV575" s="57">
        <f>IFERROR($O576/$O575-1,"")</f>
        <v/>
      </c>
      <c r="CW575" s="57">
        <f>IFERROR($P576/$P575-1,"")</f>
        <v/>
      </c>
      <c r="CX575" s="57">
        <f>IFERROR($Q576/$Q575-1,"")</f>
        <v/>
      </c>
      <c r="CY575" s="57">
        <f>IFERROR($R576/$R575-1,"")</f>
        <v/>
      </c>
      <c r="CZ575" s="57">
        <f>IFERROR($S576/$S575-1,"")</f>
        <v/>
      </c>
      <c r="DA575" s="57">
        <f>IFERROR($T576/$T575-1,"")</f>
        <v/>
      </c>
      <c r="DB575" s="57">
        <f>IFERROR($U576/$U575-1,"")</f>
        <v/>
      </c>
      <c r="DC575" s="57">
        <f>IFERROR($V576/$V575-1,"")</f>
        <v/>
      </c>
      <c r="DD575" s="57">
        <f>IFERROR($W576/$W575-1,"")</f>
        <v/>
      </c>
      <c r="DE575" s="57">
        <f>IFERROR($X576/$X575-1,"")</f>
        <v/>
      </c>
      <c r="DF575" s="57">
        <f>IFERROR($Y576/$Y575-1,"")</f>
        <v/>
      </c>
      <c r="DG575" s="57">
        <f>IFERROR($Z576/$Z575-1,"")</f>
        <v/>
      </c>
      <c r="DH575" s="57">
        <f>IFERROR($AA576/$AA575-1,"")</f>
        <v/>
      </c>
      <c r="DI575" s="57">
        <f>IFERROR($AB576/$AB575-1,"")</f>
        <v/>
      </c>
      <c r="DJ575" s="57">
        <f>IFERROR($AC576/$AC575-1,"")</f>
        <v/>
      </c>
      <c r="DK575" s="57">
        <f>IFERROR($AD576/$AD575-1,"")</f>
        <v/>
      </c>
      <c r="DL575" s="57">
        <f>IFERROR($AE576/$AE575-1,"")</f>
        <v/>
      </c>
      <c r="DM575" s="56">
        <f>$AZ575-$AZ576</f>
        <v/>
      </c>
      <c r="DN575" s="56">
        <f>$BA575-$BA576</f>
        <v/>
      </c>
      <c r="DO575" s="56">
        <f>$BB575-$BB576</f>
        <v/>
      </c>
      <c r="DP575" s="56">
        <f>$BC575-$BC576</f>
        <v/>
      </c>
      <c r="DQ575" s="56">
        <f>$BD575-$BD576</f>
        <v/>
      </c>
      <c r="DR575" s="56">
        <f>$BE575-$BE576</f>
        <v/>
      </c>
      <c r="DS575" s="56">
        <f>$BF575-$BF576</f>
        <v/>
      </c>
      <c r="DT575" s="56">
        <f>$BG575-$BG576</f>
        <v/>
      </c>
      <c r="DU575" s="56">
        <f>$BH575-$BH576</f>
        <v/>
      </c>
      <c r="DV575" s="56">
        <f>$BI575-$BI576</f>
        <v/>
      </c>
      <c r="DW575" s="56">
        <f>$BJ575-$BJ576</f>
        <v/>
      </c>
      <c r="DX575" s="56">
        <f>$BK575-$BK576</f>
        <v/>
      </c>
      <c r="DY575" s="56">
        <f>$BL575-$BL576</f>
        <v/>
      </c>
      <c r="DZ575" s="56">
        <f>$BM575-$BM576</f>
        <v/>
      </c>
      <c r="EA575" s="56">
        <f>$BN575-$BN576</f>
        <v/>
      </c>
      <c r="EB575" s="56">
        <f>$BO575-$BO576</f>
        <v/>
      </c>
      <c r="EC575" s="56">
        <f>$BP575-$BP576</f>
        <v/>
      </c>
      <c r="ED575" s="56">
        <f>$BQ575-$BQ576</f>
        <v/>
      </c>
      <c r="EE575" s="56">
        <f>$BR575-$BR576</f>
        <v/>
      </c>
      <c r="EF575" s="56">
        <f>$BS575-$BS576</f>
        <v/>
      </c>
      <c r="EG575" s="56">
        <f>$BT575-$BT576</f>
        <v/>
      </c>
      <c r="EH575" s="56">
        <f>$BU575-$BU576</f>
        <v/>
      </c>
    </row>
    <row r="576">
      <c r="BV576" s="56">
        <f>($D576-$D577)*100</f>
        <v/>
      </c>
      <c r="BW576" s="56">
        <f>($C576-$C577)*100</f>
        <v/>
      </c>
      <c r="BX576" s="57">
        <f>IFERROR($I576/$I577-1,"")</f>
        <v/>
      </c>
      <c r="BY576" s="56">
        <f>($AF576-$AF577)*100</f>
        <v/>
      </c>
      <c r="BZ576" s="56">
        <f>($AG576-$AG577)*100</f>
        <v/>
      </c>
      <c r="CA576" s="56">
        <f>($AH576-$AH577)*100</f>
        <v/>
      </c>
      <c r="CB576" s="56">
        <f>($AI576-$AI577)*100</f>
        <v/>
      </c>
      <c r="CC576" s="56">
        <f>($AJ576-$AJ577)*100</f>
        <v/>
      </c>
      <c r="CD576" s="56">
        <f>($AK576-$AK577)*100</f>
        <v/>
      </c>
      <c r="CE576" s="56">
        <f>($AL576-$AL577)*100</f>
        <v/>
      </c>
      <c r="CF576" s="56">
        <f>($AM576-$AM577)*100</f>
        <v/>
      </c>
      <c r="CG576" s="56">
        <f>($AN576-$AN577)*100</f>
        <v/>
      </c>
      <c r="CH576" s="56">
        <f>($AO576-$AO577)*100</f>
        <v/>
      </c>
      <c r="CI576" s="56">
        <f>($AP576-$AP577)*100</f>
        <v/>
      </c>
      <c r="CJ576" s="56">
        <f>($AQ576-$AQ577)*100</f>
        <v/>
      </c>
      <c r="CK576" s="56">
        <f>($AR576-$AR577)*100</f>
        <v/>
      </c>
      <c r="CL576" s="56">
        <f>($AS576-$AS577)*100</f>
        <v/>
      </c>
      <c r="CM576" s="56">
        <f>($AT576-$AT577)*100</f>
        <v/>
      </c>
      <c r="CN576" s="56">
        <f>($AU576-$AU577)*100</f>
        <v/>
      </c>
      <c r="CO576" s="56">
        <f>($AV576-$AV577)*100</f>
        <v/>
      </c>
      <c r="CP576" s="56">
        <f>($AW576-$AW577)*100</f>
        <v/>
      </c>
      <c r="CQ576" s="56">
        <f>($AX576-$AX577)*100</f>
        <v/>
      </c>
      <c r="CR576" s="56">
        <f>($AY576-$AY577)*100</f>
        <v/>
      </c>
      <c r="CS576" s="57">
        <f>IFERROR($L577/$L576-1,"")</f>
        <v/>
      </c>
      <c r="CT576" s="57">
        <f>IFERROR($M577/$M576-1,"")</f>
        <v/>
      </c>
      <c r="CU576" s="57">
        <f>IFERROR($N577/$N576-1,"")</f>
        <v/>
      </c>
      <c r="CV576" s="57">
        <f>IFERROR($O577/$O576-1,"")</f>
        <v/>
      </c>
      <c r="CW576" s="57">
        <f>IFERROR($P577/$P576-1,"")</f>
        <v/>
      </c>
      <c r="CX576" s="57">
        <f>IFERROR($Q577/$Q576-1,"")</f>
        <v/>
      </c>
      <c r="CY576" s="57">
        <f>IFERROR($R577/$R576-1,"")</f>
        <v/>
      </c>
      <c r="CZ576" s="57">
        <f>IFERROR($S577/$S576-1,"")</f>
        <v/>
      </c>
      <c r="DA576" s="57">
        <f>IFERROR($T577/$T576-1,"")</f>
        <v/>
      </c>
      <c r="DB576" s="57">
        <f>IFERROR($U577/$U576-1,"")</f>
        <v/>
      </c>
      <c r="DC576" s="57">
        <f>IFERROR($V577/$V576-1,"")</f>
        <v/>
      </c>
      <c r="DD576" s="57">
        <f>IFERROR($W577/$W576-1,"")</f>
        <v/>
      </c>
      <c r="DE576" s="57">
        <f>IFERROR($X577/$X576-1,"")</f>
        <v/>
      </c>
      <c r="DF576" s="57">
        <f>IFERROR($Y577/$Y576-1,"")</f>
        <v/>
      </c>
      <c r="DG576" s="57">
        <f>IFERROR($Z577/$Z576-1,"")</f>
        <v/>
      </c>
      <c r="DH576" s="57">
        <f>IFERROR($AA577/$AA576-1,"")</f>
        <v/>
      </c>
      <c r="DI576" s="57">
        <f>IFERROR($AB577/$AB576-1,"")</f>
        <v/>
      </c>
      <c r="DJ576" s="57">
        <f>IFERROR($AC577/$AC576-1,"")</f>
        <v/>
      </c>
      <c r="DK576" s="57">
        <f>IFERROR($AD577/$AD576-1,"")</f>
        <v/>
      </c>
      <c r="DL576" s="57">
        <f>IFERROR($AE577/$AE576-1,"")</f>
        <v/>
      </c>
      <c r="DM576" s="56">
        <f>$AZ576-$AZ577</f>
        <v/>
      </c>
      <c r="DN576" s="56">
        <f>$BA576-$BA577</f>
        <v/>
      </c>
      <c r="DO576" s="56">
        <f>$BB576-$BB577</f>
        <v/>
      </c>
      <c r="DP576" s="56">
        <f>$BC576-$BC577</f>
        <v/>
      </c>
      <c r="DQ576" s="56">
        <f>$BD576-$BD577</f>
        <v/>
      </c>
      <c r="DR576" s="56">
        <f>$BE576-$BE577</f>
        <v/>
      </c>
      <c r="DS576" s="56">
        <f>$BF576-$BF577</f>
        <v/>
      </c>
      <c r="DT576" s="56">
        <f>$BG576-$BG577</f>
        <v/>
      </c>
      <c r="DU576" s="56">
        <f>$BH576-$BH577</f>
        <v/>
      </c>
      <c r="DV576" s="56">
        <f>$BI576-$BI577</f>
        <v/>
      </c>
      <c r="DW576" s="56">
        <f>$BJ576-$BJ577</f>
        <v/>
      </c>
      <c r="DX576" s="56">
        <f>$BK576-$BK577</f>
        <v/>
      </c>
      <c r="DY576" s="56">
        <f>$BL576-$BL577</f>
        <v/>
      </c>
      <c r="DZ576" s="56">
        <f>$BM576-$BM577</f>
        <v/>
      </c>
      <c r="EA576" s="56">
        <f>$BN576-$BN577</f>
        <v/>
      </c>
      <c r="EB576" s="56">
        <f>$BO576-$BO577</f>
        <v/>
      </c>
      <c r="EC576" s="56">
        <f>$BP576-$BP577</f>
        <v/>
      </c>
      <c r="ED576" s="56">
        <f>$BQ576-$BQ577</f>
        <v/>
      </c>
      <c r="EE576" s="56">
        <f>$BR576-$BR577</f>
        <v/>
      </c>
      <c r="EF576" s="56">
        <f>$BS576-$BS577</f>
        <v/>
      </c>
      <c r="EG576" s="56">
        <f>$BT576-$BT577</f>
        <v/>
      </c>
      <c r="EH576" s="56">
        <f>$BU576-$BU577</f>
        <v/>
      </c>
    </row>
    <row r="577">
      <c r="BV577" s="56">
        <f>($D577-$D578)*100</f>
        <v/>
      </c>
      <c r="BW577" s="56">
        <f>($C577-$C578)*100</f>
        <v/>
      </c>
      <c r="BX577" s="57">
        <f>IFERROR($I577/$I578-1,"")</f>
        <v/>
      </c>
      <c r="BY577" s="56">
        <f>($AF577-$AF578)*100</f>
        <v/>
      </c>
      <c r="BZ577" s="56">
        <f>($AG577-$AG578)*100</f>
        <v/>
      </c>
      <c r="CA577" s="56">
        <f>($AH577-$AH578)*100</f>
        <v/>
      </c>
      <c r="CB577" s="56">
        <f>($AI577-$AI578)*100</f>
        <v/>
      </c>
      <c r="CC577" s="56">
        <f>($AJ577-$AJ578)*100</f>
        <v/>
      </c>
      <c r="CD577" s="56">
        <f>($AK577-$AK578)*100</f>
        <v/>
      </c>
      <c r="CE577" s="56">
        <f>($AL577-$AL578)*100</f>
        <v/>
      </c>
      <c r="CF577" s="56">
        <f>($AM577-$AM578)*100</f>
        <v/>
      </c>
      <c r="CG577" s="56">
        <f>($AN577-$AN578)*100</f>
        <v/>
      </c>
      <c r="CH577" s="56">
        <f>($AO577-$AO578)*100</f>
        <v/>
      </c>
      <c r="CI577" s="56">
        <f>($AP577-$AP578)*100</f>
        <v/>
      </c>
      <c r="CJ577" s="56">
        <f>($AQ577-$AQ578)*100</f>
        <v/>
      </c>
      <c r="CK577" s="56">
        <f>($AR577-$AR578)*100</f>
        <v/>
      </c>
      <c r="CL577" s="56">
        <f>($AS577-$AS578)*100</f>
        <v/>
      </c>
      <c r="CM577" s="56">
        <f>($AT577-$AT578)*100</f>
        <v/>
      </c>
      <c r="CN577" s="56">
        <f>($AU577-$AU578)*100</f>
        <v/>
      </c>
      <c r="CO577" s="56">
        <f>($AV577-$AV578)*100</f>
        <v/>
      </c>
      <c r="CP577" s="56">
        <f>($AW577-$AW578)*100</f>
        <v/>
      </c>
      <c r="CQ577" s="56">
        <f>($AX577-$AX578)*100</f>
        <v/>
      </c>
      <c r="CR577" s="56">
        <f>($AY577-$AY578)*100</f>
        <v/>
      </c>
      <c r="CS577" s="57">
        <f>IFERROR($L578/$L577-1,"")</f>
        <v/>
      </c>
      <c r="CT577" s="57">
        <f>IFERROR($M578/$M577-1,"")</f>
        <v/>
      </c>
      <c r="CU577" s="57">
        <f>IFERROR($N578/$N577-1,"")</f>
        <v/>
      </c>
      <c r="CV577" s="57">
        <f>IFERROR($O578/$O577-1,"")</f>
        <v/>
      </c>
      <c r="CW577" s="57">
        <f>IFERROR($P578/$P577-1,"")</f>
        <v/>
      </c>
      <c r="CX577" s="57">
        <f>IFERROR($Q578/$Q577-1,"")</f>
        <v/>
      </c>
      <c r="CY577" s="57">
        <f>IFERROR($R578/$R577-1,"")</f>
        <v/>
      </c>
      <c r="CZ577" s="57">
        <f>IFERROR($S578/$S577-1,"")</f>
        <v/>
      </c>
      <c r="DA577" s="57">
        <f>IFERROR($T578/$T577-1,"")</f>
        <v/>
      </c>
      <c r="DB577" s="57">
        <f>IFERROR($U578/$U577-1,"")</f>
        <v/>
      </c>
      <c r="DC577" s="57">
        <f>IFERROR($V578/$V577-1,"")</f>
        <v/>
      </c>
      <c r="DD577" s="57">
        <f>IFERROR($W578/$W577-1,"")</f>
        <v/>
      </c>
      <c r="DE577" s="57">
        <f>IFERROR($X578/$X577-1,"")</f>
        <v/>
      </c>
      <c r="DF577" s="57">
        <f>IFERROR($Y578/$Y577-1,"")</f>
        <v/>
      </c>
      <c r="DG577" s="57">
        <f>IFERROR($Z578/$Z577-1,"")</f>
        <v/>
      </c>
      <c r="DH577" s="57">
        <f>IFERROR($AA578/$AA577-1,"")</f>
        <v/>
      </c>
      <c r="DI577" s="57">
        <f>IFERROR($AB578/$AB577-1,"")</f>
        <v/>
      </c>
      <c r="DJ577" s="57">
        <f>IFERROR($AC578/$AC577-1,"")</f>
        <v/>
      </c>
      <c r="DK577" s="57">
        <f>IFERROR($AD578/$AD577-1,"")</f>
        <v/>
      </c>
      <c r="DL577" s="57">
        <f>IFERROR($AE578/$AE577-1,"")</f>
        <v/>
      </c>
      <c r="DM577" s="56">
        <f>$AZ577-$AZ578</f>
        <v/>
      </c>
      <c r="DN577" s="56">
        <f>$BA577-$BA578</f>
        <v/>
      </c>
      <c r="DO577" s="56">
        <f>$BB577-$BB578</f>
        <v/>
      </c>
      <c r="DP577" s="56">
        <f>$BC577-$BC578</f>
        <v/>
      </c>
      <c r="DQ577" s="56">
        <f>$BD577-$BD578</f>
        <v/>
      </c>
      <c r="DR577" s="56">
        <f>$BE577-$BE578</f>
        <v/>
      </c>
      <c r="DS577" s="56">
        <f>$BF577-$BF578</f>
        <v/>
      </c>
      <c r="DT577" s="56">
        <f>$BG577-$BG578</f>
        <v/>
      </c>
      <c r="DU577" s="56">
        <f>$BH577-$BH578</f>
        <v/>
      </c>
      <c r="DV577" s="56">
        <f>$BI577-$BI578</f>
        <v/>
      </c>
      <c r="DW577" s="56">
        <f>$BJ577-$BJ578</f>
        <v/>
      </c>
      <c r="DX577" s="56">
        <f>$BK577-$BK578</f>
        <v/>
      </c>
      <c r="DY577" s="56">
        <f>$BL577-$BL578</f>
        <v/>
      </c>
      <c r="DZ577" s="56">
        <f>$BM577-$BM578</f>
        <v/>
      </c>
      <c r="EA577" s="56">
        <f>$BN577-$BN578</f>
        <v/>
      </c>
      <c r="EB577" s="56">
        <f>$BO577-$BO578</f>
        <v/>
      </c>
      <c r="EC577" s="56">
        <f>$BP577-$BP578</f>
        <v/>
      </c>
      <c r="ED577" s="56">
        <f>$BQ577-$BQ578</f>
        <v/>
      </c>
      <c r="EE577" s="56">
        <f>$BR577-$BR578</f>
        <v/>
      </c>
      <c r="EF577" s="56">
        <f>$BS577-$BS578</f>
        <v/>
      </c>
      <c r="EG577" s="56">
        <f>$BT577-$BT578</f>
        <v/>
      </c>
      <c r="EH577" s="56">
        <f>$BU577-$BU578</f>
        <v/>
      </c>
    </row>
    <row r="578">
      <c r="BV578" s="56">
        <f>($D578-$D579)*100</f>
        <v/>
      </c>
      <c r="BW578" s="56">
        <f>($C578-$C579)*100</f>
        <v/>
      </c>
      <c r="BX578" s="57">
        <f>IFERROR($I578/$I579-1,"")</f>
        <v/>
      </c>
      <c r="BY578" s="56">
        <f>($AF578-$AF579)*100</f>
        <v/>
      </c>
      <c r="BZ578" s="56">
        <f>($AG578-$AG579)*100</f>
        <v/>
      </c>
      <c r="CA578" s="56">
        <f>($AH578-$AH579)*100</f>
        <v/>
      </c>
      <c r="CB578" s="56">
        <f>($AI578-$AI579)*100</f>
        <v/>
      </c>
      <c r="CC578" s="56">
        <f>($AJ578-$AJ579)*100</f>
        <v/>
      </c>
      <c r="CD578" s="56">
        <f>($AK578-$AK579)*100</f>
        <v/>
      </c>
      <c r="CE578" s="56">
        <f>($AL578-$AL579)*100</f>
        <v/>
      </c>
      <c r="CF578" s="56">
        <f>($AM578-$AM579)*100</f>
        <v/>
      </c>
      <c r="CG578" s="56">
        <f>($AN578-$AN579)*100</f>
        <v/>
      </c>
      <c r="CH578" s="56">
        <f>($AO578-$AO579)*100</f>
        <v/>
      </c>
      <c r="CI578" s="56">
        <f>($AP578-$AP579)*100</f>
        <v/>
      </c>
      <c r="CJ578" s="56">
        <f>($AQ578-$AQ579)*100</f>
        <v/>
      </c>
      <c r="CK578" s="56">
        <f>($AR578-$AR579)*100</f>
        <v/>
      </c>
      <c r="CL578" s="56">
        <f>($AS578-$AS579)*100</f>
        <v/>
      </c>
      <c r="CM578" s="56">
        <f>($AT578-$AT579)*100</f>
        <v/>
      </c>
      <c r="CN578" s="56">
        <f>($AU578-$AU579)*100</f>
        <v/>
      </c>
      <c r="CO578" s="56">
        <f>($AV578-$AV579)*100</f>
        <v/>
      </c>
      <c r="CP578" s="56">
        <f>($AW578-$AW579)*100</f>
        <v/>
      </c>
      <c r="CQ578" s="56">
        <f>($AX578-$AX579)*100</f>
        <v/>
      </c>
      <c r="CR578" s="56">
        <f>($AY578-$AY579)*100</f>
        <v/>
      </c>
      <c r="CS578" s="57">
        <f>IFERROR($L579/$L578-1,"")</f>
        <v/>
      </c>
      <c r="CT578" s="57">
        <f>IFERROR($M579/$M578-1,"")</f>
        <v/>
      </c>
      <c r="CU578" s="57">
        <f>IFERROR($N579/$N578-1,"")</f>
        <v/>
      </c>
      <c r="CV578" s="57">
        <f>IFERROR($O579/$O578-1,"")</f>
        <v/>
      </c>
      <c r="CW578" s="57">
        <f>IFERROR($P579/$P578-1,"")</f>
        <v/>
      </c>
      <c r="CX578" s="57">
        <f>IFERROR($Q579/$Q578-1,"")</f>
        <v/>
      </c>
      <c r="CY578" s="57">
        <f>IFERROR($R579/$R578-1,"")</f>
        <v/>
      </c>
      <c r="CZ578" s="57">
        <f>IFERROR($S579/$S578-1,"")</f>
        <v/>
      </c>
      <c r="DA578" s="57">
        <f>IFERROR($T579/$T578-1,"")</f>
        <v/>
      </c>
      <c r="DB578" s="57">
        <f>IFERROR($U579/$U578-1,"")</f>
        <v/>
      </c>
      <c r="DC578" s="57">
        <f>IFERROR($V579/$V578-1,"")</f>
        <v/>
      </c>
      <c r="DD578" s="57">
        <f>IFERROR($W579/$W578-1,"")</f>
        <v/>
      </c>
      <c r="DE578" s="57">
        <f>IFERROR($X579/$X578-1,"")</f>
        <v/>
      </c>
      <c r="DF578" s="57">
        <f>IFERROR($Y579/$Y578-1,"")</f>
        <v/>
      </c>
      <c r="DG578" s="57">
        <f>IFERROR($Z579/$Z578-1,"")</f>
        <v/>
      </c>
      <c r="DH578" s="57">
        <f>IFERROR($AA579/$AA578-1,"")</f>
        <v/>
      </c>
      <c r="DI578" s="57">
        <f>IFERROR($AB579/$AB578-1,"")</f>
        <v/>
      </c>
      <c r="DJ578" s="57">
        <f>IFERROR($AC579/$AC578-1,"")</f>
        <v/>
      </c>
      <c r="DK578" s="57">
        <f>IFERROR($AD579/$AD578-1,"")</f>
        <v/>
      </c>
      <c r="DL578" s="57">
        <f>IFERROR($AE579/$AE578-1,"")</f>
        <v/>
      </c>
      <c r="DM578" s="56">
        <f>$AZ578-$AZ579</f>
        <v/>
      </c>
      <c r="DN578" s="56">
        <f>$BA578-$BA579</f>
        <v/>
      </c>
      <c r="DO578" s="56">
        <f>$BB578-$BB579</f>
        <v/>
      </c>
      <c r="DP578" s="56">
        <f>$BC578-$BC579</f>
        <v/>
      </c>
      <c r="DQ578" s="56">
        <f>$BD578-$BD579</f>
        <v/>
      </c>
      <c r="DR578" s="56">
        <f>$BE578-$BE579</f>
        <v/>
      </c>
      <c r="DS578" s="56">
        <f>$BF578-$BF579</f>
        <v/>
      </c>
      <c r="DT578" s="56">
        <f>$BG578-$BG579</f>
        <v/>
      </c>
      <c r="DU578" s="56">
        <f>$BH578-$BH579</f>
        <v/>
      </c>
      <c r="DV578" s="56">
        <f>$BI578-$BI579</f>
        <v/>
      </c>
      <c r="DW578" s="56">
        <f>$BJ578-$BJ579</f>
        <v/>
      </c>
      <c r="DX578" s="56">
        <f>$BK578-$BK579</f>
        <v/>
      </c>
      <c r="DY578" s="56">
        <f>$BL578-$BL579</f>
        <v/>
      </c>
      <c r="DZ578" s="56">
        <f>$BM578-$BM579</f>
        <v/>
      </c>
      <c r="EA578" s="56">
        <f>$BN578-$BN579</f>
        <v/>
      </c>
      <c r="EB578" s="56">
        <f>$BO578-$BO579</f>
        <v/>
      </c>
      <c r="EC578" s="56">
        <f>$BP578-$BP579</f>
        <v/>
      </c>
      <c r="ED578" s="56">
        <f>$BQ578-$BQ579</f>
        <v/>
      </c>
      <c r="EE578" s="56">
        <f>$BR578-$BR579</f>
        <v/>
      </c>
      <c r="EF578" s="56">
        <f>$BS578-$BS579</f>
        <v/>
      </c>
      <c r="EG578" s="56">
        <f>$BT578-$BT579</f>
        <v/>
      </c>
      <c r="EH578" s="56">
        <f>$BU578-$BU579</f>
        <v/>
      </c>
    </row>
    <row r="579">
      <c r="BV579" s="56">
        <f>($D579-$D580)*100</f>
        <v/>
      </c>
      <c r="BW579" s="56">
        <f>($C579-$C580)*100</f>
        <v/>
      </c>
      <c r="BX579" s="57">
        <f>IFERROR($I579/$I580-1,"")</f>
        <v/>
      </c>
      <c r="BY579" s="56">
        <f>($AF579-$AF580)*100</f>
        <v/>
      </c>
      <c r="BZ579" s="56">
        <f>($AG579-$AG580)*100</f>
        <v/>
      </c>
      <c r="CA579" s="56">
        <f>($AH579-$AH580)*100</f>
        <v/>
      </c>
      <c r="CB579" s="56">
        <f>($AI579-$AI580)*100</f>
        <v/>
      </c>
      <c r="CC579" s="56">
        <f>($AJ579-$AJ580)*100</f>
        <v/>
      </c>
      <c r="CD579" s="56">
        <f>($AK579-$AK580)*100</f>
        <v/>
      </c>
      <c r="CE579" s="56">
        <f>($AL579-$AL580)*100</f>
        <v/>
      </c>
      <c r="CF579" s="56">
        <f>($AM579-$AM580)*100</f>
        <v/>
      </c>
      <c r="CG579" s="56">
        <f>($AN579-$AN580)*100</f>
        <v/>
      </c>
      <c r="CH579" s="56">
        <f>($AO579-$AO580)*100</f>
        <v/>
      </c>
      <c r="CI579" s="56">
        <f>($AP579-$AP580)*100</f>
        <v/>
      </c>
      <c r="CJ579" s="56">
        <f>($AQ579-$AQ580)*100</f>
        <v/>
      </c>
      <c r="CK579" s="56">
        <f>($AR579-$AR580)*100</f>
        <v/>
      </c>
      <c r="CL579" s="56">
        <f>($AS579-$AS580)*100</f>
        <v/>
      </c>
      <c r="CM579" s="56">
        <f>($AT579-$AT580)*100</f>
        <v/>
      </c>
      <c r="CN579" s="56">
        <f>($AU579-$AU580)*100</f>
        <v/>
      </c>
      <c r="CO579" s="56">
        <f>($AV579-$AV580)*100</f>
        <v/>
      </c>
      <c r="CP579" s="56">
        <f>($AW579-$AW580)*100</f>
        <v/>
      </c>
      <c r="CQ579" s="56">
        <f>($AX579-$AX580)*100</f>
        <v/>
      </c>
      <c r="CR579" s="56">
        <f>($AY579-$AY580)*100</f>
        <v/>
      </c>
      <c r="CS579" s="57">
        <f>IFERROR($L580/$L579-1,"")</f>
        <v/>
      </c>
      <c r="CT579" s="57">
        <f>IFERROR($M580/$M579-1,"")</f>
        <v/>
      </c>
      <c r="CU579" s="57">
        <f>IFERROR($N580/$N579-1,"")</f>
        <v/>
      </c>
      <c r="CV579" s="57">
        <f>IFERROR($O580/$O579-1,"")</f>
        <v/>
      </c>
      <c r="CW579" s="57">
        <f>IFERROR($P580/$P579-1,"")</f>
        <v/>
      </c>
      <c r="CX579" s="57">
        <f>IFERROR($Q580/$Q579-1,"")</f>
        <v/>
      </c>
      <c r="CY579" s="57">
        <f>IFERROR($R580/$R579-1,"")</f>
        <v/>
      </c>
      <c r="CZ579" s="57">
        <f>IFERROR($S580/$S579-1,"")</f>
        <v/>
      </c>
      <c r="DA579" s="57">
        <f>IFERROR($T580/$T579-1,"")</f>
        <v/>
      </c>
      <c r="DB579" s="57">
        <f>IFERROR($U580/$U579-1,"")</f>
        <v/>
      </c>
      <c r="DC579" s="57">
        <f>IFERROR($V580/$V579-1,"")</f>
        <v/>
      </c>
      <c r="DD579" s="57">
        <f>IFERROR($W580/$W579-1,"")</f>
        <v/>
      </c>
      <c r="DE579" s="57">
        <f>IFERROR($X580/$X579-1,"")</f>
        <v/>
      </c>
      <c r="DF579" s="57">
        <f>IFERROR($Y580/$Y579-1,"")</f>
        <v/>
      </c>
      <c r="DG579" s="57">
        <f>IFERROR($Z580/$Z579-1,"")</f>
        <v/>
      </c>
      <c r="DH579" s="57">
        <f>IFERROR($AA580/$AA579-1,"")</f>
        <v/>
      </c>
      <c r="DI579" s="57">
        <f>IFERROR($AB580/$AB579-1,"")</f>
        <v/>
      </c>
      <c r="DJ579" s="57">
        <f>IFERROR($AC580/$AC579-1,"")</f>
        <v/>
      </c>
      <c r="DK579" s="57">
        <f>IFERROR($AD580/$AD579-1,"")</f>
        <v/>
      </c>
      <c r="DL579" s="57">
        <f>IFERROR($AE580/$AE579-1,"")</f>
        <v/>
      </c>
      <c r="DM579" s="56">
        <f>$AZ579-$AZ580</f>
        <v/>
      </c>
      <c r="DN579" s="56">
        <f>$BA579-$BA580</f>
        <v/>
      </c>
      <c r="DO579" s="56">
        <f>$BB579-$BB580</f>
        <v/>
      </c>
      <c r="DP579" s="56">
        <f>$BC579-$BC580</f>
        <v/>
      </c>
      <c r="DQ579" s="56">
        <f>$BD579-$BD580</f>
        <v/>
      </c>
      <c r="DR579" s="56">
        <f>$BE579-$BE580</f>
        <v/>
      </c>
      <c r="DS579" s="56">
        <f>$BF579-$BF580</f>
        <v/>
      </c>
      <c r="DT579" s="56">
        <f>$BG579-$BG580</f>
        <v/>
      </c>
      <c r="DU579" s="56">
        <f>$BH579-$BH580</f>
        <v/>
      </c>
      <c r="DV579" s="56">
        <f>$BI579-$BI580</f>
        <v/>
      </c>
      <c r="DW579" s="56">
        <f>$BJ579-$BJ580</f>
        <v/>
      </c>
      <c r="DX579" s="56">
        <f>$BK579-$BK580</f>
        <v/>
      </c>
      <c r="DY579" s="56">
        <f>$BL579-$BL580</f>
        <v/>
      </c>
      <c r="DZ579" s="56">
        <f>$BM579-$BM580</f>
        <v/>
      </c>
      <c r="EA579" s="56">
        <f>$BN579-$BN580</f>
        <v/>
      </c>
      <c r="EB579" s="56">
        <f>$BO579-$BO580</f>
        <v/>
      </c>
      <c r="EC579" s="56">
        <f>$BP579-$BP580</f>
        <v/>
      </c>
      <c r="ED579" s="56">
        <f>$BQ579-$BQ580</f>
        <v/>
      </c>
      <c r="EE579" s="56">
        <f>$BR579-$BR580</f>
        <v/>
      </c>
      <c r="EF579" s="56">
        <f>$BS579-$BS580</f>
        <v/>
      </c>
      <c r="EG579" s="56">
        <f>$BT579-$BT580</f>
        <v/>
      </c>
      <c r="EH579" s="56">
        <f>$BU579-$BU580</f>
        <v/>
      </c>
    </row>
    <row r="580">
      <c r="BV580" s="56">
        <f>($D580-$D581)*100</f>
        <v/>
      </c>
      <c r="BW580" s="56">
        <f>($C580-$C581)*100</f>
        <v/>
      </c>
      <c r="BX580" s="57">
        <f>IFERROR($I580/$I581-1,"")</f>
        <v/>
      </c>
      <c r="BY580" s="56">
        <f>($AF580-$AF581)*100</f>
        <v/>
      </c>
      <c r="BZ580" s="56">
        <f>($AG580-$AG581)*100</f>
        <v/>
      </c>
      <c r="CA580" s="56">
        <f>($AH580-$AH581)*100</f>
        <v/>
      </c>
      <c r="CB580" s="56">
        <f>($AI580-$AI581)*100</f>
        <v/>
      </c>
      <c r="CC580" s="56">
        <f>($AJ580-$AJ581)*100</f>
        <v/>
      </c>
      <c r="CD580" s="56">
        <f>($AK580-$AK581)*100</f>
        <v/>
      </c>
      <c r="CE580" s="56">
        <f>($AL580-$AL581)*100</f>
        <v/>
      </c>
      <c r="CF580" s="56">
        <f>($AM580-$AM581)*100</f>
        <v/>
      </c>
      <c r="CG580" s="56">
        <f>($AN580-$AN581)*100</f>
        <v/>
      </c>
      <c r="CH580" s="56">
        <f>($AO580-$AO581)*100</f>
        <v/>
      </c>
      <c r="CI580" s="56">
        <f>($AP580-$AP581)*100</f>
        <v/>
      </c>
      <c r="CJ580" s="56">
        <f>($AQ580-$AQ581)*100</f>
        <v/>
      </c>
      <c r="CK580" s="56">
        <f>($AR580-$AR581)*100</f>
        <v/>
      </c>
      <c r="CL580" s="56">
        <f>($AS580-$AS581)*100</f>
        <v/>
      </c>
      <c r="CM580" s="56">
        <f>($AT580-$AT581)*100</f>
        <v/>
      </c>
      <c r="CN580" s="56">
        <f>($AU580-$AU581)*100</f>
        <v/>
      </c>
      <c r="CO580" s="56">
        <f>($AV580-$AV581)*100</f>
        <v/>
      </c>
      <c r="CP580" s="56">
        <f>($AW580-$AW581)*100</f>
        <v/>
      </c>
      <c r="CQ580" s="56">
        <f>($AX580-$AX581)*100</f>
        <v/>
      </c>
      <c r="CR580" s="56">
        <f>($AY580-$AY581)*100</f>
        <v/>
      </c>
      <c r="CS580" s="57">
        <f>IFERROR($L581/$L580-1,"")</f>
        <v/>
      </c>
      <c r="CT580" s="57">
        <f>IFERROR($M581/$M580-1,"")</f>
        <v/>
      </c>
      <c r="CU580" s="57">
        <f>IFERROR($N581/$N580-1,"")</f>
        <v/>
      </c>
      <c r="CV580" s="57">
        <f>IFERROR($O581/$O580-1,"")</f>
        <v/>
      </c>
      <c r="CW580" s="57">
        <f>IFERROR($P581/$P580-1,"")</f>
        <v/>
      </c>
      <c r="CX580" s="57">
        <f>IFERROR($Q581/$Q580-1,"")</f>
        <v/>
      </c>
      <c r="CY580" s="57">
        <f>IFERROR($R581/$R580-1,"")</f>
        <v/>
      </c>
      <c r="CZ580" s="57">
        <f>IFERROR($S581/$S580-1,"")</f>
        <v/>
      </c>
      <c r="DA580" s="57">
        <f>IFERROR($T581/$T580-1,"")</f>
        <v/>
      </c>
      <c r="DB580" s="57">
        <f>IFERROR($U581/$U580-1,"")</f>
        <v/>
      </c>
      <c r="DC580" s="57">
        <f>IFERROR($V581/$V580-1,"")</f>
        <v/>
      </c>
      <c r="DD580" s="57">
        <f>IFERROR($W581/$W580-1,"")</f>
        <v/>
      </c>
      <c r="DE580" s="57">
        <f>IFERROR($X581/$X580-1,"")</f>
        <v/>
      </c>
      <c r="DF580" s="57">
        <f>IFERROR($Y581/$Y580-1,"")</f>
        <v/>
      </c>
      <c r="DG580" s="57">
        <f>IFERROR($Z581/$Z580-1,"")</f>
        <v/>
      </c>
      <c r="DH580" s="57">
        <f>IFERROR($AA581/$AA580-1,"")</f>
        <v/>
      </c>
      <c r="DI580" s="57">
        <f>IFERROR($AB581/$AB580-1,"")</f>
        <v/>
      </c>
      <c r="DJ580" s="57">
        <f>IFERROR($AC581/$AC580-1,"")</f>
        <v/>
      </c>
      <c r="DK580" s="57">
        <f>IFERROR($AD581/$AD580-1,"")</f>
        <v/>
      </c>
      <c r="DL580" s="57">
        <f>IFERROR($AE581/$AE580-1,"")</f>
        <v/>
      </c>
      <c r="DM580" s="56">
        <f>$AZ580-$AZ581</f>
        <v/>
      </c>
      <c r="DN580" s="56">
        <f>$BA580-$BA581</f>
        <v/>
      </c>
      <c r="DO580" s="56">
        <f>$BB580-$BB581</f>
        <v/>
      </c>
      <c r="DP580" s="56">
        <f>$BC580-$BC581</f>
        <v/>
      </c>
      <c r="DQ580" s="56">
        <f>$BD580-$BD581</f>
        <v/>
      </c>
      <c r="DR580" s="56">
        <f>$BE580-$BE581</f>
        <v/>
      </c>
      <c r="DS580" s="56">
        <f>$BF580-$BF581</f>
        <v/>
      </c>
      <c r="DT580" s="56">
        <f>$BG580-$BG581</f>
        <v/>
      </c>
      <c r="DU580" s="56">
        <f>$BH580-$BH581</f>
        <v/>
      </c>
      <c r="DV580" s="56">
        <f>$BI580-$BI581</f>
        <v/>
      </c>
      <c r="DW580" s="56">
        <f>$BJ580-$BJ581</f>
        <v/>
      </c>
      <c r="DX580" s="56">
        <f>$BK580-$BK581</f>
        <v/>
      </c>
      <c r="DY580" s="56">
        <f>$BL580-$BL581</f>
        <v/>
      </c>
      <c r="DZ580" s="56">
        <f>$BM580-$BM581</f>
        <v/>
      </c>
      <c r="EA580" s="56">
        <f>$BN580-$BN581</f>
        <v/>
      </c>
      <c r="EB580" s="56">
        <f>$BO580-$BO581</f>
        <v/>
      </c>
      <c r="EC580" s="56">
        <f>$BP580-$BP581</f>
        <v/>
      </c>
      <c r="ED580" s="56">
        <f>$BQ580-$BQ581</f>
        <v/>
      </c>
      <c r="EE580" s="56">
        <f>$BR580-$BR581</f>
        <v/>
      </c>
      <c r="EF580" s="56">
        <f>$BS580-$BS581</f>
        <v/>
      </c>
      <c r="EG580" s="56">
        <f>$BT580-$BT581</f>
        <v/>
      </c>
      <c r="EH580" s="56">
        <f>$BU580-$BU581</f>
        <v/>
      </c>
    </row>
    <row r="581">
      <c r="BV581" s="56">
        <f>($D581-$D582)*100</f>
        <v/>
      </c>
      <c r="BW581" s="56">
        <f>($C581-$C582)*100</f>
        <v/>
      </c>
      <c r="BX581" s="57">
        <f>IFERROR($I581/$I582-1,"")</f>
        <v/>
      </c>
      <c r="BY581" s="56">
        <f>($AF581-$AF582)*100</f>
        <v/>
      </c>
      <c r="BZ581" s="56">
        <f>($AG581-$AG582)*100</f>
        <v/>
      </c>
      <c r="CA581" s="56">
        <f>($AH581-$AH582)*100</f>
        <v/>
      </c>
      <c r="CB581" s="56">
        <f>($AI581-$AI582)*100</f>
        <v/>
      </c>
      <c r="CC581" s="56">
        <f>($AJ581-$AJ582)*100</f>
        <v/>
      </c>
      <c r="CD581" s="56">
        <f>($AK581-$AK582)*100</f>
        <v/>
      </c>
      <c r="CE581" s="56">
        <f>($AL581-$AL582)*100</f>
        <v/>
      </c>
      <c r="CF581" s="56">
        <f>($AM581-$AM582)*100</f>
        <v/>
      </c>
      <c r="CG581" s="56">
        <f>($AN581-$AN582)*100</f>
        <v/>
      </c>
      <c r="CH581" s="56">
        <f>($AO581-$AO582)*100</f>
        <v/>
      </c>
      <c r="CI581" s="56">
        <f>($AP581-$AP582)*100</f>
        <v/>
      </c>
      <c r="CJ581" s="56">
        <f>($AQ581-$AQ582)*100</f>
        <v/>
      </c>
      <c r="CK581" s="56">
        <f>($AR581-$AR582)*100</f>
        <v/>
      </c>
      <c r="CL581" s="56">
        <f>($AS581-$AS582)*100</f>
        <v/>
      </c>
      <c r="CM581" s="56">
        <f>($AT581-$AT582)*100</f>
        <v/>
      </c>
      <c r="CN581" s="56">
        <f>($AU581-$AU582)*100</f>
        <v/>
      </c>
      <c r="CO581" s="56">
        <f>($AV581-$AV582)*100</f>
        <v/>
      </c>
      <c r="CP581" s="56">
        <f>($AW581-$AW582)*100</f>
        <v/>
      </c>
      <c r="CQ581" s="56">
        <f>($AX581-$AX582)*100</f>
        <v/>
      </c>
      <c r="CR581" s="56">
        <f>($AY581-$AY582)*100</f>
        <v/>
      </c>
      <c r="CS581" s="57">
        <f>IFERROR($L582/$L581-1,"")</f>
        <v/>
      </c>
      <c r="CT581" s="57">
        <f>IFERROR($M582/$M581-1,"")</f>
        <v/>
      </c>
      <c r="CU581" s="57">
        <f>IFERROR($N582/$N581-1,"")</f>
        <v/>
      </c>
      <c r="CV581" s="57">
        <f>IFERROR($O582/$O581-1,"")</f>
        <v/>
      </c>
      <c r="CW581" s="57">
        <f>IFERROR($P582/$P581-1,"")</f>
        <v/>
      </c>
      <c r="CX581" s="57">
        <f>IFERROR($Q582/$Q581-1,"")</f>
        <v/>
      </c>
      <c r="CY581" s="57">
        <f>IFERROR($R582/$R581-1,"")</f>
        <v/>
      </c>
      <c r="CZ581" s="57">
        <f>IFERROR($S582/$S581-1,"")</f>
        <v/>
      </c>
      <c r="DA581" s="57">
        <f>IFERROR($T582/$T581-1,"")</f>
        <v/>
      </c>
      <c r="DB581" s="57">
        <f>IFERROR($U582/$U581-1,"")</f>
        <v/>
      </c>
      <c r="DC581" s="57">
        <f>IFERROR($V582/$V581-1,"")</f>
        <v/>
      </c>
      <c r="DD581" s="57">
        <f>IFERROR($W582/$W581-1,"")</f>
        <v/>
      </c>
      <c r="DE581" s="57">
        <f>IFERROR($X582/$X581-1,"")</f>
        <v/>
      </c>
      <c r="DF581" s="57">
        <f>IFERROR($Y582/$Y581-1,"")</f>
        <v/>
      </c>
      <c r="DG581" s="57">
        <f>IFERROR($Z582/$Z581-1,"")</f>
        <v/>
      </c>
      <c r="DH581" s="57">
        <f>IFERROR($AA582/$AA581-1,"")</f>
        <v/>
      </c>
      <c r="DI581" s="57">
        <f>IFERROR($AB582/$AB581-1,"")</f>
        <v/>
      </c>
      <c r="DJ581" s="57">
        <f>IFERROR($AC582/$AC581-1,"")</f>
        <v/>
      </c>
      <c r="DK581" s="57">
        <f>IFERROR($AD582/$AD581-1,"")</f>
        <v/>
      </c>
      <c r="DL581" s="57">
        <f>IFERROR($AE582/$AE581-1,"")</f>
        <v/>
      </c>
      <c r="DM581" s="56">
        <f>$AZ581-$AZ582</f>
        <v/>
      </c>
      <c r="DN581" s="56">
        <f>$BA581-$BA582</f>
        <v/>
      </c>
      <c r="DO581" s="56">
        <f>$BB581-$BB582</f>
        <v/>
      </c>
      <c r="DP581" s="56">
        <f>$BC581-$BC582</f>
        <v/>
      </c>
      <c r="DQ581" s="56">
        <f>$BD581-$BD582</f>
        <v/>
      </c>
      <c r="DR581" s="56">
        <f>$BE581-$BE582</f>
        <v/>
      </c>
      <c r="DS581" s="56">
        <f>$BF581-$BF582</f>
        <v/>
      </c>
      <c r="DT581" s="56">
        <f>$BG581-$BG582</f>
        <v/>
      </c>
      <c r="DU581" s="56">
        <f>$BH581-$BH582</f>
        <v/>
      </c>
      <c r="DV581" s="56">
        <f>$BI581-$BI582</f>
        <v/>
      </c>
      <c r="DW581" s="56">
        <f>$BJ581-$BJ582</f>
        <v/>
      </c>
      <c r="DX581" s="56">
        <f>$BK581-$BK582</f>
        <v/>
      </c>
      <c r="DY581" s="56">
        <f>$BL581-$BL582</f>
        <v/>
      </c>
      <c r="DZ581" s="56">
        <f>$BM581-$BM582</f>
        <v/>
      </c>
      <c r="EA581" s="56">
        <f>$BN581-$BN582</f>
        <v/>
      </c>
      <c r="EB581" s="56">
        <f>$BO581-$BO582</f>
        <v/>
      </c>
      <c r="EC581" s="56">
        <f>$BP581-$BP582</f>
        <v/>
      </c>
      <c r="ED581" s="56">
        <f>$BQ581-$BQ582</f>
        <v/>
      </c>
      <c r="EE581" s="56">
        <f>$BR581-$BR582</f>
        <v/>
      </c>
      <c r="EF581" s="56">
        <f>$BS581-$BS582</f>
        <v/>
      </c>
      <c r="EG581" s="56">
        <f>$BT581-$BT582</f>
        <v/>
      </c>
      <c r="EH581" s="56">
        <f>$BU581-$BU582</f>
        <v/>
      </c>
    </row>
    <row r="582">
      <c r="BV582" s="56">
        <f>($D582-$D583)*100</f>
        <v/>
      </c>
      <c r="BW582" s="56">
        <f>($C582-$C583)*100</f>
        <v/>
      </c>
      <c r="BX582" s="57">
        <f>IFERROR($I582/$I583-1,"")</f>
        <v/>
      </c>
      <c r="BY582" s="56">
        <f>($AF582-$AF583)*100</f>
        <v/>
      </c>
      <c r="BZ582" s="56">
        <f>($AG582-$AG583)*100</f>
        <v/>
      </c>
      <c r="CA582" s="56">
        <f>($AH582-$AH583)*100</f>
        <v/>
      </c>
      <c r="CB582" s="56">
        <f>($AI582-$AI583)*100</f>
        <v/>
      </c>
      <c r="CC582" s="56">
        <f>($AJ582-$AJ583)*100</f>
        <v/>
      </c>
      <c r="CD582" s="56">
        <f>($AK582-$AK583)*100</f>
        <v/>
      </c>
      <c r="CE582" s="56">
        <f>($AL582-$AL583)*100</f>
        <v/>
      </c>
      <c r="CF582" s="56">
        <f>($AM582-$AM583)*100</f>
        <v/>
      </c>
      <c r="CG582" s="56">
        <f>($AN582-$AN583)*100</f>
        <v/>
      </c>
      <c r="CH582" s="56">
        <f>($AO582-$AO583)*100</f>
        <v/>
      </c>
      <c r="CI582" s="56">
        <f>($AP582-$AP583)*100</f>
        <v/>
      </c>
      <c r="CJ582" s="56">
        <f>($AQ582-$AQ583)*100</f>
        <v/>
      </c>
      <c r="CK582" s="56">
        <f>($AR582-$AR583)*100</f>
        <v/>
      </c>
      <c r="CL582" s="56">
        <f>($AS582-$AS583)*100</f>
        <v/>
      </c>
      <c r="CM582" s="56">
        <f>($AT582-$AT583)*100</f>
        <v/>
      </c>
      <c r="CN582" s="56">
        <f>($AU582-$AU583)*100</f>
        <v/>
      </c>
      <c r="CO582" s="56">
        <f>($AV582-$AV583)*100</f>
        <v/>
      </c>
      <c r="CP582" s="56">
        <f>($AW582-$AW583)*100</f>
        <v/>
      </c>
      <c r="CQ582" s="56">
        <f>($AX582-$AX583)*100</f>
        <v/>
      </c>
      <c r="CR582" s="56">
        <f>($AY582-$AY583)*100</f>
        <v/>
      </c>
      <c r="CS582" s="57">
        <f>IFERROR($L583/$L582-1,"")</f>
        <v/>
      </c>
      <c r="CT582" s="57">
        <f>IFERROR($M583/$M582-1,"")</f>
        <v/>
      </c>
      <c r="CU582" s="57">
        <f>IFERROR($N583/$N582-1,"")</f>
        <v/>
      </c>
      <c r="CV582" s="57">
        <f>IFERROR($O583/$O582-1,"")</f>
        <v/>
      </c>
      <c r="CW582" s="57">
        <f>IFERROR($P583/$P582-1,"")</f>
        <v/>
      </c>
      <c r="CX582" s="57">
        <f>IFERROR($Q583/$Q582-1,"")</f>
        <v/>
      </c>
      <c r="CY582" s="57">
        <f>IFERROR($R583/$R582-1,"")</f>
        <v/>
      </c>
      <c r="CZ582" s="57">
        <f>IFERROR($S583/$S582-1,"")</f>
        <v/>
      </c>
      <c r="DA582" s="57">
        <f>IFERROR($T583/$T582-1,"")</f>
        <v/>
      </c>
      <c r="DB582" s="57">
        <f>IFERROR($U583/$U582-1,"")</f>
        <v/>
      </c>
      <c r="DC582" s="57">
        <f>IFERROR($V583/$V582-1,"")</f>
        <v/>
      </c>
      <c r="DD582" s="57">
        <f>IFERROR($W583/$W582-1,"")</f>
        <v/>
      </c>
      <c r="DE582" s="57">
        <f>IFERROR($X583/$X582-1,"")</f>
        <v/>
      </c>
      <c r="DF582" s="57">
        <f>IFERROR($Y583/$Y582-1,"")</f>
        <v/>
      </c>
      <c r="DG582" s="57">
        <f>IFERROR($Z583/$Z582-1,"")</f>
        <v/>
      </c>
      <c r="DH582" s="57">
        <f>IFERROR($AA583/$AA582-1,"")</f>
        <v/>
      </c>
      <c r="DI582" s="57">
        <f>IFERROR($AB583/$AB582-1,"")</f>
        <v/>
      </c>
      <c r="DJ582" s="57">
        <f>IFERROR($AC583/$AC582-1,"")</f>
        <v/>
      </c>
      <c r="DK582" s="57">
        <f>IFERROR($AD583/$AD582-1,"")</f>
        <v/>
      </c>
      <c r="DL582" s="57">
        <f>IFERROR($AE583/$AE582-1,"")</f>
        <v/>
      </c>
      <c r="DM582" s="56">
        <f>$AZ582-$AZ583</f>
        <v/>
      </c>
      <c r="DN582" s="56">
        <f>$BA582-$BA583</f>
        <v/>
      </c>
      <c r="DO582" s="56">
        <f>$BB582-$BB583</f>
        <v/>
      </c>
      <c r="DP582" s="56">
        <f>$BC582-$BC583</f>
        <v/>
      </c>
      <c r="DQ582" s="56">
        <f>$BD582-$BD583</f>
        <v/>
      </c>
      <c r="DR582" s="56">
        <f>$BE582-$BE583</f>
        <v/>
      </c>
      <c r="DS582" s="56">
        <f>$BF582-$BF583</f>
        <v/>
      </c>
      <c r="DT582" s="56">
        <f>$BG582-$BG583</f>
        <v/>
      </c>
      <c r="DU582" s="56">
        <f>$BH582-$BH583</f>
        <v/>
      </c>
      <c r="DV582" s="56">
        <f>$BI582-$BI583</f>
        <v/>
      </c>
      <c r="DW582" s="56">
        <f>$BJ582-$BJ583</f>
        <v/>
      </c>
      <c r="DX582" s="56">
        <f>$BK582-$BK583</f>
        <v/>
      </c>
      <c r="DY582" s="56">
        <f>$BL582-$BL583</f>
        <v/>
      </c>
      <c r="DZ582" s="56">
        <f>$BM582-$BM583</f>
        <v/>
      </c>
      <c r="EA582" s="56">
        <f>$BN582-$BN583</f>
        <v/>
      </c>
      <c r="EB582" s="56">
        <f>$BO582-$BO583</f>
        <v/>
      </c>
      <c r="EC582" s="56">
        <f>$BP582-$BP583</f>
        <v/>
      </c>
      <c r="ED582" s="56">
        <f>$BQ582-$BQ583</f>
        <v/>
      </c>
      <c r="EE582" s="56">
        <f>$BR582-$BR583</f>
        <v/>
      </c>
      <c r="EF582" s="56">
        <f>$BS582-$BS583</f>
        <v/>
      </c>
      <c r="EG582" s="56">
        <f>$BT582-$BT583</f>
        <v/>
      </c>
      <c r="EH582" s="56">
        <f>$BU582-$BU583</f>
        <v/>
      </c>
    </row>
    <row r="583">
      <c r="BV583" s="56">
        <f>($D583-$D584)*100</f>
        <v/>
      </c>
      <c r="BW583" s="56">
        <f>($C583-$C584)*100</f>
        <v/>
      </c>
      <c r="BX583" s="57">
        <f>IFERROR($I583/$I584-1,"")</f>
        <v/>
      </c>
      <c r="BY583" s="56">
        <f>($AF583-$AF584)*100</f>
        <v/>
      </c>
      <c r="BZ583" s="56">
        <f>($AG583-$AG584)*100</f>
        <v/>
      </c>
      <c r="CA583" s="56">
        <f>($AH583-$AH584)*100</f>
        <v/>
      </c>
      <c r="CB583" s="56">
        <f>($AI583-$AI584)*100</f>
        <v/>
      </c>
      <c r="CC583" s="56">
        <f>($AJ583-$AJ584)*100</f>
        <v/>
      </c>
      <c r="CD583" s="56">
        <f>($AK583-$AK584)*100</f>
        <v/>
      </c>
      <c r="CE583" s="56">
        <f>($AL583-$AL584)*100</f>
        <v/>
      </c>
      <c r="CF583" s="56">
        <f>($AM583-$AM584)*100</f>
        <v/>
      </c>
      <c r="CG583" s="56">
        <f>($AN583-$AN584)*100</f>
        <v/>
      </c>
      <c r="CH583" s="56">
        <f>($AO583-$AO584)*100</f>
        <v/>
      </c>
      <c r="CI583" s="56">
        <f>($AP583-$AP584)*100</f>
        <v/>
      </c>
      <c r="CJ583" s="56">
        <f>($AQ583-$AQ584)*100</f>
        <v/>
      </c>
      <c r="CK583" s="56">
        <f>($AR583-$AR584)*100</f>
        <v/>
      </c>
      <c r="CL583" s="56">
        <f>($AS583-$AS584)*100</f>
        <v/>
      </c>
      <c r="CM583" s="56">
        <f>($AT583-$AT584)*100</f>
        <v/>
      </c>
      <c r="CN583" s="56">
        <f>($AU583-$AU584)*100</f>
        <v/>
      </c>
      <c r="CO583" s="56">
        <f>($AV583-$AV584)*100</f>
        <v/>
      </c>
      <c r="CP583" s="56">
        <f>($AW583-$AW584)*100</f>
        <v/>
      </c>
      <c r="CQ583" s="56">
        <f>($AX583-$AX584)*100</f>
        <v/>
      </c>
      <c r="CR583" s="56">
        <f>($AY583-$AY584)*100</f>
        <v/>
      </c>
      <c r="CS583" s="57">
        <f>IFERROR($L584/$L583-1,"")</f>
        <v/>
      </c>
      <c r="CT583" s="57">
        <f>IFERROR($M584/$M583-1,"")</f>
        <v/>
      </c>
      <c r="CU583" s="57">
        <f>IFERROR($N584/$N583-1,"")</f>
        <v/>
      </c>
      <c r="CV583" s="57">
        <f>IFERROR($O584/$O583-1,"")</f>
        <v/>
      </c>
      <c r="CW583" s="57">
        <f>IFERROR($P584/$P583-1,"")</f>
        <v/>
      </c>
      <c r="CX583" s="57">
        <f>IFERROR($Q584/$Q583-1,"")</f>
        <v/>
      </c>
      <c r="CY583" s="57">
        <f>IFERROR($R584/$R583-1,"")</f>
        <v/>
      </c>
      <c r="CZ583" s="57">
        <f>IFERROR($S584/$S583-1,"")</f>
        <v/>
      </c>
      <c r="DA583" s="57">
        <f>IFERROR($T584/$T583-1,"")</f>
        <v/>
      </c>
      <c r="DB583" s="57">
        <f>IFERROR($U584/$U583-1,"")</f>
        <v/>
      </c>
      <c r="DC583" s="57">
        <f>IFERROR($V584/$V583-1,"")</f>
        <v/>
      </c>
      <c r="DD583" s="57">
        <f>IFERROR($W584/$W583-1,"")</f>
        <v/>
      </c>
      <c r="DE583" s="57">
        <f>IFERROR($X584/$X583-1,"")</f>
        <v/>
      </c>
      <c r="DF583" s="57">
        <f>IFERROR($Y584/$Y583-1,"")</f>
        <v/>
      </c>
      <c r="DG583" s="57">
        <f>IFERROR($Z584/$Z583-1,"")</f>
        <v/>
      </c>
      <c r="DH583" s="57">
        <f>IFERROR($AA584/$AA583-1,"")</f>
        <v/>
      </c>
      <c r="DI583" s="57">
        <f>IFERROR($AB584/$AB583-1,"")</f>
        <v/>
      </c>
      <c r="DJ583" s="57">
        <f>IFERROR($AC584/$AC583-1,"")</f>
        <v/>
      </c>
      <c r="DK583" s="57">
        <f>IFERROR($AD584/$AD583-1,"")</f>
        <v/>
      </c>
      <c r="DL583" s="57">
        <f>IFERROR($AE584/$AE583-1,"")</f>
        <v/>
      </c>
      <c r="DM583" s="56">
        <f>$AZ583-$AZ584</f>
        <v/>
      </c>
      <c r="DN583" s="56">
        <f>$BA583-$BA584</f>
        <v/>
      </c>
      <c r="DO583" s="56">
        <f>$BB583-$BB584</f>
        <v/>
      </c>
      <c r="DP583" s="56">
        <f>$BC583-$BC584</f>
        <v/>
      </c>
      <c r="DQ583" s="56">
        <f>$BD583-$BD584</f>
        <v/>
      </c>
      <c r="DR583" s="56">
        <f>$BE583-$BE584</f>
        <v/>
      </c>
      <c r="DS583" s="56">
        <f>$BF583-$BF584</f>
        <v/>
      </c>
      <c r="DT583" s="56">
        <f>$BG583-$BG584</f>
        <v/>
      </c>
      <c r="DU583" s="56">
        <f>$BH583-$BH584</f>
        <v/>
      </c>
      <c r="DV583" s="56">
        <f>$BI583-$BI584</f>
        <v/>
      </c>
      <c r="DW583" s="56">
        <f>$BJ583-$BJ584</f>
        <v/>
      </c>
      <c r="DX583" s="56">
        <f>$BK583-$BK584</f>
        <v/>
      </c>
      <c r="DY583" s="56">
        <f>$BL583-$BL584</f>
        <v/>
      </c>
      <c r="DZ583" s="56">
        <f>$BM583-$BM584</f>
        <v/>
      </c>
      <c r="EA583" s="56">
        <f>$BN583-$BN584</f>
        <v/>
      </c>
      <c r="EB583" s="56">
        <f>$BO583-$BO584</f>
        <v/>
      </c>
      <c r="EC583" s="56">
        <f>$BP583-$BP584</f>
        <v/>
      </c>
      <c r="ED583" s="56">
        <f>$BQ583-$BQ584</f>
        <v/>
      </c>
      <c r="EE583" s="56">
        <f>$BR583-$BR584</f>
        <v/>
      </c>
      <c r="EF583" s="56">
        <f>$BS583-$BS584</f>
        <v/>
      </c>
      <c r="EG583" s="56">
        <f>$BT583-$BT584</f>
        <v/>
      </c>
      <c r="EH583" s="56">
        <f>$BU583-$BU584</f>
        <v/>
      </c>
    </row>
    <row r="584">
      <c r="BV584" s="56">
        <f>($D584-$D585)*100</f>
        <v/>
      </c>
      <c r="BW584" s="56">
        <f>($C584-$C585)*100</f>
        <v/>
      </c>
      <c r="BX584" s="57">
        <f>IFERROR($I584/$I585-1,"")</f>
        <v/>
      </c>
      <c r="BY584" s="56">
        <f>($AF584-$AF585)*100</f>
        <v/>
      </c>
      <c r="BZ584" s="56">
        <f>($AG584-$AG585)*100</f>
        <v/>
      </c>
      <c r="CA584" s="56">
        <f>($AH584-$AH585)*100</f>
        <v/>
      </c>
      <c r="CB584" s="56">
        <f>($AI584-$AI585)*100</f>
        <v/>
      </c>
      <c r="CC584" s="56">
        <f>($AJ584-$AJ585)*100</f>
        <v/>
      </c>
      <c r="CD584" s="56">
        <f>($AK584-$AK585)*100</f>
        <v/>
      </c>
      <c r="CE584" s="56">
        <f>($AL584-$AL585)*100</f>
        <v/>
      </c>
      <c r="CF584" s="56">
        <f>($AM584-$AM585)*100</f>
        <v/>
      </c>
      <c r="CG584" s="56">
        <f>($AN584-$AN585)*100</f>
        <v/>
      </c>
      <c r="CH584" s="56">
        <f>($AO584-$AO585)*100</f>
        <v/>
      </c>
      <c r="CI584" s="56">
        <f>($AP584-$AP585)*100</f>
        <v/>
      </c>
      <c r="CJ584" s="56">
        <f>($AQ584-$AQ585)*100</f>
        <v/>
      </c>
      <c r="CK584" s="56">
        <f>($AR584-$AR585)*100</f>
        <v/>
      </c>
      <c r="CL584" s="56">
        <f>($AS584-$AS585)*100</f>
        <v/>
      </c>
      <c r="CM584" s="56">
        <f>($AT584-$AT585)*100</f>
        <v/>
      </c>
      <c r="CN584" s="56">
        <f>($AU584-$AU585)*100</f>
        <v/>
      </c>
      <c r="CO584" s="56">
        <f>($AV584-$AV585)*100</f>
        <v/>
      </c>
      <c r="CP584" s="56">
        <f>($AW584-$AW585)*100</f>
        <v/>
      </c>
      <c r="CQ584" s="56">
        <f>($AX584-$AX585)*100</f>
        <v/>
      </c>
      <c r="CR584" s="56">
        <f>($AY584-$AY585)*100</f>
        <v/>
      </c>
      <c r="CS584" s="57">
        <f>IFERROR($L585/$L584-1,"")</f>
        <v/>
      </c>
      <c r="CT584" s="57">
        <f>IFERROR($M585/$M584-1,"")</f>
        <v/>
      </c>
      <c r="CU584" s="57">
        <f>IFERROR($N585/$N584-1,"")</f>
        <v/>
      </c>
      <c r="CV584" s="57">
        <f>IFERROR($O585/$O584-1,"")</f>
        <v/>
      </c>
      <c r="CW584" s="57">
        <f>IFERROR($P585/$P584-1,"")</f>
        <v/>
      </c>
      <c r="CX584" s="57">
        <f>IFERROR($Q585/$Q584-1,"")</f>
        <v/>
      </c>
      <c r="CY584" s="57">
        <f>IFERROR($R585/$R584-1,"")</f>
        <v/>
      </c>
      <c r="CZ584" s="57">
        <f>IFERROR($S585/$S584-1,"")</f>
        <v/>
      </c>
      <c r="DA584" s="57">
        <f>IFERROR($T585/$T584-1,"")</f>
        <v/>
      </c>
      <c r="DB584" s="57">
        <f>IFERROR($U585/$U584-1,"")</f>
        <v/>
      </c>
      <c r="DC584" s="57">
        <f>IFERROR($V585/$V584-1,"")</f>
        <v/>
      </c>
      <c r="DD584" s="57">
        <f>IFERROR($W585/$W584-1,"")</f>
        <v/>
      </c>
      <c r="DE584" s="57">
        <f>IFERROR($X585/$X584-1,"")</f>
        <v/>
      </c>
      <c r="DF584" s="57">
        <f>IFERROR($Y585/$Y584-1,"")</f>
        <v/>
      </c>
      <c r="DG584" s="57">
        <f>IFERROR($Z585/$Z584-1,"")</f>
        <v/>
      </c>
      <c r="DH584" s="57">
        <f>IFERROR($AA585/$AA584-1,"")</f>
        <v/>
      </c>
      <c r="DI584" s="57">
        <f>IFERROR($AB585/$AB584-1,"")</f>
        <v/>
      </c>
      <c r="DJ584" s="57">
        <f>IFERROR($AC585/$AC584-1,"")</f>
        <v/>
      </c>
      <c r="DK584" s="57">
        <f>IFERROR($AD585/$AD584-1,"")</f>
        <v/>
      </c>
      <c r="DL584" s="57">
        <f>IFERROR($AE585/$AE584-1,"")</f>
        <v/>
      </c>
      <c r="DM584" s="56">
        <f>$AZ584-$AZ585</f>
        <v/>
      </c>
      <c r="DN584" s="56">
        <f>$BA584-$BA585</f>
        <v/>
      </c>
      <c r="DO584" s="56">
        <f>$BB584-$BB585</f>
        <v/>
      </c>
      <c r="DP584" s="56">
        <f>$BC584-$BC585</f>
        <v/>
      </c>
      <c r="DQ584" s="56">
        <f>$BD584-$BD585</f>
        <v/>
      </c>
      <c r="DR584" s="56">
        <f>$BE584-$BE585</f>
        <v/>
      </c>
      <c r="DS584" s="56">
        <f>$BF584-$BF585</f>
        <v/>
      </c>
      <c r="DT584" s="56">
        <f>$BG584-$BG585</f>
        <v/>
      </c>
      <c r="DU584" s="56">
        <f>$BH584-$BH585</f>
        <v/>
      </c>
      <c r="DV584" s="56">
        <f>$BI584-$BI585</f>
        <v/>
      </c>
      <c r="DW584" s="56">
        <f>$BJ584-$BJ585</f>
        <v/>
      </c>
      <c r="DX584" s="56">
        <f>$BK584-$BK585</f>
        <v/>
      </c>
      <c r="DY584" s="56">
        <f>$BL584-$BL585</f>
        <v/>
      </c>
      <c r="DZ584" s="56">
        <f>$BM584-$BM585</f>
        <v/>
      </c>
      <c r="EA584" s="56">
        <f>$BN584-$BN585</f>
        <v/>
      </c>
      <c r="EB584" s="56">
        <f>$BO584-$BO585</f>
        <v/>
      </c>
      <c r="EC584" s="56">
        <f>$BP584-$BP585</f>
        <v/>
      </c>
      <c r="ED584" s="56">
        <f>$BQ584-$BQ585</f>
        <v/>
      </c>
      <c r="EE584" s="56">
        <f>$BR584-$BR585</f>
        <v/>
      </c>
      <c r="EF584" s="56">
        <f>$BS584-$BS585</f>
        <v/>
      </c>
      <c r="EG584" s="56">
        <f>$BT584-$BT585</f>
        <v/>
      </c>
      <c r="EH584" s="56">
        <f>$BU584-$BU585</f>
        <v/>
      </c>
    </row>
    <row r="585">
      <c r="BV585" s="56">
        <f>($D585-$D586)*100</f>
        <v/>
      </c>
      <c r="BW585" s="56">
        <f>($C585-$C586)*100</f>
        <v/>
      </c>
      <c r="BX585" s="57">
        <f>IFERROR($I585/$I586-1,"")</f>
        <v/>
      </c>
      <c r="BY585" s="56">
        <f>($AF585-$AF586)*100</f>
        <v/>
      </c>
      <c r="BZ585" s="56">
        <f>($AG585-$AG586)*100</f>
        <v/>
      </c>
      <c r="CA585" s="56">
        <f>($AH585-$AH586)*100</f>
        <v/>
      </c>
      <c r="CB585" s="56">
        <f>($AI585-$AI586)*100</f>
        <v/>
      </c>
      <c r="CC585" s="56">
        <f>($AJ585-$AJ586)*100</f>
        <v/>
      </c>
      <c r="CD585" s="56">
        <f>($AK585-$AK586)*100</f>
        <v/>
      </c>
      <c r="CE585" s="56">
        <f>($AL585-$AL586)*100</f>
        <v/>
      </c>
      <c r="CF585" s="56">
        <f>($AM585-$AM586)*100</f>
        <v/>
      </c>
      <c r="CG585" s="56">
        <f>($AN585-$AN586)*100</f>
        <v/>
      </c>
      <c r="CH585" s="56">
        <f>($AO585-$AO586)*100</f>
        <v/>
      </c>
      <c r="CI585" s="56">
        <f>($AP585-$AP586)*100</f>
        <v/>
      </c>
      <c r="CJ585" s="56">
        <f>($AQ585-$AQ586)*100</f>
        <v/>
      </c>
      <c r="CK585" s="56">
        <f>($AR585-$AR586)*100</f>
        <v/>
      </c>
      <c r="CL585" s="56">
        <f>($AS585-$AS586)*100</f>
        <v/>
      </c>
      <c r="CM585" s="56">
        <f>($AT585-$AT586)*100</f>
        <v/>
      </c>
      <c r="CN585" s="56">
        <f>($AU585-$AU586)*100</f>
        <v/>
      </c>
      <c r="CO585" s="56">
        <f>($AV585-$AV586)*100</f>
        <v/>
      </c>
      <c r="CP585" s="56">
        <f>($AW585-$AW586)*100</f>
        <v/>
      </c>
      <c r="CQ585" s="56">
        <f>($AX585-$AX586)*100</f>
        <v/>
      </c>
      <c r="CR585" s="56">
        <f>($AY585-$AY586)*100</f>
        <v/>
      </c>
      <c r="CS585" s="57">
        <f>IFERROR($L586/$L585-1,"")</f>
        <v/>
      </c>
      <c r="CT585" s="57">
        <f>IFERROR($M586/$M585-1,"")</f>
        <v/>
      </c>
      <c r="CU585" s="57">
        <f>IFERROR($N586/$N585-1,"")</f>
        <v/>
      </c>
      <c r="CV585" s="57">
        <f>IFERROR($O586/$O585-1,"")</f>
        <v/>
      </c>
      <c r="CW585" s="57">
        <f>IFERROR($P586/$P585-1,"")</f>
        <v/>
      </c>
      <c r="CX585" s="57">
        <f>IFERROR($Q586/$Q585-1,"")</f>
        <v/>
      </c>
      <c r="CY585" s="57">
        <f>IFERROR($R586/$R585-1,"")</f>
        <v/>
      </c>
      <c r="CZ585" s="57">
        <f>IFERROR($S586/$S585-1,"")</f>
        <v/>
      </c>
      <c r="DA585" s="57">
        <f>IFERROR($T586/$T585-1,"")</f>
        <v/>
      </c>
      <c r="DB585" s="57">
        <f>IFERROR($U586/$U585-1,"")</f>
        <v/>
      </c>
      <c r="DC585" s="57">
        <f>IFERROR($V586/$V585-1,"")</f>
        <v/>
      </c>
      <c r="DD585" s="57">
        <f>IFERROR($W586/$W585-1,"")</f>
        <v/>
      </c>
      <c r="DE585" s="57">
        <f>IFERROR($X586/$X585-1,"")</f>
        <v/>
      </c>
      <c r="DF585" s="57">
        <f>IFERROR($Y586/$Y585-1,"")</f>
        <v/>
      </c>
      <c r="DG585" s="57">
        <f>IFERROR($Z586/$Z585-1,"")</f>
        <v/>
      </c>
      <c r="DH585" s="57">
        <f>IFERROR($AA586/$AA585-1,"")</f>
        <v/>
      </c>
      <c r="DI585" s="57">
        <f>IFERROR($AB586/$AB585-1,"")</f>
        <v/>
      </c>
      <c r="DJ585" s="57">
        <f>IFERROR($AC586/$AC585-1,"")</f>
        <v/>
      </c>
      <c r="DK585" s="57">
        <f>IFERROR($AD586/$AD585-1,"")</f>
        <v/>
      </c>
      <c r="DL585" s="57">
        <f>IFERROR($AE586/$AE585-1,"")</f>
        <v/>
      </c>
      <c r="DM585" s="56">
        <f>$AZ585-$AZ586</f>
        <v/>
      </c>
      <c r="DN585" s="56">
        <f>$BA585-$BA586</f>
        <v/>
      </c>
      <c r="DO585" s="56">
        <f>$BB585-$BB586</f>
        <v/>
      </c>
      <c r="DP585" s="56">
        <f>$BC585-$BC586</f>
        <v/>
      </c>
      <c r="DQ585" s="56">
        <f>$BD585-$BD586</f>
        <v/>
      </c>
      <c r="DR585" s="56">
        <f>$BE585-$BE586</f>
        <v/>
      </c>
      <c r="DS585" s="56">
        <f>$BF585-$BF586</f>
        <v/>
      </c>
      <c r="DT585" s="56">
        <f>$BG585-$BG586</f>
        <v/>
      </c>
      <c r="DU585" s="56">
        <f>$BH585-$BH586</f>
        <v/>
      </c>
      <c r="DV585" s="56">
        <f>$BI585-$BI586</f>
        <v/>
      </c>
      <c r="DW585" s="56">
        <f>$BJ585-$BJ586</f>
        <v/>
      </c>
      <c r="DX585" s="56">
        <f>$BK585-$BK586</f>
        <v/>
      </c>
      <c r="DY585" s="56">
        <f>$BL585-$BL586</f>
        <v/>
      </c>
      <c r="DZ585" s="56">
        <f>$BM585-$BM586</f>
        <v/>
      </c>
      <c r="EA585" s="56">
        <f>$BN585-$BN586</f>
        <v/>
      </c>
      <c r="EB585" s="56">
        <f>$BO585-$BO586</f>
        <v/>
      </c>
      <c r="EC585" s="56">
        <f>$BP585-$BP586</f>
        <v/>
      </c>
      <c r="ED585" s="56">
        <f>$BQ585-$BQ586</f>
        <v/>
      </c>
      <c r="EE585" s="56">
        <f>$BR585-$BR586</f>
        <v/>
      </c>
      <c r="EF585" s="56">
        <f>$BS585-$BS586</f>
        <v/>
      </c>
      <c r="EG585" s="56">
        <f>$BT585-$BT586</f>
        <v/>
      </c>
      <c r="EH585" s="56">
        <f>$BU585-$BU586</f>
        <v/>
      </c>
    </row>
    <row r="586">
      <c r="BV586" s="56">
        <f>($D586-$D587)*100</f>
        <v/>
      </c>
      <c r="BW586" s="56">
        <f>($C586-$C587)*100</f>
        <v/>
      </c>
      <c r="BX586" s="57">
        <f>IFERROR($I586/$I587-1,"")</f>
        <v/>
      </c>
      <c r="BY586" s="56">
        <f>($AF586-$AF587)*100</f>
        <v/>
      </c>
      <c r="BZ586" s="56">
        <f>($AG586-$AG587)*100</f>
        <v/>
      </c>
      <c r="CA586" s="56">
        <f>($AH586-$AH587)*100</f>
        <v/>
      </c>
      <c r="CB586" s="56">
        <f>($AI586-$AI587)*100</f>
        <v/>
      </c>
      <c r="CC586" s="56">
        <f>($AJ586-$AJ587)*100</f>
        <v/>
      </c>
      <c r="CD586" s="56">
        <f>($AK586-$AK587)*100</f>
        <v/>
      </c>
      <c r="CE586" s="56">
        <f>($AL586-$AL587)*100</f>
        <v/>
      </c>
      <c r="CF586" s="56">
        <f>($AM586-$AM587)*100</f>
        <v/>
      </c>
      <c r="CG586" s="56">
        <f>($AN586-$AN587)*100</f>
        <v/>
      </c>
      <c r="CH586" s="56">
        <f>($AO586-$AO587)*100</f>
        <v/>
      </c>
      <c r="CI586" s="56">
        <f>($AP586-$AP587)*100</f>
        <v/>
      </c>
      <c r="CJ586" s="56">
        <f>($AQ586-$AQ587)*100</f>
        <v/>
      </c>
      <c r="CK586" s="56">
        <f>($AR586-$AR587)*100</f>
        <v/>
      </c>
      <c r="CL586" s="56">
        <f>($AS586-$AS587)*100</f>
        <v/>
      </c>
      <c r="CM586" s="56">
        <f>($AT586-$AT587)*100</f>
        <v/>
      </c>
      <c r="CN586" s="56">
        <f>($AU586-$AU587)*100</f>
        <v/>
      </c>
      <c r="CO586" s="56">
        <f>($AV586-$AV587)*100</f>
        <v/>
      </c>
      <c r="CP586" s="56">
        <f>($AW586-$AW587)*100</f>
        <v/>
      </c>
      <c r="CQ586" s="56">
        <f>($AX586-$AX587)*100</f>
        <v/>
      </c>
      <c r="CR586" s="56">
        <f>($AY586-$AY587)*100</f>
        <v/>
      </c>
      <c r="CS586" s="57">
        <f>IFERROR($L587/$L586-1,"")</f>
        <v/>
      </c>
      <c r="CT586" s="57">
        <f>IFERROR($M587/$M586-1,"")</f>
        <v/>
      </c>
      <c r="CU586" s="57">
        <f>IFERROR($N587/$N586-1,"")</f>
        <v/>
      </c>
      <c r="CV586" s="57">
        <f>IFERROR($O587/$O586-1,"")</f>
        <v/>
      </c>
      <c r="CW586" s="57">
        <f>IFERROR($P587/$P586-1,"")</f>
        <v/>
      </c>
      <c r="CX586" s="57">
        <f>IFERROR($Q587/$Q586-1,"")</f>
        <v/>
      </c>
      <c r="CY586" s="57">
        <f>IFERROR($R587/$R586-1,"")</f>
        <v/>
      </c>
      <c r="CZ586" s="57">
        <f>IFERROR($S587/$S586-1,"")</f>
        <v/>
      </c>
      <c r="DA586" s="57">
        <f>IFERROR($T587/$T586-1,"")</f>
        <v/>
      </c>
      <c r="DB586" s="57">
        <f>IFERROR($U587/$U586-1,"")</f>
        <v/>
      </c>
      <c r="DC586" s="57">
        <f>IFERROR($V587/$V586-1,"")</f>
        <v/>
      </c>
      <c r="DD586" s="57">
        <f>IFERROR($W587/$W586-1,"")</f>
        <v/>
      </c>
      <c r="DE586" s="57">
        <f>IFERROR($X587/$X586-1,"")</f>
        <v/>
      </c>
      <c r="DF586" s="57">
        <f>IFERROR($Y587/$Y586-1,"")</f>
        <v/>
      </c>
      <c r="DG586" s="57">
        <f>IFERROR($Z587/$Z586-1,"")</f>
        <v/>
      </c>
      <c r="DH586" s="57">
        <f>IFERROR($AA587/$AA586-1,"")</f>
        <v/>
      </c>
      <c r="DI586" s="57">
        <f>IFERROR($AB587/$AB586-1,"")</f>
        <v/>
      </c>
      <c r="DJ586" s="57">
        <f>IFERROR($AC587/$AC586-1,"")</f>
        <v/>
      </c>
      <c r="DK586" s="57">
        <f>IFERROR($AD587/$AD586-1,"")</f>
        <v/>
      </c>
      <c r="DL586" s="57">
        <f>IFERROR($AE587/$AE586-1,"")</f>
        <v/>
      </c>
      <c r="DM586" s="56">
        <f>$AZ586-$AZ587</f>
        <v/>
      </c>
      <c r="DN586" s="56">
        <f>$BA586-$BA587</f>
        <v/>
      </c>
      <c r="DO586" s="56">
        <f>$BB586-$BB587</f>
        <v/>
      </c>
      <c r="DP586" s="56">
        <f>$BC586-$BC587</f>
        <v/>
      </c>
      <c r="DQ586" s="56">
        <f>$BD586-$BD587</f>
        <v/>
      </c>
      <c r="DR586" s="56">
        <f>$BE586-$BE587</f>
        <v/>
      </c>
      <c r="DS586" s="56">
        <f>$BF586-$BF587</f>
        <v/>
      </c>
      <c r="DT586" s="56">
        <f>$BG586-$BG587</f>
        <v/>
      </c>
      <c r="DU586" s="56">
        <f>$BH586-$BH587</f>
        <v/>
      </c>
      <c r="DV586" s="56">
        <f>$BI586-$BI587</f>
        <v/>
      </c>
      <c r="DW586" s="56">
        <f>$BJ586-$BJ587</f>
        <v/>
      </c>
      <c r="DX586" s="56">
        <f>$BK586-$BK587</f>
        <v/>
      </c>
      <c r="DY586" s="56">
        <f>$BL586-$BL587</f>
        <v/>
      </c>
      <c r="DZ586" s="56">
        <f>$BM586-$BM587</f>
        <v/>
      </c>
      <c r="EA586" s="56">
        <f>$BN586-$BN587</f>
        <v/>
      </c>
      <c r="EB586" s="56">
        <f>$BO586-$BO587</f>
        <v/>
      </c>
      <c r="EC586" s="56">
        <f>$BP586-$BP587</f>
        <v/>
      </c>
      <c r="ED586" s="56">
        <f>$BQ586-$BQ587</f>
        <v/>
      </c>
      <c r="EE586" s="56">
        <f>$BR586-$BR587</f>
        <v/>
      </c>
      <c r="EF586" s="56">
        <f>$BS586-$BS587</f>
        <v/>
      </c>
      <c r="EG586" s="56">
        <f>$BT586-$BT587</f>
        <v/>
      </c>
      <c r="EH586" s="56">
        <f>$BU586-$BU587</f>
        <v/>
      </c>
    </row>
    <row r="587">
      <c r="BV587" s="56">
        <f>($D587-$D588)*100</f>
        <v/>
      </c>
      <c r="BW587" s="56">
        <f>($C587-$C588)*100</f>
        <v/>
      </c>
      <c r="BX587" s="57">
        <f>IFERROR($I587/$I588-1,"")</f>
        <v/>
      </c>
      <c r="BY587" s="56">
        <f>($AF587-$AF588)*100</f>
        <v/>
      </c>
      <c r="BZ587" s="56">
        <f>($AG587-$AG588)*100</f>
        <v/>
      </c>
      <c r="CA587" s="56">
        <f>($AH587-$AH588)*100</f>
        <v/>
      </c>
      <c r="CB587" s="56">
        <f>($AI587-$AI588)*100</f>
        <v/>
      </c>
      <c r="CC587" s="56">
        <f>($AJ587-$AJ588)*100</f>
        <v/>
      </c>
      <c r="CD587" s="56">
        <f>($AK587-$AK588)*100</f>
        <v/>
      </c>
      <c r="CE587" s="56">
        <f>($AL587-$AL588)*100</f>
        <v/>
      </c>
      <c r="CF587" s="56">
        <f>($AM587-$AM588)*100</f>
        <v/>
      </c>
      <c r="CG587" s="56">
        <f>($AN587-$AN588)*100</f>
        <v/>
      </c>
      <c r="CH587" s="56">
        <f>($AO587-$AO588)*100</f>
        <v/>
      </c>
      <c r="CI587" s="56">
        <f>($AP587-$AP588)*100</f>
        <v/>
      </c>
      <c r="CJ587" s="56">
        <f>($AQ587-$AQ588)*100</f>
        <v/>
      </c>
      <c r="CK587" s="56">
        <f>($AR587-$AR588)*100</f>
        <v/>
      </c>
      <c r="CL587" s="56">
        <f>($AS587-$AS588)*100</f>
        <v/>
      </c>
      <c r="CM587" s="56">
        <f>($AT587-$AT588)*100</f>
        <v/>
      </c>
      <c r="CN587" s="56">
        <f>($AU587-$AU588)*100</f>
        <v/>
      </c>
      <c r="CO587" s="56">
        <f>($AV587-$AV588)*100</f>
        <v/>
      </c>
      <c r="CP587" s="56">
        <f>($AW587-$AW588)*100</f>
        <v/>
      </c>
      <c r="CQ587" s="56">
        <f>($AX587-$AX588)*100</f>
        <v/>
      </c>
      <c r="CR587" s="56">
        <f>($AY587-$AY588)*100</f>
        <v/>
      </c>
      <c r="CS587" s="57">
        <f>IFERROR($L588/$L587-1,"")</f>
        <v/>
      </c>
      <c r="CT587" s="57">
        <f>IFERROR($M588/$M587-1,"")</f>
        <v/>
      </c>
      <c r="CU587" s="57">
        <f>IFERROR($N588/$N587-1,"")</f>
        <v/>
      </c>
      <c r="CV587" s="57">
        <f>IFERROR($O588/$O587-1,"")</f>
        <v/>
      </c>
      <c r="CW587" s="57">
        <f>IFERROR($P588/$P587-1,"")</f>
        <v/>
      </c>
      <c r="CX587" s="57">
        <f>IFERROR($Q588/$Q587-1,"")</f>
        <v/>
      </c>
      <c r="CY587" s="57">
        <f>IFERROR($R588/$R587-1,"")</f>
        <v/>
      </c>
      <c r="CZ587" s="57">
        <f>IFERROR($S588/$S587-1,"")</f>
        <v/>
      </c>
      <c r="DA587" s="57">
        <f>IFERROR($T588/$T587-1,"")</f>
        <v/>
      </c>
      <c r="DB587" s="57">
        <f>IFERROR($U588/$U587-1,"")</f>
        <v/>
      </c>
      <c r="DC587" s="57">
        <f>IFERROR($V588/$V587-1,"")</f>
        <v/>
      </c>
      <c r="DD587" s="57">
        <f>IFERROR($W588/$W587-1,"")</f>
        <v/>
      </c>
      <c r="DE587" s="57">
        <f>IFERROR($X588/$X587-1,"")</f>
        <v/>
      </c>
      <c r="DF587" s="57">
        <f>IFERROR($Y588/$Y587-1,"")</f>
        <v/>
      </c>
      <c r="DG587" s="57">
        <f>IFERROR($Z588/$Z587-1,"")</f>
        <v/>
      </c>
      <c r="DH587" s="57">
        <f>IFERROR($AA588/$AA587-1,"")</f>
        <v/>
      </c>
      <c r="DI587" s="57">
        <f>IFERROR($AB588/$AB587-1,"")</f>
        <v/>
      </c>
      <c r="DJ587" s="57">
        <f>IFERROR($AC588/$AC587-1,"")</f>
        <v/>
      </c>
      <c r="DK587" s="57">
        <f>IFERROR($AD588/$AD587-1,"")</f>
        <v/>
      </c>
      <c r="DL587" s="57">
        <f>IFERROR($AE588/$AE587-1,"")</f>
        <v/>
      </c>
      <c r="DM587" s="56">
        <f>$AZ587-$AZ588</f>
        <v/>
      </c>
      <c r="DN587" s="56">
        <f>$BA587-$BA588</f>
        <v/>
      </c>
      <c r="DO587" s="56">
        <f>$BB587-$BB588</f>
        <v/>
      </c>
      <c r="DP587" s="56">
        <f>$BC587-$BC588</f>
        <v/>
      </c>
      <c r="DQ587" s="56">
        <f>$BD587-$BD588</f>
        <v/>
      </c>
      <c r="DR587" s="56">
        <f>$BE587-$BE588</f>
        <v/>
      </c>
      <c r="DS587" s="56">
        <f>$BF587-$BF588</f>
        <v/>
      </c>
      <c r="DT587" s="56">
        <f>$BG587-$BG588</f>
        <v/>
      </c>
      <c r="DU587" s="56">
        <f>$BH587-$BH588</f>
        <v/>
      </c>
      <c r="DV587" s="56">
        <f>$BI587-$BI588</f>
        <v/>
      </c>
      <c r="DW587" s="56">
        <f>$BJ587-$BJ588</f>
        <v/>
      </c>
      <c r="DX587" s="56">
        <f>$BK587-$BK588</f>
        <v/>
      </c>
      <c r="DY587" s="56">
        <f>$BL587-$BL588</f>
        <v/>
      </c>
      <c r="DZ587" s="56">
        <f>$BM587-$BM588</f>
        <v/>
      </c>
      <c r="EA587" s="56">
        <f>$BN587-$BN588</f>
        <v/>
      </c>
      <c r="EB587" s="56">
        <f>$BO587-$BO588</f>
        <v/>
      </c>
      <c r="EC587" s="56">
        <f>$BP587-$BP588</f>
        <v/>
      </c>
      <c r="ED587" s="56">
        <f>$BQ587-$BQ588</f>
        <v/>
      </c>
      <c r="EE587" s="56">
        <f>$BR587-$BR588</f>
        <v/>
      </c>
      <c r="EF587" s="56">
        <f>$BS587-$BS588</f>
        <v/>
      </c>
      <c r="EG587" s="56">
        <f>$BT587-$BT588</f>
        <v/>
      </c>
      <c r="EH587" s="56">
        <f>$BU587-$BU588</f>
        <v/>
      </c>
    </row>
    <row r="588">
      <c r="BV588" s="56">
        <f>($D588-$D589)*100</f>
        <v/>
      </c>
      <c r="BW588" s="56">
        <f>($C588-$C589)*100</f>
        <v/>
      </c>
      <c r="BX588" s="57">
        <f>IFERROR($I588/$I589-1,"")</f>
        <v/>
      </c>
      <c r="BY588" s="56">
        <f>($AF588-$AF589)*100</f>
        <v/>
      </c>
      <c r="BZ588" s="56">
        <f>($AG588-$AG589)*100</f>
        <v/>
      </c>
      <c r="CA588" s="56">
        <f>($AH588-$AH589)*100</f>
        <v/>
      </c>
      <c r="CB588" s="56">
        <f>($AI588-$AI589)*100</f>
        <v/>
      </c>
      <c r="CC588" s="56">
        <f>($AJ588-$AJ589)*100</f>
        <v/>
      </c>
      <c r="CD588" s="56">
        <f>($AK588-$AK589)*100</f>
        <v/>
      </c>
      <c r="CE588" s="56">
        <f>($AL588-$AL589)*100</f>
        <v/>
      </c>
      <c r="CF588" s="56">
        <f>($AM588-$AM589)*100</f>
        <v/>
      </c>
      <c r="CG588" s="56">
        <f>($AN588-$AN589)*100</f>
        <v/>
      </c>
      <c r="CH588" s="56">
        <f>($AO588-$AO589)*100</f>
        <v/>
      </c>
      <c r="CI588" s="56">
        <f>($AP588-$AP589)*100</f>
        <v/>
      </c>
      <c r="CJ588" s="56">
        <f>($AQ588-$AQ589)*100</f>
        <v/>
      </c>
      <c r="CK588" s="56">
        <f>($AR588-$AR589)*100</f>
        <v/>
      </c>
      <c r="CL588" s="56">
        <f>($AS588-$AS589)*100</f>
        <v/>
      </c>
      <c r="CM588" s="56">
        <f>($AT588-$AT589)*100</f>
        <v/>
      </c>
      <c r="CN588" s="56">
        <f>($AU588-$AU589)*100</f>
        <v/>
      </c>
      <c r="CO588" s="56">
        <f>($AV588-$AV589)*100</f>
        <v/>
      </c>
      <c r="CP588" s="56">
        <f>($AW588-$AW589)*100</f>
        <v/>
      </c>
      <c r="CQ588" s="56">
        <f>($AX588-$AX589)*100</f>
        <v/>
      </c>
      <c r="CR588" s="56">
        <f>($AY588-$AY589)*100</f>
        <v/>
      </c>
      <c r="CS588" s="57">
        <f>IFERROR($L589/$L588-1,"")</f>
        <v/>
      </c>
      <c r="CT588" s="57">
        <f>IFERROR($M589/$M588-1,"")</f>
        <v/>
      </c>
      <c r="CU588" s="57">
        <f>IFERROR($N589/$N588-1,"")</f>
        <v/>
      </c>
      <c r="CV588" s="57">
        <f>IFERROR($O589/$O588-1,"")</f>
        <v/>
      </c>
      <c r="CW588" s="57">
        <f>IFERROR($P589/$P588-1,"")</f>
        <v/>
      </c>
      <c r="CX588" s="57">
        <f>IFERROR($Q589/$Q588-1,"")</f>
        <v/>
      </c>
      <c r="CY588" s="57">
        <f>IFERROR($R589/$R588-1,"")</f>
        <v/>
      </c>
      <c r="CZ588" s="57">
        <f>IFERROR($S589/$S588-1,"")</f>
        <v/>
      </c>
      <c r="DA588" s="57">
        <f>IFERROR($T589/$T588-1,"")</f>
        <v/>
      </c>
      <c r="DB588" s="57">
        <f>IFERROR($U589/$U588-1,"")</f>
        <v/>
      </c>
      <c r="DC588" s="57">
        <f>IFERROR($V589/$V588-1,"")</f>
        <v/>
      </c>
      <c r="DD588" s="57">
        <f>IFERROR($W589/$W588-1,"")</f>
        <v/>
      </c>
      <c r="DE588" s="57">
        <f>IFERROR($X589/$X588-1,"")</f>
        <v/>
      </c>
      <c r="DF588" s="57">
        <f>IFERROR($Y589/$Y588-1,"")</f>
        <v/>
      </c>
      <c r="DG588" s="57">
        <f>IFERROR($Z589/$Z588-1,"")</f>
        <v/>
      </c>
      <c r="DH588" s="57">
        <f>IFERROR($AA589/$AA588-1,"")</f>
        <v/>
      </c>
      <c r="DI588" s="57">
        <f>IFERROR($AB589/$AB588-1,"")</f>
        <v/>
      </c>
      <c r="DJ588" s="57">
        <f>IFERROR($AC589/$AC588-1,"")</f>
        <v/>
      </c>
      <c r="DK588" s="57">
        <f>IFERROR($AD589/$AD588-1,"")</f>
        <v/>
      </c>
      <c r="DL588" s="57">
        <f>IFERROR($AE589/$AE588-1,"")</f>
        <v/>
      </c>
      <c r="DM588" s="56">
        <f>$AZ588-$AZ589</f>
        <v/>
      </c>
      <c r="DN588" s="56">
        <f>$BA588-$BA589</f>
        <v/>
      </c>
      <c r="DO588" s="56">
        <f>$BB588-$BB589</f>
        <v/>
      </c>
      <c r="DP588" s="56">
        <f>$BC588-$BC589</f>
        <v/>
      </c>
      <c r="DQ588" s="56">
        <f>$BD588-$BD589</f>
        <v/>
      </c>
      <c r="DR588" s="56">
        <f>$BE588-$BE589</f>
        <v/>
      </c>
      <c r="DS588" s="56">
        <f>$BF588-$BF589</f>
        <v/>
      </c>
      <c r="DT588" s="56">
        <f>$BG588-$BG589</f>
        <v/>
      </c>
      <c r="DU588" s="56">
        <f>$BH588-$BH589</f>
        <v/>
      </c>
      <c r="DV588" s="56">
        <f>$BI588-$BI589</f>
        <v/>
      </c>
      <c r="DW588" s="56">
        <f>$BJ588-$BJ589</f>
        <v/>
      </c>
      <c r="DX588" s="56">
        <f>$BK588-$BK589</f>
        <v/>
      </c>
      <c r="DY588" s="56">
        <f>$BL588-$BL589</f>
        <v/>
      </c>
      <c r="DZ588" s="56">
        <f>$BM588-$BM589</f>
        <v/>
      </c>
      <c r="EA588" s="56">
        <f>$BN588-$BN589</f>
        <v/>
      </c>
      <c r="EB588" s="56">
        <f>$BO588-$BO589</f>
        <v/>
      </c>
      <c r="EC588" s="56">
        <f>$BP588-$BP589</f>
        <v/>
      </c>
      <c r="ED588" s="56">
        <f>$BQ588-$BQ589</f>
        <v/>
      </c>
      <c r="EE588" s="56">
        <f>$BR588-$BR589</f>
        <v/>
      </c>
      <c r="EF588" s="56">
        <f>$BS588-$BS589</f>
        <v/>
      </c>
      <c r="EG588" s="56">
        <f>$BT588-$BT589</f>
        <v/>
      </c>
      <c r="EH588" s="56">
        <f>$BU588-$BU589</f>
        <v/>
      </c>
    </row>
    <row r="589">
      <c r="BV589" s="56">
        <f>($D589-$D590)*100</f>
        <v/>
      </c>
      <c r="BW589" s="56">
        <f>($C589-$C590)*100</f>
        <v/>
      </c>
      <c r="BX589" s="57">
        <f>IFERROR($I589/$I590-1,"")</f>
        <v/>
      </c>
      <c r="BY589" s="56">
        <f>($AF589-$AF590)*100</f>
        <v/>
      </c>
      <c r="BZ589" s="56">
        <f>($AG589-$AG590)*100</f>
        <v/>
      </c>
      <c r="CA589" s="56">
        <f>($AH589-$AH590)*100</f>
        <v/>
      </c>
      <c r="CB589" s="56">
        <f>($AI589-$AI590)*100</f>
        <v/>
      </c>
      <c r="CC589" s="56">
        <f>($AJ589-$AJ590)*100</f>
        <v/>
      </c>
      <c r="CD589" s="56">
        <f>($AK589-$AK590)*100</f>
        <v/>
      </c>
      <c r="CE589" s="56">
        <f>($AL589-$AL590)*100</f>
        <v/>
      </c>
      <c r="CF589" s="56">
        <f>($AM589-$AM590)*100</f>
        <v/>
      </c>
      <c r="CG589" s="56">
        <f>($AN589-$AN590)*100</f>
        <v/>
      </c>
      <c r="CH589" s="56">
        <f>($AO589-$AO590)*100</f>
        <v/>
      </c>
      <c r="CI589" s="56">
        <f>($AP589-$AP590)*100</f>
        <v/>
      </c>
      <c r="CJ589" s="56">
        <f>($AQ589-$AQ590)*100</f>
        <v/>
      </c>
      <c r="CK589" s="56">
        <f>($AR589-$AR590)*100</f>
        <v/>
      </c>
      <c r="CL589" s="56">
        <f>($AS589-$AS590)*100</f>
        <v/>
      </c>
      <c r="CM589" s="56">
        <f>($AT589-$AT590)*100</f>
        <v/>
      </c>
      <c r="CN589" s="56">
        <f>($AU589-$AU590)*100</f>
        <v/>
      </c>
      <c r="CO589" s="56">
        <f>($AV589-$AV590)*100</f>
        <v/>
      </c>
      <c r="CP589" s="56">
        <f>($AW589-$AW590)*100</f>
        <v/>
      </c>
      <c r="CQ589" s="56">
        <f>($AX589-$AX590)*100</f>
        <v/>
      </c>
      <c r="CR589" s="56">
        <f>($AY589-$AY590)*100</f>
        <v/>
      </c>
      <c r="CS589" s="57">
        <f>IFERROR($L590/$L589-1,"")</f>
        <v/>
      </c>
      <c r="CT589" s="57">
        <f>IFERROR($M590/$M589-1,"")</f>
        <v/>
      </c>
      <c r="CU589" s="57">
        <f>IFERROR($N590/$N589-1,"")</f>
        <v/>
      </c>
      <c r="CV589" s="57">
        <f>IFERROR($O590/$O589-1,"")</f>
        <v/>
      </c>
      <c r="CW589" s="57">
        <f>IFERROR($P590/$P589-1,"")</f>
        <v/>
      </c>
      <c r="CX589" s="57">
        <f>IFERROR($Q590/$Q589-1,"")</f>
        <v/>
      </c>
      <c r="CY589" s="57">
        <f>IFERROR($R590/$R589-1,"")</f>
        <v/>
      </c>
      <c r="CZ589" s="57">
        <f>IFERROR($S590/$S589-1,"")</f>
        <v/>
      </c>
      <c r="DA589" s="57">
        <f>IFERROR($T590/$T589-1,"")</f>
        <v/>
      </c>
      <c r="DB589" s="57">
        <f>IFERROR($U590/$U589-1,"")</f>
        <v/>
      </c>
      <c r="DC589" s="57">
        <f>IFERROR($V590/$V589-1,"")</f>
        <v/>
      </c>
      <c r="DD589" s="57">
        <f>IFERROR($W590/$W589-1,"")</f>
        <v/>
      </c>
      <c r="DE589" s="57">
        <f>IFERROR($X590/$X589-1,"")</f>
        <v/>
      </c>
      <c r="DF589" s="57">
        <f>IFERROR($Y590/$Y589-1,"")</f>
        <v/>
      </c>
      <c r="DG589" s="57">
        <f>IFERROR($Z590/$Z589-1,"")</f>
        <v/>
      </c>
      <c r="DH589" s="57">
        <f>IFERROR($AA590/$AA589-1,"")</f>
        <v/>
      </c>
      <c r="DI589" s="57">
        <f>IFERROR($AB590/$AB589-1,"")</f>
        <v/>
      </c>
      <c r="DJ589" s="57">
        <f>IFERROR($AC590/$AC589-1,"")</f>
        <v/>
      </c>
      <c r="DK589" s="57">
        <f>IFERROR($AD590/$AD589-1,"")</f>
        <v/>
      </c>
      <c r="DL589" s="57">
        <f>IFERROR($AE590/$AE589-1,"")</f>
        <v/>
      </c>
      <c r="DM589" s="56">
        <f>$AZ589-$AZ590</f>
        <v/>
      </c>
      <c r="DN589" s="56">
        <f>$BA589-$BA590</f>
        <v/>
      </c>
      <c r="DO589" s="56">
        <f>$BB589-$BB590</f>
        <v/>
      </c>
      <c r="DP589" s="56">
        <f>$BC589-$BC590</f>
        <v/>
      </c>
      <c r="DQ589" s="56">
        <f>$BD589-$BD590</f>
        <v/>
      </c>
      <c r="DR589" s="56">
        <f>$BE589-$BE590</f>
        <v/>
      </c>
      <c r="DS589" s="56">
        <f>$BF589-$BF590</f>
        <v/>
      </c>
      <c r="DT589" s="56">
        <f>$BG589-$BG590</f>
        <v/>
      </c>
      <c r="DU589" s="56">
        <f>$BH589-$BH590</f>
        <v/>
      </c>
      <c r="DV589" s="56">
        <f>$BI589-$BI590</f>
        <v/>
      </c>
      <c r="DW589" s="56">
        <f>$BJ589-$BJ590</f>
        <v/>
      </c>
      <c r="DX589" s="56">
        <f>$BK589-$BK590</f>
        <v/>
      </c>
      <c r="DY589" s="56">
        <f>$BL589-$BL590</f>
        <v/>
      </c>
      <c r="DZ589" s="56">
        <f>$BM589-$BM590</f>
        <v/>
      </c>
      <c r="EA589" s="56">
        <f>$BN589-$BN590</f>
        <v/>
      </c>
      <c r="EB589" s="56">
        <f>$BO589-$BO590</f>
        <v/>
      </c>
      <c r="EC589" s="56">
        <f>$BP589-$BP590</f>
        <v/>
      </c>
      <c r="ED589" s="56">
        <f>$BQ589-$BQ590</f>
        <v/>
      </c>
      <c r="EE589" s="56">
        <f>$BR589-$BR590</f>
        <v/>
      </c>
      <c r="EF589" s="56">
        <f>$BS589-$BS590</f>
        <v/>
      </c>
      <c r="EG589" s="56">
        <f>$BT589-$BT590</f>
        <v/>
      </c>
      <c r="EH589" s="56">
        <f>$BU589-$BU590</f>
        <v/>
      </c>
    </row>
    <row r="590">
      <c r="BV590" s="56">
        <f>($D590-$D591)*100</f>
        <v/>
      </c>
      <c r="BW590" s="56">
        <f>($C590-$C591)*100</f>
        <v/>
      </c>
      <c r="BX590" s="57">
        <f>IFERROR($I590/$I591-1,"")</f>
        <v/>
      </c>
      <c r="BY590" s="56">
        <f>($AF590-$AF591)*100</f>
        <v/>
      </c>
      <c r="BZ590" s="56">
        <f>($AG590-$AG591)*100</f>
        <v/>
      </c>
      <c r="CA590" s="56">
        <f>($AH590-$AH591)*100</f>
        <v/>
      </c>
      <c r="CB590" s="56">
        <f>($AI590-$AI591)*100</f>
        <v/>
      </c>
      <c r="CC590" s="56">
        <f>($AJ590-$AJ591)*100</f>
        <v/>
      </c>
      <c r="CD590" s="56">
        <f>($AK590-$AK591)*100</f>
        <v/>
      </c>
      <c r="CE590" s="56">
        <f>($AL590-$AL591)*100</f>
        <v/>
      </c>
      <c r="CF590" s="56">
        <f>($AM590-$AM591)*100</f>
        <v/>
      </c>
      <c r="CG590" s="56">
        <f>($AN590-$AN591)*100</f>
        <v/>
      </c>
      <c r="CH590" s="56">
        <f>($AO590-$AO591)*100</f>
        <v/>
      </c>
      <c r="CI590" s="56">
        <f>($AP590-$AP591)*100</f>
        <v/>
      </c>
      <c r="CJ590" s="56">
        <f>($AQ590-$AQ591)*100</f>
        <v/>
      </c>
      <c r="CK590" s="56">
        <f>($AR590-$AR591)*100</f>
        <v/>
      </c>
      <c r="CL590" s="56">
        <f>($AS590-$AS591)*100</f>
        <v/>
      </c>
      <c r="CM590" s="56">
        <f>($AT590-$AT591)*100</f>
        <v/>
      </c>
      <c r="CN590" s="56">
        <f>($AU590-$AU591)*100</f>
        <v/>
      </c>
      <c r="CO590" s="56">
        <f>($AV590-$AV591)*100</f>
        <v/>
      </c>
      <c r="CP590" s="56">
        <f>($AW590-$AW591)*100</f>
        <v/>
      </c>
      <c r="CQ590" s="56">
        <f>($AX590-$AX591)*100</f>
        <v/>
      </c>
      <c r="CR590" s="56">
        <f>($AY590-$AY591)*100</f>
        <v/>
      </c>
      <c r="CS590" s="57">
        <f>IFERROR($L591/$L590-1,"")</f>
        <v/>
      </c>
      <c r="CT590" s="57">
        <f>IFERROR($M591/$M590-1,"")</f>
        <v/>
      </c>
      <c r="CU590" s="57">
        <f>IFERROR($N591/$N590-1,"")</f>
        <v/>
      </c>
      <c r="CV590" s="57">
        <f>IFERROR($O591/$O590-1,"")</f>
        <v/>
      </c>
      <c r="CW590" s="57">
        <f>IFERROR($P591/$P590-1,"")</f>
        <v/>
      </c>
      <c r="CX590" s="57">
        <f>IFERROR($Q591/$Q590-1,"")</f>
        <v/>
      </c>
      <c r="CY590" s="57">
        <f>IFERROR($R591/$R590-1,"")</f>
        <v/>
      </c>
      <c r="CZ590" s="57">
        <f>IFERROR($S591/$S590-1,"")</f>
        <v/>
      </c>
      <c r="DA590" s="57">
        <f>IFERROR($T591/$T590-1,"")</f>
        <v/>
      </c>
      <c r="DB590" s="57">
        <f>IFERROR($U591/$U590-1,"")</f>
        <v/>
      </c>
      <c r="DC590" s="57">
        <f>IFERROR($V591/$V590-1,"")</f>
        <v/>
      </c>
      <c r="DD590" s="57">
        <f>IFERROR($W591/$W590-1,"")</f>
        <v/>
      </c>
      <c r="DE590" s="57">
        <f>IFERROR($X591/$X590-1,"")</f>
        <v/>
      </c>
      <c r="DF590" s="57">
        <f>IFERROR($Y591/$Y590-1,"")</f>
        <v/>
      </c>
      <c r="DG590" s="57">
        <f>IFERROR($Z591/$Z590-1,"")</f>
        <v/>
      </c>
      <c r="DH590" s="57">
        <f>IFERROR($AA591/$AA590-1,"")</f>
        <v/>
      </c>
      <c r="DI590" s="57">
        <f>IFERROR($AB591/$AB590-1,"")</f>
        <v/>
      </c>
      <c r="DJ590" s="57">
        <f>IFERROR($AC591/$AC590-1,"")</f>
        <v/>
      </c>
      <c r="DK590" s="57">
        <f>IFERROR($AD591/$AD590-1,"")</f>
        <v/>
      </c>
      <c r="DL590" s="57">
        <f>IFERROR($AE591/$AE590-1,"")</f>
        <v/>
      </c>
      <c r="DM590" s="56">
        <f>$AZ590-$AZ591</f>
        <v/>
      </c>
      <c r="DN590" s="56">
        <f>$BA590-$BA591</f>
        <v/>
      </c>
      <c r="DO590" s="56">
        <f>$BB590-$BB591</f>
        <v/>
      </c>
      <c r="DP590" s="56">
        <f>$BC590-$BC591</f>
        <v/>
      </c>
      <c r="DQ590" s="56">
        <f>$BD590-$BD591</f>
        <v/>
      </c>
      <c r="DR590" s="56">
        <f>$BE590-$BE591</f>
        <v/>
      </c>
      <c r="DS590" s="56">
        <f>$BF590-$BF591</f>
        <v/>
      </c>
      <c r="DT590" s="56">
        <f>$BG590-$BG591</f>
        <v/>
      </c>
      <c r="DU590" s="56">
        <f>$BH590-$BH591</f>
        <v/>
      </c>
      <c r="DV590" s="56">
        <f>$BI590-$BI591</f>
        <v/>
      </c>
      <c r="DW590" s="56">
        <f>$BJ590-$BJ591</f>
        <v/>
      </c>
      <c r="DX590" s="56">
        <f>$BK590-$BK591</f>
        <v/>
      </c>
      <c r="DY590" s="56">
        <f>$BL590-$BL591</f>
        <v/>
      </c>
      <c r="DZ590" s="56">
        <f>$BM590-$BM591</f>
        <v/>
      </c>
      <c r="EA590" s="56">
        <f>$BN590-$BN591</f>
        <v/>
      </c>
      <c r="EB590" s="56">
        <f>$BO590-$BO591</f>
        <v/>
      </c>
      <c r="EC590" s="56">
        <f>$BP590-$BP591</f>
        <v/>
      </c>
      <c r="ED590" s="56">
        <f>$BQ590-$BQ591</f>
        <v/>
      </c>
      <c r="EE590" s="56">
        <f>$BR590-$BR591</f>
        <v/>
      </c>
      <c r="EF590" s="56">
        <f>$BS590-$BS591</f>
        <v/>
      </c>
      <c r="EG590" s="56">
        <f>$BT590-$BT591</f>
        <v/>
      </c>
      <c r="EH590" s="56">
        <f>$BU590-$BU591</f>
        <v/>
      </c>
    </row>
    <row r="591">
      <c r="BV591" s="56">
        <f>($D591-$D592)*100</f>
        <v/>
      </c>
      <c r="BW591" s="56">
        <f>($C591-$C592)*100</f>
        <v/>
      </c>
      <c r="BX591" s="57">
        <f>IFERROR($I591/$I592-1,"")</f>
        <v/>
      </c>
      <c r="BY591" s="56">
        <f>($AF591-$AF592)*100</f>
        <v/>
      </c>
      <c r="BZ591" s="56">
        <f>($AG591-$AG592)*100</f>
        <v/>
      </c>
      <c r="CA591" s="56">
        <f>($AH591-$AH592)*100</f>
        <v/>
      </c>
      <c r="CB591" s="56">
        <f>($AI591-$AI592)*100</f>
        <v/>
      </c>
      <c r="CC591" s="56">
        <f>($AJ591-$AJ592)*100</f>
        <v/>
      </c>
      <c r="CD591" s="56">
        <f>($AK591-$AK592)*100</f>
        <v/>
      </c>
      <c r="CE591" s="56">
        <f>($AL591-$AL592)*100</f>
        <v/>
      </c>
      <c r="CF591" s="56">
        <f>($AM591-$AM592)*100</f>
        <v/>
      </c>
      <c r="CG591" s="56">
        <f>($AN591-$AN592)*100</f>
        <v/>
      </c>
      <c r="CH591" s="56">
        <f>($AO591-$AO592)*100</f>
        <v/>
      </c>
      <c r="CI591" s="56">
        <f>($AP591-$AP592)*100</f>
        <v/>
      </c>
      <c r="CJ591" s="56">
        <f>($AQ591-$AQ592)*100</f>
        <v/>
      </c>
      <c r="CK591" s="56">
        <f>($AR591-$AR592)*100</f>
        <v/>
      </c>
      <c r="CL591" s="56">
        <f>($AS591-$AS592)*100</f>
        <v/>
      </c>
      <c r="CM591" s="56">
        <f>($AT591-$AT592)*100</f>
        <v/>
      </c>
      <c r="CN591" s="56">
        <f>($AU591-$AU592)*100</f>
        <v/>
      </c>
      <c r="CO591" s="56">
        <f>($AV591-$AV592)*100</f>
        <v/>
      </c>
      <c r="CP591" s="56">
        <f>($AW591-$AW592)*100</f>
        <v/>
      </c>
      <c r="CQ591" s="56">
        <f>($AX591-$AX592)*100</f>
        <v/>
      </c>
      <c r="CR591" s="56">
        <f>($AY591-$AY592)*100</f>
        <v/>
      </c>
      <c r="CS591" s="57">
        <f>IFERROR($L592/$L591-1,"")</f>
        <v/>
      </c>
      <c r="CT591" s="57">
        <f>IFERROR($M592/$M591-1,"")</f>
        <v/>
      </c>
      <c r="CU591" s="57">
        <f>IFERROR($N592/$N591-1,"")</f>
        <v/>
      </c>
      <c r="CV591" s="57">
        <f>IFERROR($O592/$O591-1,"")</f>
        <v/>
      </c>
      <c r="CW591" s="57">
        <f>IFERROR($P592/$P591-1,"")</f>
        <v/>
      </c>
      <c r="CX591" s="57">
        <f>IFERROR($Q592/$Q591-1,"")</f>
        <v/>
      </c>
      <c r="CY591" s="57">
        <f>IFERROR($R592/$R591-1,"")</f>
        <v/>
      </c>
      <c r="CZ591" s="57">
        <f>IFERROR($S592/$S591-1,"")</f>
        <v/>
      </c>
      <c r="DA591" s="57">
        <f>IFERROR($T592/$T591-1,"")</f>
        <v/>
      </c>
      <c r="DB591" s="57">
        <f>IFERROR($U592/$U591-1,"")</f>
        <v/>
      </c>
      <c r="DC591" s="57">
        <f>IFERROR($V592/$V591-1,"")</f>
        <v/>
      </c>
      <c r="DD591" s="57">
        <f>IFERROR($W592/$W591-1,"")</f>
        <v/>
      </c>
      <c r="DE591" s="57">
        <f>IFERROR($X592/$X591-1,"")</f>
        <v/>
      </c>
      <c r="DF591" s="57">
        <f>IFERROR($Y592/$Y591-1,"")</f>
        <v/>
      </c>
      <c r="DG591" s="57">
        <f>IFERROR($Z592/$Z591-1,"")</f>
        <v/>
      </c>
      <c r="DH591" s="57">
        <f>IFERROR($AA592/$AA591-1,"")</f>
        <v/>
      </c>
      <c r="DI591" s="57">
        <f>IFERROR($AB592/$AB591-1,"")</f>
        <v/>
      </c>
      <c r="DJ591" s="57">
        <f>IFERROR($AC592/$AC591-1,"")</f>
        <v/>
      </c>
      <c r="DK591" s="57">
        <f>IFERROR($AD592/$AD591-1,"")</f>
        <v/>
      </c>
      <c r="DL591" s="57">
        <f>IFERROR($AE592/$AE591-1,"")</f>
        <v/>
      </c>
      <c r="DM591" s="56">
        <f>$AZ591-$AZ592</f>
        <v/>
      </c>
      <c r="DN591" s="56">
        <f>$BA591-$BA592</f>
        <v/>
      </c>
      <c r="DO591" s="56">
        <f>$BB591-$BB592</f>
        <v/>
      </c>
      <c r="DP591" s="56">
        <f>$BC591-$BC592</f>
        <v/>
      </c>
      <c r="DQ591" s="56">
        <f>$BD591-$BD592</f>
        <v/>
      </c>
      <c r="DR591" s="56">
        <f>$BE591-$BE592</f>
        <v/>
      </c>
      <c r="DS591" s="56">
        <f>$BF591-$BF592</f>
        <v/>
      </c>
      <c r="DT591" s="56">
        <f>$BG591-$BG592</f>
        <v/>
      </c>
      <c r="DU591" s="56">
        <f>$BH591-$BH592</f>
        <v/>
      </c>
      <c r="DV591" s="56">
        <f>$BI591-$BI592</f>
        <v/>
      </c>
      <c r="DW591" s="56">
        <f>$BJ591-$BJ592</f>
        <v/>
      </c>
      <c r="DX591" s="56">
        <f>$BK591-$BK592</f>
        <v/>
      </c>
      <c r="DY591" s="56">
        <f>$BL591-$BL592</f>
        <v/>
      </c>
      <c r="DZ591" s="56">
        <f>$BM591-$BM592</f>
        <v/>
      </c>
      <c r="EA591" s="56">
        <f>$BN591-$BN592</f>
        <v/>
      </c>
      <c r="EB591" s="56">
        <f>$BO591-$BO592</f>
        <v/>
      </c>
      <c r="EC591" s="56">
        <f>$BP591-$BP592</f>
        <v/>
      </c>
      <c r="ED591" s="56">
        <f>$BQ591-$BQ592</f>
        <v/>
      </c>
      <c r="EE591" s="56">
        <f>$BR591-$BR592</f>
        <v/>
      </c>
      <c r="EF591" s="56">
        <f>$BS591-$BS592</f>
        <v/>
      </c>
      <c r="EG591" s="56">
        <f>$BT591-$BT592</f>
        <v/>
      </c>
      <c r="EH591" s="56">
        <f>$BU591-$BU592</f>
        <v/>
      </c>
    </row>
    <row r="592">
      <c r="BV592" s="56">
        <f>($D592-$D593)*100</f>
        <v/>
      </c>
      <c r="BW592" s="56">
        <f>($C592-$C593)*100</f>
        <v/>
      </c>
      <c r="BX592" s="57">
        <f>IFERROR($I592/$I593-1,"")</f>
        <v/>
      </c>
      <c r="BY592" s="56">
        <f>($AF592-$AF593)*100</f>
        <v/>
      </c>
      <c r="BZ592" s="56">
        <f>($AG592-$AG593)*100</f>
        <v/>
      </c>
      <c r="CA592" s="56">
        <f>($AH592-$AH593)*100</f>
        <v/>
      </c>
      <c r="CB592" s="56">
        <f>($AI592-$AI593)*100</f>
        <v/>
      </c>
      <c r="CC592" s="56">
        <f>($AJ592-$AJ593)*100</f>
        <v/>
      </c>
      <c r="CD592" s="56">
        <f>($AK592-$AK593)*100</f>
        <v/>
      </c>
      <c r="CE592" s="56">
        <f>($AL592-$AL593)*100</f>
        <v/>
      </c>
      <c r="CF592" s="56">
        <f>($AM592-$AM593)*100</f>
        <v/>
      </c>
      <c r="CG592" s="56">
        <f>($AN592-$AN593)*100</f>
        <v/>
      </c>
      <c r="CH592" s="56">
        <f>($AO592-$AO593)*100</f>
        <v/>
      </c>
      <c r="CI592" s="56">
        <f>($AP592-$AP593)*100</f>
        <v/>
      </c>
      <c r="CJ592" s="56">
        <f>($AQ592-$AQ593)*100</f>
        <v/>
      </c>
      <c r="CK592" s="56">
        <f>($AR592-$AR593)*100</f>
        <v/>
      </c>
      <c r="CL592" s="56">
        <f>($AS592-$AS593)*100</f>
        <v/>
      </c>
      <c r="CM592" s="56">
        <f>($AT592-$AT593)*100</f>
        <v/>
      </c>
      <c r="CN592" s="56">
        <f>($AU592-$AU593)*100</f>
        <v/>
      </c>
      <c r="CO592" s="56">
        <f>($AV592-$AV593)*100</f>
        <v/>
      </c>
      <c r="CP592" s="56">
        <f>($AW592-$AW593)*100</f>
        <v/>
      </c>
      <c r="CQ592" s="56">
        <f>($AX592-$AX593)*100</f>
        <v/>
      </c>
      <c r="CR592" s="56">
        <f>($AY592-$AY593)*100</f>
        <v/>
      </c>
      <c r="CS592" s="57">
        <f>IFERROR($L593/$L592-1,"")</f>
        <v/>
      </c>
      <c r="CT592" s="57">
        <f>IFERROR($M593/$M592-1,"")</f>
        <v/>
      </c>
      <c r="CU592" s="57">
        <f>IFERROR($N593/$N592-1,"")</f>
        <v/>
      </c>
      <c r="CV592" s="57">
        <f>IFERROR($O593/$O592-1,"")</f>
        <v/>
      </c>
      <c r="CW592" s="57">
        <f>IFERROR($P593/$P592-1,"")</f>
        <v/>
      </c>
      <c r="CX592" s="57">
        <f>IFERROR($Q593/$Q592-1,"")</f>
        <v/>
      </c>
      <c r="CY592" s="57">
        <f>IFERROR($R593/$R592-1,"")</f>
        <v/>
      </c>
      <c r="CZ592" s="57">
        <f>IFERROR($S593/$S592-1,"")</f>
        <v/>
      </c>
      <c r="DA592" s="57">
        <f>IFERROR($T593/$T592-1,"")</f>
        <v/>
      </c>
      <c r="DB592" s="57">
        <f>IFERROR($U593/$U592-1,"")</f>
        <v/>
      </c>
      <c r="DC592" s="57">
        <f>IFERROR($V593/$V592-1,"")</f>
        <v/>
      </c>
      <c r="DD592" s="57">
        <f>IFERROR($W593/$W592-1,"")</f>
        <v/>
      </c>
      <c r="DE592" s="57">
        <f>IFERROR($X593/$X592-1,"")</f>
        <v/>
      </c>
      <c r="DF592" s="57">
        <f>IFERROR($Y593/$Y592-1,"")</f>
        <v/>
      </c>
      <c r="DG592" s="57">
        <f>IFERROR($Z593/$Z592-1,"")</f>
        <v/>
      </c>
      <c r="DH592" s="57">
        <f>IFERROR($AA593/$AA592-1,"")</f>
        <v/>
      </c>
      <c r="DI592" s="57">
        <f>IFERROR($AB593/$AB592-1,"")</f>
        <v/>
      </c>
      <c r="DJ592" s="57">
        <f>IFERROR($AC593/$AC592-1,"")</f>
        <v/>
      </c>
      <c r="DK592" s="57">
        <f>IFERROR($AD593/$AD592-1,"")</f>
        <v/>
      </c>
      <c r="DL592" s="57">
        <f>IFERROR($AE593/$AE592-1,"")</f>
        <v/>
      </c>
      <c r="DM592" s="56">
        <f>$AZ592-$AZ593</f>
        <v/>
      </c>
      <c r="DN592" s="56">
        <f>$BA592-$BA593</f>
        <v/>
      </c>
      <c r="DO592" s="56">
        <f>$BB592-$BB593</f>
        <v/>
      </c>
      <c r="DP592" s="56">
        <f>$BC592-$BC593</f>
        <v/>
      </c>
      <c r="DQ592" s="56">
        <f>$BD592-$BD593</f>
        <v/>
      </c>
      <c r="DR592" s="56">
        <f>$BE592-$BE593</f>
        <v/>
      </c>
      <c r="DS592" s="56">
        <f>$BF592-$BF593</f>
        <v/>
      </c>
      <c r="DT592" s="56">
        <f>$BG592-$BG593</f>
        <v/>
      </c>
      <c r="DU592" s="56">
        <f>$BH592-$BH593</f>
        <v/>
      </c>
      <c r="DV592" s="56">
        <f>$BI592-$BI593</f>
        <v/>
      </c>
      <c r="DW592" s="56">
        <f>$BJ592-$BJ593</f>
        <v/>
      </c>
      <c r="DX592" s="56">
        <f>$BK592-$BK593</f>
        <v/>
      </c>
      <c r="DY592" s="56">
        <f>$BL592-$BL593</f>
        <v/>
      </c>
      <c r="DZ592" s="56">
        <f>$BM592-$BM593</f>
        <v/>
      </c>
      <c r="EA592" s="56">
        <f>$BN592-$BN593</f>
        <v/>
      </c>
      <c r="EB592" s="56">
        <f>$BO592-$BO593</f>
        <v/>
      </c>
      <c r="EC592" s="56">
        <f>$BP592-$BP593</f>
        <v/>
      </c>
      <c r="ED592" s="56">
        <f>$BQ592-$BQ593</f>
        <v/>
      </c>
      <c r="EE592" s="56">
        <f>$BR592-$BR593</f>
        <v/>
      </c>
      <c r="EF592" s="56">
        <f>$BS592-$BS593</f>
        <v/>
      </c>
      <c r="EG592" s="56">
        <f>$BT592-$BT593</f>
        <v/>
      </c>
      <c r="EH592" s="56">
        <f>$BU592-$BU593</f>
        <v/>
      </c>
    </row>
    <row r="593">
      <c r="BV593" s="56">
        <f>($D593-$D594)*100</f>
        <v/>
      </c>
      <c r="BW593" s="56">
        <f>($C593-$C594)*100</f>
        <v/>
      </c>
      <c r="BX593" s="57">
        <f>IFERROR($I593/$I594-1,"")</f>
        <v/>
      </c>
      <c r="BY593" s="56">
        <f>($AF593-$AF594)*100</f>
        <v/>
      </c>
      <c r="BZ593" s="56">
        <f>($AG593-$AG594)*100</f>
        <v/>
      </c>
      <c r="CA593" s="56">
        <f>($AH593-$AH594)*100</f>
        <v/>
      </c>
      <c r="CB593" s="56">
        <f>($AI593-$AI594)*100</f>
        <v/>
      </c>
      <c r="CC593" s="56">
        <f>($AJ593-$AJ594)*100</f>
        <v/>
      </c>
      <c r="CD593" s="56">
        <f>($AK593-$AK594)*100</f>
        <v/>
      </c>
      <c r="CE593" s="56">
        <f>($AL593-$AL594)*100</f>
        <v/>
      </c>
      <c r="CF593" s="56">
        <f>($AM593-$AM594)*100</f>
        <v/>
      </c>
      <c r="CG593" s="56">
        <f>($AN593-$AN594)*100</f>
        <v/>
      </c>
      <c r="CH593" s="56">
        <f>($AO593-$AO594)*100</f>
        <v/>
      </c>
      <c r="CI593" s="56">
        <f>($AP593-$AP594)*100</f>
        <v/>
      </c>
      <c r="CJ593" s="56">
        <f>($AQ593-$AQ594)*100</f>
        <v/>
      </c>
      <c r="CK593" s="56">
        <f>($AR593-$AR594)*100</f>
        <v/>
      </c>
      <c r="CL593" s="56">
        <f>($AS593-$AS594)*100</f>
        <v/>
      </c>
      <c r="CM593" s="56">
        <f>($AT593-$AT594)*100</f>
        <v/>
      </c>
      <c r="CN593" s="56">
        <f>($AU593-$AU594)*100</f>
        <v/>
      </c>
      <c r="CO593" s="56">
        <f>($AV593-$AV594)*100</f>
        <v/>
      </c>
      <c r="CP593" s="56">
        <f>($AW593-$AW594)*100</f>
        <v/>
      </c>
      <c r="CQ593" s="56">
        <f>($AX593-$AX594)*100</f>
        <v/>
      </c>
      <c r="CR593" s="56">
        <f>($AY593-$AY594)*100</f>
        <v/>
      </c>
      <c r="CS593" s="57">
        <f>IFERROR($L594/$L593-1,"")</f>
        <v/>
      </c>
      <c r="CT593" s="57">
        <f>IFERROR($M594/$M593-1,"")</f>
        <v/>
      </c>
      <c r="CU593" s="57">
        <f>IFERROR($N594/$N593-1,"")</f>
        <v/>
      </c>
      <c r="CV593" s="57">
        <f>IFERROR($O594/$O593-1,"")</f>
        <v/>
      </c>
      <c r="CW593" s="57">
        <f>IFERROR($P594/$P593-1,"")</f>
        <v/>
      </c>
      <c r="CX593" s="57">
        <f>IFERROR($Q594/$Q593-1,"")</f>
        <v/>
      </c>
      <c r="CY593" s="57">
        <f>IFERROR($R594/$R593-1,"")</f>
        <v/>
      </c>
      <c r="CZ593" s="57">
        <f>IFERROR($S594/$S593-1,"")</f>
        <v/>
      </c>
      <c r="DA593" s="57">
        <f>IFERROR($T594/$T593-1,"")</f>
        <v/>
      </c>
      <c r="DB593" s="57">
        <f>IFERROR($U594/$U593-1,"")</f>
        <v/>
      </c>
      <c r="DC593" s="57">
        <f>IFERROR($V594/$V593-1,"")</f>
        <v/>
      </c>
      <c r="DD593" s="57">
        <f>IFERROR($W594/$W593-1,"")</f>
        <v/>
      </c>
      <c r="DE593" s="57">
        <f>IFERROR($X594/$X593-1,"")</f>
        <v/>
      </c>
      <c r="DF593" s="57">
        <f>IFERROR($Y594/$Y593-1,"")</f>
        <v/>
      </c>
      <c r="DG593" s="57">
        <f>IFERROR($Z594/$Z593-1,"")</f>
        <v/>
      </c>
      <c r="DH593" s="57">
        <f>IFERROR($AA594/$AA593-1,"")</f>
        <v/>
      </c>
      <c r="DI593" s="57">
        <f>IFERROR($AB594/$AB593-1,"")</f>
        <v/>
      </c>
      <c r="DJ593" s="57">
        <f>IFERROR($AC594/$AC593-1,"")</f>
        <v/>
      </c>
      <c r="DK593" s="57">
        <f>IFERROR($AD594/$AD593-1,"")</f>
        <v/>
      </c>
      <c r="DL593" s="57">
        <f>IFERROR($AE594/$AE593-1,"")</f>
        <v/>
      </c>
      <c r="DM593" s="56">
        <f>$AZ593-$AZ594</f>
        <v/>
      </c>
      <c r="DN593" s="56">
        <f>$BA593-$BA594</f>
        <v/>
      </c>
      <c r="DO593" s="56">
        <f>$BB593-$BB594</f>
        <v/>
      </c>
      <c r="DP593" s="56">
        <f>$BC593-$BC594</f>
        <v/>
      </c>
      <c r="DQ593" s="56">
        <f>$BD593-$BD594</f>
        <v/>
      </c>
      <c r="DR593" s="56">
        <f>$BE593-$BE594</f>
        <v/>
      </c>
      <c r="DS593" s="56">
        <f>$BF593-$BF594</f>
        <v/>
      </c>
      <c r="DT593" s="56">
        <f>$BG593-$BG594</f>
        <v/>
      </c>
      <c r="DU593" s="56">
        <f>$BH593-$BH594</f>
        <v/>
      </c>
      <c r="DV593" s="56">
        <f>$BI593-$BI594</f>
        <v/>
      </c>
      <c r="DW593" s="56">
        <f>$BJ593-$BJ594</f>
        <v/>
      </c>
      <c r="DX593" s="56">
        <f>$BK593-$BK594</f>
        <v/>
      </c>
      <c r="DY593" s="56">
        <f>$BL593-$BL594</f>
        <v/>
      </c>
      <c r="DZ593" s="56">
        <f>$BM593-$BM594</f>
        <v/>
      </c>
      <c r="EA593" s="56">
        <f>$BN593-$BN594</f>
        <v/>
      </c>
      <c r="EB593" s="56">
        <f>$BO593-$BO594</f>
        <v/>
      </c>
      <c r="EC593" s="56">
        <f>$BP593-$BP594</f>
        <v/>
      </c>
      <c r="ED593" s="56">
        <f>$BQ593-$BQ594</f>
        <v/>
      </c>
      <c r="EE593" s="56">
        <f>$BR593-$BR594</f>
        <v/>
      </c>
      <c r="EF593" s="56">
        <f>$BS593-$BS594</f>
        <v/>
      </c>
      <c r="EG593" s="56">
        <f>$BT593-$BT594</f>
        <v/>
      </c>
      <c r="EH593" s="56">
        <f>$BU593-$BU594</f>
        <v/>
      </c>
    </row>
    <row r="594">
      <c r="BV594" s="56">
        <f>($D594-$D595)*100</f>
        <v/>
      </c>
      <c r="BW594" s="56">
        <f>($C594-$C595)*100</f>
        <v/>
      </c>
      <c r="BX594" s="57">
        <f>IFERROR($I594/$I595-1,"")</f>
        <v/>
      </c>
      <c r="BY594" s="56">
        <f>($AF594-$AF595)*100</f>
        <v/>
      </c>
      <c r="BZ594" s="56">
        <f>($AG594-$AG595)*100</f>
        <v/>
      </c>
      <c r="CA594" s="56">
        <f>($AH594-$AH595)*100</f>
        <v/>
      </c>
      <c r="CB594" s="56">
        <f>($AI594-$AI595)*100</f>
        <v/>
      </c>
      <c r="CC594" s="56">
        <f>($AJ594-$AJ595)*100</f>
        <v/>
      </c>
      <c r="CD594" s="56">
        <f>($AK594-$AK595)*100</f>
        <v/>
      </c>
      <c r="CE594" s="56">
        <f>($AL594-$AL595)*100</f>
        <v/>
      </c>
      <c r="CF594" s="56">
        <f>($AM594-$AM595)*100</f>
        <v/>
      </c>
      <c r="CG594" s="56">
        <f>($AN594-$AN595)*100</f>
        <v/>
      </c>
      <c r="CH594" s="56">
        <f>($AO594-$AO595)*100</f>
        <v/>
      </c>
      <c r="CI594" s="56">
        <f>($AP594-$AP595)*100</f>
        <v/>
      </c>
      <c r="CJ594" s="56">
        <f>($AQ594-$AQ595)*100</f>
        <v/>
      </c>
      <c r="CK594" s="56">
        <f>($AR594-$AR595)*100</f>
        <v/>
      </c>
      <c r="CL594" s="56">
        <f>($AS594-$AS595)*100</f>
        <v/>
      </c>
      <c r="CM594" s="56">
        <f>($AT594-$AT595)*100</f>
        <v/>
      </c>
      <c r="CN594" s="56">
        <f>($AU594-$AU595)*100</f>
        <v/>
      </c>
      <c r="CO594" s="56">
        <f>($AV594-$AV595)*100</f>
        <v/>
      </c>
      <c r="CP594" s="56">
        <f>($AW594-$AW595)*100</f>
        <v/>
      </c>
      <c r="CQ594" s="56">
        <f>($AX594-$AX595)*100</f>
        <v/>
      </c>
      <c r="CR594" s="56">
        <f>($AY594-$AY595)*100</f>
        <v/>
      </c>
      <c r="CS594" s="57">
        <f>IFERROR($L595/$L594-1,"")</f>
        <v/>
      </c>
      <c r="CT594" s="57">
        <f>IFERROR($M595/$M594-1,"")</f>
        <v/>
      </c>
      <c r="CU594" s="57">
        <f>IFERROR($N595/$N594-1,"")</f>
        <v/>
      </c>
      <c r="CV594" s="57">
        <f>IFERROR($O595/$O594-1,"")</f>
        <v/>
      </c>
      <c r="CW594" s="57">
        <f>IFERROR($P595/$P594-1,"")</f>
        <v/>
      </c>
      <c r="CX594" s="57">
        <f>IFERROR($Q595/$Q594-1,"")</f>
        <v/>
      </c>
      <c r="CY594" s="57">
        <f>IFERROR($R595/$R594-1,"")</f>
        <v/>
      </c>
      <c r="CZ594" s="57">
        <f>IFERROR($S595/$S594-1,"")</f>
        <v/>
      </c>
      <c r="DA594" s="57">
        <f>IFERROR($T595/$T594-1,"")</f>
        <v/>
      </c>
      <c r="DB594" s="57">
        <f>IFERROR($U595/$U594-1,"")</f>
        <v/>
      </c>
      <c r="DC594" s="57">
        <f>IFERROR($V595/$V594-1,"")</f>
        <v/>
      </c>
      <c r="DD594" s="57">
        <f>IFERROR($W595/$W594-1,"")</f>
        <v/>
      </c>
      <c r="DE594" s="57">
        <f>IFERROR($X595/$X594-1,"")</f>
        <v/>
      </c>
      <c r="DF594" s="57">
        <f>IFERROR($Y595/$Y594-1,"")</f>
        <v/>
      </c>
      <c r="DG594" s="57">
        <f>IFERROR($Z595/$Z594-1,"")</f>
        <v/>
      </c>
      <c r="DH594" s="57">
        <f>IFERROR($AA595/$AA594-1,"")</f>
        <v/>
      </c>
      <c r="DI594" s="57">
        <f>IFERROR($AB595/$AB594-1,"")</f>
        <v/>
      </c>
      <c r="DJ594" s="57">
        <f>IFERROR($AC595/$AC594-1,"")</f>
        <v/>
      </c>
      <c r="DK594" s="57">
        <f>IFERROR($AD595/$AD594-1,"")</f>
        <v/>
      </c>
      <c r="DL594" s="57">
        <f>IFERROR($AE595/$AE594-1,"")</f>
        <v/>
      </c>
      <c r="DM594" s="56">
        <f>$AZ594-$AZ595</f>
        <v/>
      </c>
      <c r="DN594" s="56">
        <f>$BA594-$BA595</f>
        <v/>
      </c>
      <c r="DO594" s="56">
        <f>$BB594-$BB595</f>
        <v/>
      </c>
      <c r="DP594" s="56">
        <f>$BC594-$BC595</f>
        <v/>
      </c>
      <c r="DQ594" s="56">
        <f>$BD594-$BD595</f>
        <v/>
      </c>
      <c r="DR594" s="56">
        <f>$BE594-$BE595</f>
        <v/>
      </c>
      <c r="DS594" s="56">
        <f>$BF594-$BF595</f>
        <v/>
      </c>
      <c r="DT594" s="56">
        <f>$BG594-$BG595</f>
        <v/>
      </c>
      <c r="DU594" s="56">
        <f>$BH594-$BH595</f>
        <v/>
      </c>
      <c r="DV594" s="56">
        <f>$BI594-$BI595</f>
        <v/>
      </c>
      <c r="DW594" s="56">
        <f>$BJ594-$BJ595</f>
        <v/>
      </c>
      <c r="DX594" s="56">
        <f>$BK594-$BK595</f>
        <v/>
      </c>
      <c r="DY594" s="56">
        <f>$BL594-$BL595</f>
        <v/>
      </c>
      <c r="DZ594" s="56">
        <f>$BM594-$BM595</f>
        <v/>
      </c>
      <c r="EA594" s="56">
        <f>$BN594-$BN595</f>
        <v/>
      </c>
      <c r="EB594" s="56">
        <f>$BO594-$BO595</f>
        <v/>
      </c>
      <c r="EC594" s="56">
        <f>$BP594-$BP595</f>
        <v/>
      </c>
      <c r="ED594" s="56">
        <f>$BQ594-$BQ595</f>
        <v/>
      </c>
      <c r="EE594" s="56">
        <f>$BR594-$BR595</f>
        <v/>
      </c>
      <c r="EF594" s="56">
        <f>$BS594-$BS595</f>
        <v/>
      </c>
      <c r="EG594" s="56">
        <f>$BT594-$BT595</f>
        <v/>
      </c>
      <c r="EH594" s="56">
        <f>$BU594-$BU595</f>
        <v/>
      </c>
    </row>
    <row r="595">
      <c r="BV595" s="56">
        <f>($D595-$D596)*100</f>
        <v/>
      </c>
      <c r="BW595" s="56">
        <f>($C595-$C596)*100</f>
        <v/>
      </c>
      <c r="BX595" s="57">
        <f>IFERROR($I595/$I596-1,"")</f>
        <v/>
      </c>
      <c r="BY595" s="56">
        <f>($AF595-$AF596)*100</f>
        <v/>
      </c>
      <c r="BZ595" s="56">
        <f>($AG595-$AG596)*100</f>
        <v/>
      </c>
      <c r="CA595" s="56">
        <f>($AH595-$AH596)*100</f>
        <v/>
      </c>
      <c r="CB595" s="56">
        <f>($AI595-$AI596)*100</f>
        <v/>
      </c>
      <c r="CC595" s="56">
        <f>($AJ595-$AJ596)*100</f>
        <v/>
      </c>
      <c r="CD595" s="56">
        <f>($AK595-$AK596)*100</f>
        <v/>
      </c>
      <c r="CE595" s="56">
        <f>($AL595-$AL596)*100</f>
        <v/>
      </c>
      <c r="CF595" s="56">
        <f>($AM595-$AM596)*100</f>
        <v/>
      </c>
      <c r="CG595" s="56">
        <f>($AN595-$AN596)*100</f>
        <v/>
      </c>
      <c r="CH595" s="56">
        <f>($AO595-$AO596)*100</f>
        <v/>
      </c>
      <c r="CI595" s="56">
        <f>($AP595-$AP596)*100</f>
        <v/>
      </c>
      <c r="CJ595" s="56">
        <f>($AQ595-$AQ596)*100</f>
        <v/>
      </c>
      <c r="CK595" s="56">
        <f>($AR595-$AR596)*100</f>
        <v/>
      </c>
      <c r="CL595" s="56">
        <f>($AS595-$AS596)*100</f>
        <v/>
      </c>
      <c r="CM595" s="56">
        <f>($AT595-$AT596)*100</f>
        <v/>
      </c>
      <c r="CN595" s="56">
        <f>($AU595-$AU596)*100</f>
        <v/>
      </c>
      <c r="CO595" s="56">
        <f>($AV595-$AV596)*100</f>
        <v/>
      </c>
      <c r="CP595" s="56">
        <f>($AW595-$AW596)*100</f>
        <v/>
      </c>
      <c r="CQ595" s="56">
        <f>($AX595-$AX596)*100</f>
        <v/>
      </c>
      <c r="CR595" s="56">
        <f>($AY595-$AY596)*100</f>
        <v/>
      </c>
      <c r="CS595" s="57">
        <f>IFERROR($L596/$L595-1,"")</f>
        <v/>
      </c>
      <c r="CT595" s="57">
        <f>IFERROR($M596/$M595-1,"")</f>
        <v/>
      </c>
      <c r="CU595" s="57">
        <f>IFERROR($N596/$N595-1,"")</f>
        <v/>
      </c>
      <c r="CV595" s="57">
        <f>IFERROR($O596/$O595-1,"")</f>
        <v/>
      </c>
      <c r="CW595" s="57">
        <f>IFERROR($P596/$P595-1,"")</f>
        <v/>
      </c>
      <c r="CX595" s="57">
        <f>IFERROR($Q596/$Q595-1,"")</f>
        <v/>
      </c>
      <c r="CY595" s="57">
        <f>IFERROR($R596/$R595-1,"")</f>
        <v/>
      </c>
      <c r="CZ595" s="57">
        <f>IFERROR($S596/$S595-1,"")</f>
        <v/>
      </c>
      <c r="DA595" s="57">
        <f>IFERROR($T596/$T595-1,"")</f>
        <v/>
      </c>
      <c r="DB595" s="57">
        <f>IFERROR($U596/$U595-1,"")</f>
        <v/>
      </c>
      <c r="DC595" s="57">
        <f>IFERROR($V596/$V595-1,"")</f>
        <v/>
      </c>
      <c r="DD595" s="57">
        <f>IFERROR($W596/$W595-1,"")</f>
        <v/>
      </c>
      <c r="DE595" s="57">
        <f>IFERROR($X596/$X595-1,"")</f>
        <v/>
      </c>
      <c r="DF595" s="57">
        <f>IFERROR($Y596/$Y595-1,"")</f>
        <v/>
      </c>
      <c r="DG595" s="57">
        <f>IFERROR($Z596/$Z595-1,"")</f>
        <v/>
      </c>
      <c r="DH595" s="57">
        <f>IFERROR($AA596/$AA595-1,"")</f>
        <v/>
      </c>
      <c r="DI595" s="57">
        <f>IFERROR($AB596/$AB595-1,"")</f>
        <v/>
      </c>
      <c r="DJ595" s="57">
        <f>IFERROR($AC596/$AC595-1,"")</f>
        <v/>
      </c>
      <c r="DK595" s="57">
        <f>IFERROR($AD596/$AD595-1,"")</f>
        <v/>
      </c>
      <c r="DL595" s="57">
        <f>IFERROR($AE596/$AE595-1,"")</f>
        <v/>
      </c>
      <c r="DM595" s="56">
        <f>$AZ595-$AZ596</f>
        <v/>
      </c>
      <c r="DN595" s="56">
        <f>$BA595-$BA596</f>
        <v/>
      </c>
      <c r="DO595" s="56">
        <f>$BB595-$BB596</f>
        <v/>
      </c>
      <c r="DP595" s="56">
        <f>$BC595-$BC596</f>
        <v/>
      </c>
      <c r="DQ595" s="56">
        <f>$BD595-$BD596</f>
        <v/>
      </c>
      <c r="DR595" s="56">
        <f>$BE595-$BE596</f>
        <v/>
      </c>
      <c r="DS595" s="56">
        <f>$BF595-$BF596</f>
        <v/>
      </c>
      <c r="DT595" s="56">
        <f>$BG595-$BG596</f>
        <v/>
      </c>
      <c r="DU595" s="56">
        <f>$BH595-$BH596</f>
        <v/>
      </c>
      <c r="DV595" s="56">
        <f>$BI595-$BI596</f>
        <v/>
      </c>
      <c r="DW595" s="56">
        <f>$BJ595-$BJ596</f>
        <v/>
      </c>
      <c r="DX595" s="56">
        <f>$BK595-$BK596</f>
        <v/>
      </c>
      <c r="DY595" s="56">
        <f>$BL595-$BL596</f>
        <v/>
      </c>
      <c r="DZ595" s="56">
        <f>$BM595-$BM596</f>
        <v/>
      </c>
      <c r="EA595" s="56">
        <f>$BN595-$BN596</f>
        <v/>
      </c>
      <c r="EB595" s="56">
        <f>$BO595-$BO596</f>
        <v/>
      </c>
      <c r="EC595" s="56">
        <f>$BP595-$BP596</f>
        <v/>
      </c>
      <c r="ED595" s="56">
        <f>$BQ595-$BQ596</f>
        <v/>
      </c>
      <c r="EE595" s="56">
        <f>$BR595-$BR596</f>
        <v/>
      </c>
      <c r="EF595" s="56">
        <f>$BS595-$BS596</f>
        <v/>
      </c>
      <c r="EG595" s="56">
        <f>$BT595-$BT596</f>
        <v/>
      </c>
      <c r="EH595" s="56">
        <f>$BU595-$BU596</f>
        <v/>
      </c>
    </row>
    <row r="596">
      <c r="BV596" s="56">
        <f>($D596-$D597)*100</f>
        <v/>
      </c>
      <c r="BW596" s="56">
        <f>($C596-$C597)*100</f>
        <v/>
      </c>
      <c r="BX596" s="57">
        <f>IFERROR($I596/$I597-1,"")</f>
        <v/>
      </c>
      <c r="BY596" s="56">
        <f>($AF596-$AF597)*100</f>
        <v/>
      </c>
      <c r="BZ596" s="56">
        <f>($AG596-$AG597)*100</f>
        <v/>
      </c>
      <c r="CA596" s="56">
        <f>($AH596-$AH597)*100</f>
        <v/>
      </c>
      <c r="CB596" s="56">
        <f>($AI596-$AI597)*100</f>
        <v/>
      </c>
      <c r="CC596" s="56">
        <f>($AJ596-$AJ597)*100</f>
        <v/>
      </c>
      <c r="CD596" s="56">
        <f>($AK596-$AK597)*100</f>
        <v/>
      </c>
      <c r="CE596" s="56">
        <f>($AL596-$AL597)*100</f>
        <v/>
      </c>
      <c r="CF596" s="56">
        <f>($AM596-$AM597)*100</f>
        <v/>
      </c>
      <c r="CG596" s="56">
        <f>($AN596-$AN597)*100</f>
        <v/>
      </c>
      <c r="CH596" s="56">
        <f>($AO596-$AO597)*100</f>
        <v/>
      </c>
      <c r="CI596" s="56">
        <f>($AP596-$AP597)*100</f>
        <v/>
      </c>
      <c r="CJ596" s="56">
        <f>($AQ596-$AQ597)*100</f>
        <v/>
      </c>
      <c r="CK596" s="56">
        <f>($AR596-$AR597)*100</f>
        <v/>
      </c>
      <c r="CL596" s="56">
        <f>($AS596-$AS597)*100</f>
        <v/>
      </c>
      <c r="CM596" s="56">
        <f>($AT596-$AT597)*100</f>
        <v/>
      </c>
      <c r="CN596" s="56">
        <f>($AU596-$AU597)*100</f>
        <v/>
      </c>
      <c r="CO596" s="56">
        <f>($AV596-$AV597)*100</f>
        <v/>
      </c>
      <c r="CP596" s="56">
        <f>($AW596-$AW597)*100</f>
        <v/>
      </c>
      <c r="CQ596" s="56">
        <f>($AX596-$AX597)*100</f>
        <v/>
      </c>
      <c r="CR596" s="56">
        <f>($AY596-$AY597)*100</f>
        <v/>
      </c>
      <c r="CS596" s="57">
        <f>IFERROR($L597/$L596-1,"")</f>
        <v/>
      </c>
      <c r="CT596" s="57">
        <f>IFERROR($M597/$M596-1,"")</f>
        <v/>
      </c>
      <c r="CU596" s="57">
        <f>IFERROR($N597/$N596-1,"")</f>
        <v/>
      </c>
      <c r="CV596" s="57">
        <f>IFERROR($O597/$O596-1,"")</f>
        <v/>
      </c>
      <c r="CW596" s="57">
        <f>IFERROR($P597/$P596-1,"")</f>
        <v/>
      </c>
      <c r="CX596" s="57">
        <f>IFERROR($Q597/$Q596-1,"")</f>
        <v/>
      </c>
      <c r="CY596" s="57">
        <f>IFERROR($R597/$R596-1,"")</f>
        <v/>
      </c>
      <c r="CZ596" s="57">
        <f>IFERROR($S597/$S596-1,"")</f>
        <v/>
      </c>
      <c r="DA596" s="57">
        <f>IFERROR($T597/$T596-1,"")</f>
        <v/>
      </c>
      <c r="DB596" s="57">
        <f>IFERROR($U597/$U596-1,"")</f>
        <v/>
      </c>
      <c r="DC596" s="57">
        <f>IFERROR($V597/$V596-1,"")</f>
        <v/>
      </c>
      <c r="DD596" s="57">
        <f>IFERROR($W597/$W596-1,"")</f>
        <v/>
      </c>
      <c r="DE596" s="57">
        <f>IFERROR($X597/$X596-1,"")</f>
        <v/>
      </c>
      <c r="DF596" s="57">
        <f>IFERROR($Y597/$Y596-1,"")</f>
        <v/>
      </c>
      <c r="DG596" s="57">
        <f>IFERROR($Z597/$Z596-1,"")</f>
        <v/>
      </c>
      <c r="DH596" s="57">
        <f>IFERROR($AA597/$AA596-1,"")</f>
        <v/>
      </c>
      <c r="DI596" s="57">
        <f>IFERROR($AB597/$AB596-1,"")</f>
        <v/>
      </c>
      <c r="DJ596" s="57">
        <f>IFERROR($AC597/$AC596-1,"")</f>
        <v/>
      </c>
      <c r="DK596" s="57">
        <f>IFERROR($AD597/$AD596-1,"")</f>
        <v/>
      </c>
      <c r="DL596" s="57">
        <f>IFERROR($AE597/$AE596-1,"")</f>
        <v/>
      </c>
      <c r="DM596" s="56">
        <f>$AZ596-$AZ597</f>
        <v/>
      </c>
      <c r="DN596" s="56">
        <f>$BA596-$BA597</f>
        <v/>
      </c>
      <c r="DO596" s="56">
        <f>$BB596-$BB597</f>
        <v/>
      </c>
      <c r="DP596" s="56">
        <f>$BC596-$BC597</f>
        <v/>
      </c>
      <c r="DQ596" s="56">
        <f>$BD596-$BD597</f>
        <v/>
      </c>
      <c r="DR596" s="56">
        <f>$BE596-$BE597</f>
        <v/>
      </c>
      <c r="DS596" s="56">
        <f>$BF596-$BF597</f>
        <v/>
      </c>
      <c r="DT596" s="56">
        <f>$BG596-$BG597</f>
        <v/>
      </c>
      <c r="DU596" s="56">
        <f>$BH596-$BH597</f>
        <v/>
      </c>
      <c r="DV596" s="56">
        <f>$BI596-$BI597</f>
        <v/>
      </c>
      <c r="DW596" s="56">
        <f>$BJ596-$BJ597</f>
        <v/>
      </c>
      <c r="DX596" s="56">
        <f>$BK596-$BK597</f>
        <v/>
      </c>
      <c r="DY596" s="56">
        <f>$BL596-$BL597</f>
        <v/>
      </c>
      <c r="DZ596" s="56">
        <f>$BM596-$BM597</f>
        <v/>
      </c>
      <c r="EA596" s="56">
        <f>$BN596-$BN597</f>
        <v/>
      </c>
      <c r="EB596" s="56">
        <f>$BO596-$BO597</f>
        <v/>
      </c>
      <c r="EC596" s="56">
        <f>$BP596-$BP597</f>
        <v/>
      </c>
      <c r="ED596" s="56">
        <f>$BQ596-$BQ597</f>
        <v/>
      </c>
      <c r="EE596" s="56">
        <f>$BR596-$BR597</f>
        <v/>
      </c>
      <c r="EF596" s="56">
        <f>$BS596-$BS597</f>
        <v/>
      </c>
      <c r="EG596" s="56">
        <f>$BT596-$BT597</f>
        <v/>
      </c>
      <c r="EH596" s="56">
        <f>$BU596-$BU597</f>
        <v/>
      </c>
    </row>
    <row r="597">
      <c r="BV597" s="56">
        <f>($D597-$D598)*100</f>
        <v/>
      </c>
      <c r="BW597" s="56">
        <f>($C597-$C598)*100</f>
        <v/>
      </c>
      <c r="BX597" s="57">
        <f>IFERROR($I597/$I598-1,"")</f>
        <v/>
      </c>
      <c r="BY597" s="56">
        <f>($AF597-$AF598)*100</f>
        <v/>
      </c>
      <c r="BZ597" s="56">
        <f>($AG597-$AG598)*100</f>
        <v/>
      </c>
      <c r="CA597" s="56">
        <f>($AH597-$AH598)*100</f>
        <v/>
      </c>
      <c r="CB597" s="56">
        <f>($AI597-$AI598)*100</f>
        <v/>
      </c>
      <c r="CC597" s="56">
        <f>($AJ597-$AJ598)*100</f>
        <v/>
      </c>
      <c r="CD597" s="56">
        <f>($AK597-$AK598)*100</f>
        <v/>
      </c>
      <c r="CE597" s="56">
        <f>($AL597-$AL598)*100</f>
        <v/>
      </c>
      <c r="CF597" s="56">
        <f>($AM597-$AM598)*100</f>
        <v/>
      </c>
      <c r="CG597" s="56">
        <f>($AN597-$AN598)*100</f>
        <v/>
      </c>
      <c r="CH597" s="56">
        <f>($AO597-$AO598)*100</f>
        <v/>
      </c>
      <c r="CI597" s="56">
        <f>($AP597-$AP598)*100</f>
        <v/>
      </c>
      <c r="CJ597" s="56">
        <f>($AQ597-$AQ598)*100</f>
        <v/>
      </c>
      <c r="CK597" s="56">
        <f>($AR597-$AR598)*100</f>
        <v/>
      </c>
      <c r="CL597" s="56">
        <f>($AS597-$AS598)*100</f>
        <v/>
      </c>
      <c r="CM597" s="56">
        <f>($AT597-$AT598)*100</f>
        <v/>
      </c>
      <c r="CN597" s="56">
        <f>($AU597-$AU598)*100</f>
        <v/>
      </c>
      <c r="CO597" s="56">
        <f>($AV597-$AV598)*100</f>
        <v/>
      </c>
      <c r="CP597" s="56">
        <f>($AW597-$AW598)*100</f>
        <v/>
      </c>
      <c r="CQ597" s="56">
        <f>($AX597-$AX598)*100</f>
        <v/>
      </c>
      <c r="CR597" s="56">
        <f>($AY597-$AY598)*100</f>
        <v/>
      </c>
      <c r="CS597" s="57">
        <f>IFERROR($L598/$L597-1,"")</f>
        <v/>
      </c>
      <c r="CT597" s="57">
        <f>IFERROR($M598/$M597-1,"")</f>
        <v/>
      </c>
      <c r="CU597" s="57">
        <f>IFERROR($N598/$N597-1,"")</f>
        <v/>
      </c>
      <c r="CV597" s="57">
        <f>IFERROR($O598/$O597-1,"")</f>
        <v/>
      </c>
      <c r="CW597" s="57">
        <f>IFERROR($P598/$P597-1,"")</f>
        <v/>
      </c>
      <c r="CX597" s="57">
        <f>IFERROR($Q598/$Q597-1,"")</f>
        <v/>
      </c>
      <c r="CY597" s="57">
        <f>IFERROR($R598/$R597-1,"")</f>
        <v/>
      </c>
      <c r="CZ597" s="57">
        <f>IFERROR($S598/$S597-1,"")</f>
        <v/>
      </c>
      <c r="DA597" s="57">
        <f>IFERROR($T598/$T597-1,"")</f>
        <v/>
      </c>
      <c r="DB597" s="57">
        <f>IFERROR($U598/$U597-1,"")</f>
        <v/>
      </c>
      <c r="DC597" s="57">
        <f>IFERROR($V598/$V597-1,"")</f>
        <v/>
      </c>
      <c r="DD597" s="57">
        <f>IFERROR($W598/$W597-1,"")</f>
        <v/>
      </c>
      <c r="DE597" s="57">
        <f>IFERROR($X598/$X597-1,"")</f>
        <v/>
      </c>
      <c r="DF597" s="57">
        <f>IFERROR($Y598/$Y597-1,"")</f>
        <v/>
      </c>
      <c r="DG597" s="57">
        <f>IFERROR($Z598/$Z597-1,"")</f>
        <v/>
      </c>
      <c r="DH597" s="57">
        <f>IFERROR($AA598/$AA597-1,"")</f>
        <v/>
      </c>
      <c r="DI597" s="57">
        <f>IFERROR($AB598/$AB597-1,"")</f>
        <v/>
      </c>
      <c r="DJ597" s="57">
        <f>IFERROR($AC598/$AC597-1,"")</f>
        <v/>
      </c>
      <c r="DK597" s="57">
        <f>IFERROR($AD598/$AD597-1,"")</f>
        <v/>
      </c>
      <c r="DL597" s="57">
        <f>IFERROR($AE598/$AE597-1,"")</f>
        <v/>
      </c>
      <c r="DM597" s="56">
        <f>$AZ597-$AZ598</f>
        <v/>
      </c>
      <c r="DN597" s="56">
        <f>$BA597-$BA598</f>
        <v/>
      </c>
      <c r="DO597" s="56">
        <f>$BB597-$BB598</f>
        <v/>
      </c>
      <c r="DP597" s="56">
        <f>$BC597-$BC598</f>
        <v/>
      </c>
      <c r="DQ597" s="56">
        <f>$BD597-$BD598</f>
        <v/>
      </c>
      <c r="DR597" s="56">
        <f>$BE597-$BE598</f>
        <v/>
      </c>
      <c r="DS597" s="56">
        <f>$BF597-$BF598</f>
        <v/>
      </c>
      <c r="DT597" s="56">
        <f>$BG597-$BG598</f>
        <v/>
      </c>
      <c r="DU597" s="56">
        <f>$BH597-$BH598</f>
        <v/>
      </c>
      <c r="DV597" s="56">
        <f>$BI597-$BI598</f>
        <v/>
      </c>
      <c r="DW597" s="56">
        <f>$BJ597-$BJ598</f>
        <v/>
      </c>
      <c r="DX597" s="56">
        <f>$BK597-$BK598</f>
        <v/>
      </c>
      <c r="DY597" s="56">
        <f>$BL597-$BL598</f>
        <v/>
      </c>
      <c r="DZ597" s="56">
        <f>$BM597-$BM598</f>
        <v/>
      </c>
      <c r="EA597" s="56">
        <f>$BN597-$BN598</f>
        <v/>
      </c>
      <c r="EB597" s="56">
        <f>$BO597-$BO598</f>
        <v/>
      </c>
      <c r="EC597" s="56">
        <f>$BP597-$BP598</f>
        <v/>
      </c>
      <c r="ED597" s="56">
        <f>$BQ597-$BQ598</f>
        <v/>
      </c>
      <c r="EE597" s="56">
        <f>$BR597-$BR598</f>
        <v/>
      </c>
      <c r="EF597" s="56">
        <f>$BS597-$BS598</f>
        <v/>
      </c>
      <c r="EG597" s="56">
        <f>$BT597-$BT598</f>
        <v/>
      </c>
      <c r="EH597" s="56">
        <f>$BU597-$BU598</f>
        <v/>
      </c>
    </row>
    <row r="598">
      <c r="BV598" s="56">
        <f>($D598-$D599)*100</f>
        <v/>
      </c>
      <c r="BW598" s="56">
        <f>($C598-$C599)*100</f>
        <v/>
      </c>
      <c r="BX598" s="57">
        <f>IFERROR($I598/$I599-1,"")</f>
        <v/>
      </c>
      <c r="BY598" s="56">
        <f>($AF598-$AF599)*100</f>
        <v/>
      </c>
      <c r="BZ598" s="56">
        <f>($AG598-$AG599)*100</f>
        <v/>
      </c>
      <c r="CA598" s="56">
        <f>($AH598-$AH599)*100</f>
        <v/>
      </c>
      <c r="CB598" s="56">
        <f>($AI598-$AI599)*100</f>
        <v/>
      </c>
      <c r="CC598" s="56">
        <f>($AJ598-$AJ599)*100</f>
        <v/>
      </c>
      <c r="CD598" s="56">
        <f>($AK598-$AK599)*100</f>
        <v/>
      </c>
      <c r="CE598" s="56">
        <f>($AL598-$AL599)*100</f>
        <v/>
      </c>
      <c r="CF598" s="56">
        <f>($AM598-$AM599)*100</f>
        <v/>
      </c>
      <c r="CG598" s="56">
        <f>($AN598-$AN599)*100</f>
        <v/>
      </c>
      <c r="CH598" s="56">
        <f>($AO598-$AO599)*100</f>
        <v/>
      </c>
      <c r="CI598" s="56">
        <f>($AP598-$AP599)*100</f>
        <v/>
      </c>
      <c r="CJ598" s="56">
        <f>($AQ598-$AQ599)*100</f>
        <v/>
      </c>
      <c r="CK598" s="56">
        <f>($AR598-$AR599)*100</f>
        <v/>
      </c>
      <c r="CL598" s="56">
        <f>($AS598-$AS599)*100</f>
        <v/>
      </c>
      <c r="CM598" s="56">
        <f>($AT598-$AT599)*100</f>
        <v/>
      </c>
      <c r="CN598" s="56">
        <f>($AU598-$AU599)*100</f>
        <v/>
      </c>
      <c r="CO598" s="56">
        <f>($AV598-$AV599)*100</f>
        <v/>
      </c>
      <c r="CP598" s="56">
        <f>($AW598-$AW599)*100</f>
        <v/>
      </c>
      <c r="CQ598" s="56">
        <f>($AX598-$AX599)*100</f>
        <v/>
      </c>
      <c r="CR598" s="56">
        <f>($AY598-$AY599)*100</f>
        <v/>
      </c>
      <c r="CS598" s="57">
        <f>IFERROR($L599/$L598-1,"")</f>
        <v/>
      </c>
      <c r="CT598" s="57">
        <f>IFERROR($M599/$M598-1,"")</f>
        <v/>
      </c>
      <c r="CU598" s="57">
        <f>IFERROR($N599/$N598-1,"")</f>
        <v/>
      </c>
      <c r="CV598" s="57">
        <f>IFERROR($O599/$O598-1,"")</f>
        <v/>
      </c>
      <c r="CW598" s="57">
        <f>IFERROR($P599/$P598-1,"")</f>
        <v/>
      </c>
      <c r="CX598" s="57">
        <f>IFERROR($Q599/$Q598-1,"")</f>
        <v/>
      </c>
      <c r="CY598" s="57">
        <f>IFERROR($R599/$R598-1,"")</f>
        <v/>
      </c>
      <c r="CZ598" s="57">
        <f>IFERROR($S599/$S598-1,"")</f>
        <v/>
      </c>
      <c r="DA598" s="57">
        <f>IFERROR($T599/$T598-1,"")</f>
        <v/>
      </c>
      <c r="DB598" s="57">
        <f>IFERROR($U599/$U598-1,"")</f>
        <v/>
      </c>
      <c r="DC598" s="57">
        <f>IFERROR($V599/$V598-1,"")</f>
        <v/>
      </c>
      <c r="DD598" s="57">
        <f>IFERROR($W599/$W598-1,"")</f>
        <v/>
      </c>
      <c r="DE598" s="57">
        <f>IFERROR($X599/$X598-1,"")</f>
        <v/>
      </c>
      <c r="DF598" s="57">
        <f>IFERROR($Y599/$Y598-1,"")</f>
        <v/>
      </c>
      <c r="DG598" s="57">
        <f>IFERROR($Z599/$Z598-1,"")</f>
        <v/>
      </c>
      <c r="DH598" s="57">
        <f>IFERROR($AA599/$AA598-1,"")</f>
        <v/>
      </c>
      <c r="DI598" s="57">
        <f>IFERROR($AB599/$AB598-1,"")</f>
        <v/>
      </c>
      <c r="DJ598" s="57">
        <f>IFERROR($AC599/$AC598-1,"")</f>
        <v/>
      </c>
      <c r="DK598" s="57">
        <f>IFERROR($AD599/$AD598-1,"")</f>
        <v/>
      </c>
      <c r="DL598" s="57">
        <f>IFERROR($AE599/$AE598-1,"")</f>
        <v/>
      </c>
      <c r="DM598" s="56">
        <f>$AZ598-$AZ599</f>
        <v/>
      </c>
      <c r="DN598" s="56">
        <f>$BA598-$BA599</f>
        <v/>
      </c>
      <c r="DO598" s="56">
        <f>$BB598-$BB599</f>
        <v/>
      </c>
      <c r="DP598" s="56">
        <f>$BC598-$BC599</f>
        <v/>
      </c>
      <c r="DQ598" s="56">
        <f>$BD598-$BD599</f>
        <v/>
      </c>
      <c r="DR598" s="56">
        <f>$BE598-$BE599</f>
        <v/>
      </c>
      <c r="DS598" s="56">
        <f>$BF598-$BF599</f>
        <v/>
      </c>
      <c r="DT598" s="56">
        <f>$BG598-$BG599</f>
        <v/>
      </c>
      <c r="DU598" s="56">
        <f>$BH598-$BH599</f>
        <v/>
      </c>
      <c r="DV598" s="56">
        <f>$BI598-$BI599</f>
        <v/>
      </c>
      <c r="DW598" s="56">
        <f>$BJ598-$BJ599</f>
        <v/>
      </c>
      <c r="DX598" s="56">
        <f>$BK598-$BK599</f>
        <v/>
      </c>
      <c r="DY598" s="56">
        <f>$BL598-$BL599</f>
        <v/>
      </c>
      <c r="DZ598" s="56">
        <f>$BM598-$BM599</f>
        <v/>
      </c>
      <c r="EA598" s="56">
        <f>$BN598-$BN599</f>
        <v/>
      </c>
      <c r="EB598" s="56">
        <f>$BO598-$BO599</f>
        <v/>
      </c>
      <c r="EC598" s="56">
        <f>$BP598-$BP599</f>
        <v/>
      </c>
      <c r="ED598" s="56">
        <f>$BQ598-$BQ599</f>
        <v/>
      </c>
      <c r="EE598" s="56">
        <f>$BR598-$BR599</f>
        <v/>
      </c>
      <c r="EF598" s="56">
        <f>$BS598-$BS599</f>
        <v/>
      </c>
      <c r="EG598" s="56">
        <f>$BT598-$BT599</f>
        <v/>
      </c>
      <c r="EH598" s="56">
        <f>$BU598-$BU599</f>
        <v/>
      </c>
    </row>
    <row r="599">
      <c r="BV599" s="56">
        <f>($D599-$D600)*100</f>
        <v/>
      </c>
      <c r="BW599" s="56">
        <f>($C599-$C600)*100</f>
        <v/>
      </c>
      <c r="BX599" s="57">
        <f>IFERROR($I599/$I600-1,"")</f>
        <v/>
      </c>
      <c r="BY599" s="56">
        <f>($AF599-$AF600)*100</f>
        <v/>
      </c>
      <c r="BZ599" s="56">
        <f>($AG599-$AG600)*100</f>
        <v/>
      </c>
      <c r="CA599" s="56">
        <f>($AH599-$AH600)*100</f>
        <v/>
      </c>
      <c r="CB599" s="56">
        <f>($AI599-$AI600)*100</f>
        <v/>
      </c>
      <c r="CC599" s="56">
        <f>($AJ599-$AJ600)*100</f>
        <v/>
      </c>
      <c r="CD599" s="56">
        <f>($AK599-$AK600)*100</f>
        <v/>
      </c>
      <c r="CE599" s="56">
        <f>($AL599-$AL600)*100</f>
        <v/>
      </c>
      <c r="CF599" s="56">
        <f>($AM599-$AM600)*100</f>
        <v/>
      </c>
      <c r="CG599" s="56">
        <f>($AN599-$AN600)*100</f>
        <v/>
      </c>
      <c r="CH599" s="56">
        <f>($AO599-$AO600)*100</f>
        <v/>
      </c>
      <c r="CI599" s="56">
        <f>($AP599-$AP600)*100</f>
        <v/>
      </c>
      <c r="CJ599" s="56">
        <f>($AQ599-$AQ600)*100</f>
        <v/>
      </c>
      <c r="CK599" s="56">
        <f>($AR599-$AR600)*100</f>
        <v/>
      </c>
      <c r="CL599" s="56">
        <f>($AS599-$AS600)*100</f>
        <v/>
      </c>
      <c r="CM599" s="56">
        <f>($AT599-$AT600)*100</f>
        <v/>
      </c>
      <c r="CN599" s="56">
        <f>($AU599-$AU600)*100</f>
        <v/>
      </c>
      <c r="CO599" s="56">
        <f>($AV599-$AV600)*100</f>
        <v/>
      </c>
      <c r="CP599" s="56">
        <f>($AW599-$AW600)*100</f>
        <v/>
      </c>
      <c r="CQ599" s="56">
        <f>($AX599-$AX600)*100</f>
        <v/>
      </c>
      <c r="CR599" s="56">
        <f>($AY599-$AY600)*100</f>
        <v/>
      </c>
      <c r="CS599" s="57">
        <f>IFERROR($L600/$L599-1,"")</f>
        <v/>
      </c>
      <c r="CT599" s="57">
        <f>IFERROR($M600/$M599-1,"")</f>
        <v/>
      </c>
      <c r="CU599" s="57">
        <f>IFERROR($N600/$N599-1,"")</f>
        <v/>
      </c>
      <c r="CV599" s="57">
        <f>IFERROR($O600/$O599-1,"")</f>
        <v/>
      </c>
      <c r="CW599" s="57">
        <f>IFERROR($P600/$P599-1,"")</f>
        <v/>
      </c>
      <c r="CX599" s="57">
        <f>IFERROR($Q600/$Q599-1,"")</f>
        <v/>
      </c>
      <c r="CY599" s="57">
        <f>IFERROR($R600/$R599-1,"")</f>
        <v/>
      </c>
      <c r="CZ599" s="57">
        <f>IFERROR($S600/$S599-1,"")</f>
        <v/>
      </c>
      <c r="DA599" s="57">
        <f>IFERROR($T600/$T599-1,"")</f>
        <v/>
      </c>
      <c r="DB599" s="57">
        <f>IFERROR($U600/$U599-1,"")</f>
        <v/>
      </c>
      <c r="DC599" s="57">
        <f>IFERROR($V600/$V599-1,"")</f>
        <v/>
      </c>
      <c r="DD599" s="57">
        <f>IFERROR($W600/$W599-1,"")</f>
        <v/>
      </c>
      <c r="DE599" s="57">
        <f>IFERROR($X600/$X599-1,"")</f>
        <v/>
      </c>
      <c r="DF599" s="57">
        <f>IFERROR($Y600/$Y599-1,"")</f>
        <v/>
      </c>
      <c r="DG599" s="57">
        <f>IFERROR($Z600/$Z599-1,"")</f>
        <v/>
      </c>
      <c r="DH599" s="57">
        <f>IFERROR($AA600/$AA599-1,"")</f>
        <v/>
      </c>
      <c r="DI599" s="57">
        <f>IFERROR($AB600/$AB599-1,"")</f>
        <v/>
      </c>
      <c r="DJ599" s="57">
        <f>IFERROR($AC600/$AC599-1,"")</f>
        <v/>
      </c>
      <c r="DK599" s="57">
        <f>IFERROR($AD600/$AD599-1,"")</f>
        <v/>
      </c>
      <c r="DL599" s="57">
        <f>IFERROR($AE600/$AE599-1,"")</f>
        <v/>
      </c>
      <c r="DM599" s="56">
        <f>$AZ599-$AZ600</f>
        <v/>
      </c>
      <c r="DN599" s="56">
        <f>$BA599-$BA600</f>
        <v/>
      </c>
      <c r="DO599" s="56">
        <f>$BB599-$BB600</f>
        <v/>
      </c>
      <c r="DP599" s="56">
        <f>$BC599-$BC600</f>
        <v/>
      </c>
      <c r="DQ599" s="56">
        <f>$BD599-$BD600</f>
        <v/>
      </c>
      <c r="DR599" s="56">
        <f>$BE599-$BE600</f>
        <v/>
      </c>
      <c r="DS599" s="56">
        <f>$BF599-$BF600</f>
        <v/>
      </c>
      <c r="DT599" s="56">
        <f>$BG599-$BG600</f>
        <v/>
      </c>
      <c r="DU599" s="56">
        <f>$BH599-$BH600</f>
        <v/>
      </c>
      <c r="DV599" s="56">
        <f>$BI599-$BI600</f>
        <v/>
      </c>
      <c r="DW599" s="56">
        <f>$BJ599-$BJ600</f>
        <v/>
      </c>
      <c r="DX599" s="56">
        <f>$BK599-$BK600</f>
        <v/>
      </c>
      <c r="DY599" s="56">
        <f>$BL599-$BL600</f>
        <v/>
      </c>
      <c r="DZ599" s="56">
        <f>$BM599-$BM600</f>
        <v/>
      </c>
      <c r="EA599" s="56">
        <f>$BN599-$BN600</f>
        <v/>
      </c>
      <c r="EB599" s="56">
        <f>$BO599-$BO600</f>
        <v/>
      </c>
      <c r="EC599" s="56">
        <f>$BP599-$BP600</f>
        <v/>
      </c>
      <c r="ED599" s="56">
        <f>$BQ599-$BQ600</f>
        <v/>
      </c>
      <c r="EE599" s="56">
        <f>$BR599-$BR600</f>
        <v/>
      </c>
      <c r="EF599" s="56">
        <f>$BS599-$BS600</f>
        <v/>
      </c>
      <c r="EG599" s="56">
        <f>$BT599-$BT600</f>
        <v/>
      </c>
      <c r="EH599" s="56">
        <f>$BU599-$BU600</f>
        <v/>
      </c>
    </row>
    <row r="600">
      <c r="BV600" s="56">
        <f>($D600-$D601)*100</f>
        <v/>
      </c>
      <c r="BW600" s="56">
        <f>($C600-$C601)*100</f>
        <v/>
      </c>
      <c r="BX600" s="57">
        <f>IFERROR($I600/$I601-1,"")</f>
        <v/>
      </c>
      <c r="BY600" s="56">
        <f>($AF600-$AF601)*100</f>
        <v/>
      </c>
      <c r="BZ600" s="56">
        <f>($AG600-$AG601)*100</f>
        <v/>
      </c>
      <c r="CA600" s="56">
        <f>($AH600-$AH601)*100</f>
        <v/>
      </c>
      <c r="CB600" s="56">
        <f>($AI600-$AI601)*100</f>
        <v/>
      </c>
      <c r="CC600" s="56">
        <f>($AJ600-$AJ601)*100</f>
        <v/>
      </c>
      <c r="CD600" s="56">
        <f>($AK600-$AK601)*100</f>
        <v/>
      </c>
      <c r="CE600" s="56">
        <f>($AL600-$AL601)*100</f>
        <v/>
      </c>
      <c r="CF600" s="56">
        <f>($AM600-$AM601)*100</f>
        <v/>
      </c>
      <c r="CG600" s="56">
        <f>($AN600-$AN601)*100</f>
        <v/>
      </c>
      <c r="CH600" s="56">
        <f>($AO600-$AO601)*100</f>
        <v/>
      </c>
      <c r="CI600" s="56">
        <f>($AP600-$AP601)*100</f>
        <v/>
      </c>
      <c r="CJ600" s="56">
        <f>($AQ600-$AQ601)*100</f>
        <v/>
      </c>
      <c r="CK600" s="56">
        <f>($AR600-$AR601)*100</f>
        <v/>
      </c>
      <c r="CL600" s="56">
        <f>($AS600-$AS601)*100</f>
        <v/>
      </c>
      <c r="CM600" s="56">
        <f>($AT600-$AT601)*100</f>
        <v/>
      </c>
      <c r="CN600" s="56">
        <f>($AU600-$AU601)*100</f>
        <v/>
      </c>
      <c r="CO600" s="56">
        <f>($AV600-$AV601)*100</f>
        <v/>
      </c>
      <c r="CP600" s="56">
        <f>($AW600-$AW601)*100</f>
        <v/>
      </c>
      <c r="CQ600" s="56">
        <f>($AX600-$AX601)*100</f>
        <v/>
      </c>
      <c r="CR600" s="56">
        <f>($AY600-$AY601)*100</f>
        <v/>
      </c>
      <c r="CS600" s="57">
        <f>IFERROR($L601/$L600-1,"")</f>
        <v/>
      </c>
      <c r="CT600" s="57">
        <f>IFERROR($M601/$M600-1,"")</f>
        <v/>
      </c>
      <c r="CU600" s="57">
        <f>IFERROR($N601/$N600-1,"")</f>
        <v/>
      </c>
      <c r="CV600" s="57">
        <f>IFERROR($O601/$O600-1,"")</f>
        <v/>
      </c>
      <c r="CW600" s="57">
        <f>IFERROR($P601/$P600-1,"")</f>
        <v/>
      </c>
      <c r="CX600" s="57">
        <f>IFERROR($Q601/$Q600-1,"")</f>
        <v/>
      </c>
      <c r="CY600" s="57">
        <f>IFERROR($R601/$R600-1,"")</f>
        <v/>
      </c>
      <c r="CZ600" s="57">
        <f>IFERROR($S601/$S600-1,"")</f>
        <v/>
      </c>
      <c r="DA600" s="57">
        <f>IFERROR($T601/$T600-1,"")</f>
        <v/>
      </c>
      <c r="DB600" s="57">
        <f>IFERROR($U601/$U600-1,"")</f>
        <v/>
      </c>
      <c r="DC600" s="57">
        <f>IFERROR($V601/$V600-1,"")</f>
        <v/>
      </c>
      <c r="DD600" s="57">
        <f>IFERROR($W601/$W600-1,"")</f>
        <v/>
      </c>
      <c r="DE600" s="57">
        <f>IFERROR($X601/$X600-1,"")</f>
        <v/>
      </c>
      <c r="DF600" s="57">
        <f>IFERROR($Y601/$Y600-1,"")</f>
        <v/>
      </c>
      <c r="DG600" s="57">
        <f>IFERROR($Z601/$Z600-1,"")</f>
        <v/>
      </c>
      <c r="DH600" s="57">
        <f>IFERROR($AA601/$AA600-1,"")</f>
        <v/>
      </c>
      <c r="DI600" s="57">
        <f>IFERROR($AB601/$AB600-1,"")</f>
        <v/>
      </c>
      <c r="DJ600" s="57">
        <f>IFERROR($AC601/$AC600-1,"")</f>
        <v/>
      </c>
      <c r="DK600" s="57">
        <f>IFERROR($AD601/$AD600-1,"")</f>
        <v/>
      </c>
      <c r="DL600" s="57">
        <f>IFERROR($AE601/$AE600-1,"")</f>
        <v/>
      </c>
      <c r="DM600" s="56">
        <f>$AZ600-$AZ601</f>
        <v/>
      </c>
      <c r="DN600" s="56">
        <f>$BA600-$BA601</f>
        <v/>
      </c>
      <c r="DO600" s="56">
        <f>$BB600-$BB601</f>
        <v/>
      </c>
      <c r="DP600" s="56">
        <f>$BC600-$BC601</f>
        <v/>
      </c>
      <c r="DQ600" s="56">
        <f>$BD600-$BD601</f>
        <v/>
      </c>
      <c r="DR600" s="56">
        <f>$BE600-$BE601</f>
        <v/>
      </c>
      <c r="DS600" s="56">
        <f>$BF600-$BF601</f>
        <v/>
      </c>
      <c r="DT600" s="56">
        <f>$BG600-$BG601</f>
        <v/>
      </c>
      <c r="DU600" s="56">
        <f>$BH600-$BH601</f>
        <v/>
      </c>
      <c r="DV600" s="56">
        <f>$BI600-$BI601</f>
        <v/>
      </c>
      <c r="DW600" s="56">
        <f>$BJ600-$BJ601</f>
        <v/>
      </c>
      <c r="DX600" s="56">
        <f>$BK600-$BK601</f>
        <v/>
      </c>
      <c r="DY600" s="56">
        <f>$BL600-$BL601</f>
        <v/>
      </c>
      <c r="DZ600" s="56">
        <f>$BM600-$BM601</f>
        <v/>
      </c>
      <c r="EA600" s="56">
        <f>$BN600-$BN601</f>
        <v/>
      </c>
      <c r="EB600" s="56">
        <f>$BO600-$BO601</f>
        <v/>
      </c>
      <c r="EC600" s="56">
        <f>$BP600-$BP601</f>
        <v/>
      </c>
      <c r="ED600" s="56">
        <f>$BQ600-$BQ601</f>
        <v/>
      </c>
      <c r="EE600" s="56">
        <f>$BR600-$BR601</f>
        <v/>
      </c>
      <c r="EF600" s="56">
        <f>$BS600-$BS601</f>
        <v/>
      </c>
      <c r="EG600" s="56">
        <f>$BT600-$BT601</f>
        <v/>
      </c>
      <c r="EH600" s="56">
        <f>$BU600-$BU601</f>
        <v/>
      </c>
    </row>
    <row r="601">
      <c r="BV601" s="56">
        <f>($D601-$D602)*100</f>
        <v/>
      </c>
      <c r="BW601" s="56">
        <f>($C601-$C602)*100</f>
        <v/>
      </c>
      <c r="BX601" s="57">
        <f>IFERROR($I601/$I602-1,"")</f>
        <v/>
      </c>
      <c r="BY601" s="56">
        <f>($AF601-$AF602)*100</f>
        <v/>
      </c>
      <c r="BZ601" s="56">
        <f>($AG601-$AG602)*100</f>
        <v/>
      </c>
      <c r="CA601" s="56">
        <f>($AH601-$AH602)*100</f>
        <v/>
      </c>
      <c r="CB601" s="56">
        <f>($AI601-$AI602)*100</f>
        <v/>
      </c>
      <c r="CC601" s="56">
        <f>($AJ601-$AJ602)*100</f>
        <v/>
      </c>
      <c r="CD601" s="56">
        <f>($AK601-$AK602)*100</f>
        <v/>
      </c>
      <c r="CE601" s="56">
        <f>($AL601-$AL602)*100</f>
        <v/>
      </c>
      <c r="CF601" s="56">
        <f>($AM601-$AM602)*100</f>
        <v/>
      </c>
      <c r="CG601" s="56">
        <f>($AN601-$AN602)*100</f>
        <v/>
      </c>
      <c r="CH601" s="56">
        <f>($AO601-$AO602)*100</f>
        <v/>
      </c>
      <c r="CI601" s="56">
        <f>($AP601-$AP602)*100</f>
        <v/>
      </c>
      <c r="CJ601" s="56">
        <f>($AQ601-$AQ602)*100</f>
        <v/>
      </c>
      <c r="CK601" s="56">
        <f>($AR601-$AR602)*100</f>
        <v/>
      </c>
      <c r="CL601" s="56">
        <f>($AS601-$AS602)*100</f>
        <v/>
      </c>
      <c r="CM601" s="56">
        <f>($AT601-$AT602)*100</f>
        <v/>
      </c>
      <c r="CN601" s="56">
        <f>($AU601-$AU602)*100</f>
        <v/>
      </c>
      <c r="CO601" s="56">
        <f>($AV601-$AV602)*100</f>
        <v/>
      </c>
      <c r="CP601" s="56">
        <f>($AW601-$AW602)*100</f>
        <v/>
      </c>
      <c r="CQ601" s="56">
        <f>($AX601-$AX602)*100</f>
        <v/>
      </c>
      <c r="CR601" s="56">
        <f>($AY601-$AY602)*100</f>
        <v/>
      </c>
      <c r="CS601" s="57">
        <f>IFERROR($L602/$L601-1,"")</f>
        <v/>
      </c>
      <c r="CT601" s="57">
        <f>IFERROR($M602/$M601-1,"")</f>
        <v/>
      </c>
      <c r="CU601" s="57">
        <f>IFERROR($N602/$N601-1,"")</f>
        <v/>
      </c>
      <c r="CV601" s="57">
        <f>IFERROR($O602/$O601-1,"")</f>
        <v/>
      </c>
      <c r="CW601" s="57">
        <f>IFERROR($P602/$P601-1,"")</f>
        <v/>
      </c>
      <c r="CX601" s="57">
        <f>IFERROR($Q602/$Q601-1,"")</f>
        <v/>
      </c>
      <c r="CY601" s="57">
        <f>IFERROR($R602/$R601-1,"")</f>
        <v/>
      </c>
      <c r="CZ601" s="57">
        <f>IFERROR($S602/$S601-1,"")</f>
        <v/>
      </c>
      <c r="DA601" s="57">
        <f>IFERROR($T602/$T601-1,"")</f>
        <v/>
      </c>
      <c r="DB601" s="57">
        <f>IFERROR($U602/$U601-1,"")</f>
        <v/>
      </c>
      <c r="DC601" s="57">
        <f>IFERROR($V602/$V601-1,"")</f>
        <v/>
      </c>
      <c r="DD601" s="57">
        <f>IFERROR($W602/$W601-1,"")</f>
        <v/>
      </c>
      <c r="DE601" s="57">
        <f>IFERROR($X602/$X601-1,"")</f>
        <v/>
      </c>
      <c r="DF601" s="57">
        <f>IFERROR($Y602/$Y601-1,"")</f>
        <v/>
      </c>
      <c r="DG601" s="57">
        <f>IFERROR($Z602/$Z601-1,"")</f>
        <v/>
      </c>
      <c r="DH601" s="57">
        <f>IFERROR($AA602/$AA601-1,"")</f>
        <v/>
      </c>
      <c r="DI601" s="57">
        <f>IFERROR($AB602/$AB601-1,"")</f>
        <v/>
      </c>
      <c r="DJ601" s="57">
        <f>IFERROR($AC602/$AC601-1,"")</f>
        <v/>
      </c>
      <c r="DK601" s="57">
        <f>IFERROR($AD602/$AD601-1,"")</f>
        <v/>
      </c>
      <c r="DL601" s="57">
        <f>IFERROR($AE602/$AE601-1,"")</f>
        <v/>
      </c>
      <c r="DM601" s="56">
        <f>$AZ601-$AZ602</f>
        <v/>
      </c>
      <c r="DN601" s="56">
        <f>$BA601-$BA602</f>
        <v/>
      </c>
      <c r="DO601" s="56">
        <f>$BB601-$BB602</f>
        <v/>
      </c>
      <c r="DP601" s="56">
        <f>$BC601-$BC602</f>
        <v/>
      </c>
      <c r="DQ601" s="56">
        <f>$BD601-$BD602</f>
        <v/>
      </c>
      <c r="DR601" s="56">
        <f>$BE601-$BE602</f>
        <v/>
      </c>
      <c r="DS601" s="56">
        <f>$BF601-$BF602</f>
        <v/>
      </c>
      <c r="DT601" s="56">
        <f>$BG601-$BG602</f>
        <v/>
      </c>
      <c r="DU601" s="56">
        <f>$BH601-$BH602</f>
        <v/>
      </c>
      <c r="DV601" s="56">
        <f>$BI601-$BI602</f>
        <v/>
      </c>
      <c r="DW601" s="56">
        <f>$BJ601-$BJ602</f>
        <v/>
      </c>
      <c r="DX601" s="56">
        <f>$BK601-$BK602</f>
        <v/>
      </c>
      <c r="DY601" s="56">
        <f>$BL601-$BL602</f>
        <v/>
      </c>
      <c r="DZ601" s="56">
        <f>$BM601-$BM602</f>
        <v/>
      </c>
      <c r="EA601" s="56">
        <f>$BN601-$BN602</f>
        <v/>
      </c>
      <c r="EB601" s="56">
        <f>$BO601-$BO602</f>
        <v/>
      </c>
      <c r="EC601" s="56">
        <f>$BP601-$BP602</f>
        <v/>
      </c>
      <c r="ED601" s="56">
        <f>$BQ601-$BQ602</f>
        <v/>
      </c>
      <c r="EE601" s="56">
        <f>$BR601-$BR602</f>
        <v/>
      </c>
      <c r="EF601" s="56">
        <f>$BS601-$BS602</f>
        <v/>
      </c>
      <c r="EG601" s="56">
        <f>$BT601-$BT602</f>
        <v/>
      </c>
      <c r="EH601" s="56">
        <f>$BU601-$BU602</f>
        <v/>
      </c>
    </row>
    <row r="602">
      <c r="BV602" s="56">
        <f>($D602-$D603)*100</f>
        <v/>
      </c>
      <c r="BW602" s="56">
        <f>($C602-$C603)*100</f>
        <v/>
      </c>
      <c r="BX602" s="57">
        <f>IFERROR($I602/$I603-1,"")</f>
        <v/>
      </c>
      <c r="BY602" s="56">
        <f>($AF602-$AF603)*100</f>
        <v/>
      </c>
      <c r="BZ602" s="56">
        <f>($AG602-$AG603)*100</f>
        <v/>
      </c>
      <c r="CA602" s="56">
        <f>($AH602-$AH603)*100</f>
        <v/>
      </c>
      <c r="CB602" s="56">
        <f>($AI602-$AI603)*100</f>
        <v/>
      </c>
      <c r="CC602" s="56">
        <f>($AJ602-$AJ603)*100</f>
        <v/>
      </c>
      <c r="CD602" s="56">
        <f>($AK602-$AK603)*100</f>
        <v/>
      </c>
      <c r="CE602" s="56">
        <f>($AL602-$AL603)*100</f>
        <v/>
      </c>
      <c r="CF602" s="56">
        <f>($AM602-$AM603)*100</f>
        <v/>
      </c>
      <c r="CG602" s="56">
        <f>($AN602-$AN603)*100</f>
        <v/>
      </c>
      <c r="CH602" s="56">
        <f>($AO602-$AO603)*100</f>
        <v/>
      </c>
      <c r="CI602" s="56">
        <f>($AP602-$AP603)*100</f>
        <v/>
      </c>
      <c r="CJ602" s="56">
        <f>($AQ602-$AQ603)*100</f>
        <v/>
      </c>
      <c r="CK602" s="56">
        <f>($AR602-$AR603)*100</f>
        <v/>
      </c>
      <c r="CL602" s="56">
        <f>($AS602-$AS603)*100</f>
        <v/>
      </c>
      <c r="CM602" s="56">
        <f>($AT602-$AT603)*100</f>
        <v/>
      </c>
      <c r="CN602" s="56">
        <f>($AU602-$AU603)*100</f>
        <v/>
      </c>
      <c r="CO602" s="56">
        <f>($AV602-$AV603)*100</f>
        <v/>
      </c>
      <c r="CP602" s="56">
        <f>($AW602-$AW603)*100</f>
        <v/>
      </c>
      <c r="CQ602" s="56">
        <f>($AX602-$AX603)*100</f>
        <v/>
      </c>
      <c r="CR602" s="56">
        <f>($AY602-$AY603)*100</f>
        <v/>
      </c>
      <c r="CS602" s="57">
        <f>IFERROR($L603/$L602-1,"")</f>
        <v/>
      </c>
      <c r="CT602" s="57">
        <f>IFERROR($M603/$M602-1,"")</f>
        <v/>
      </c>
      <c r="CU602" s="57">
        <f>IFERROR($N603/$N602-1,"")</f>
        <v/>
      </c>
      <c r="CV602" s="57">
        <f>IFERROR($O603/$O602-1,"")</f>
        <v/>
      </c>
      <c r="CW602" s="57">
        <f>IFERROR($P603/$P602-1,"")</f>
        <v/>
      </c>
      <c r="CX602" s="57">
        <f>IFERROR($Q603/$Q602-1,"")</f>
        <v/>
      </c>
      <c r="CY602" s="57">
        <f>IFERROR($R603/$R602-1,"")</f>
        <v/>
      </c>
      <c r="CZ602" s="57">
        <f>IFERROR($S603/$S602-1,"")</f>
        <v/>
      </c>
      <c r="DA602" s="57">
        <f>IFERROR($T603/$T602-1,"")</f>
        <v/>
      </c>
      <c r="DB602" s="57">
        <f>IFERROR($U603/$U602-1,"")</f>
        <v/>
      </c>
      <c r="DC602" s="57">
        <f>IFERROR($V603/$V602-1,"")</f>
        <v/>
      </c>
      <c r="DD602" s="57">
        <f>IFERROR($W603/$W602-1,"")</f>
        <v/>
      </c>
      <c r="DE602" s="57">
        <f>IFERROR($X603/$X602-1,"")</f>
        <v/>
      </c>
      <c r="DF602" s="57">
        <f>IFERROR($Y603/$Y602-1,"")</f>
        <v/>
      </c>
      <c r="DG602" s="57">
        <f>IFERROR($Z603/$Z602-1,"")</f>
        <v/>
      </c>
      <c r="DH602" s="57">
        <f>IFERROR($AA603/$AA602-1,"")</f>
        <v/>
      </c>
      <c r="DI602" s="57">
        <f>IFERROR($AB603/$AB602-1,"")</f>
        <v/>
      </c>
      <c r="DJ602" s="57">
        <f>IFERROR($AC603/$AC602-1,"")</f>
        <v/>
      </c>
      <c r="DK602" s="57">
        <f>IFERROR($AD603/$AD602-1,"")</f>
        <v/>
      </c>
      <c r="DL602" s="57">
        <f>IFERROR($AE603/$AE602-1,"")</f>
        <v/>
      </c>
      <c r="DM602" s="56">
        <f>$AZ602-$AZ603</f>
        <v/>
      </c>
      <c r="DN602" s="56">
        <f>$BA602-$BA603</f>
        <v/>
      </c>
      <c r="DO602" s="56">
        <f>$BB602-$BB603</f>
        <v/>
      </c>
      <c r="DP602" s="56">
        <f>$BC602-$BC603</f>
        <v/>
      </c>
      <c r="DQ602" s="56">
        <f>$BD602-$BD603</f>
        <v/>
      </c>
      <c r="DR602" s="56">
        <f>$BE602-$BE603</f>
        <v/>
      </c>
      <c r="DS602" s="56">
        <f>$BF602-$BF603</f>
        <v/>
      </c>
      <c r="DT602" s="56">
        <f>$BG602-$BG603</f>
        <v/>
      </c>
      <c r="DU602" s="56">
        <f>$BH602-$BH603</f>
        <v/>
      </c>
      <c r="DV602" s="56">
        <f>$BI602-$BI603</f>
        <v/>
      </c>
      <c r="DW602" s="56">
        <f>$BJ602-$BJ603</f>
        <v/>
      </c>
      <c r="DX602" s="56">
        <f>$BK602-$BK603</f>
        <v/>
      </c>
      <c r="DY602" s="56">
        <f>$BL602-$BL603</f>
        <v/>
      </c>
      <c r="DZ602" s="56">
        <f>$BM602-$BM603</f>
        <v/>
      </c>
      <c r="EA602" s="56">
        <f>$BN602-$BN603</f>
        <v/>
      </c>
      <c r="EB602" s="56">
        <f>$BO602-$BO603</f>
        <v/>
      </c>
      <c r="EC602" s="56">
        <f>$BP602-$BP603</f>
        <v/>
      </c>
      <c r="ED602" s="56">
        <f>$BQ602-$BQ603</f>
        <v/>
      </c>
      <c r="EE602" s="56">
        <f>$BR602-$BR603</f>
        <v/>
      </c>
      <c r="EF602" s="56">
        <f>$BS602-$BS603</f>
        <v/>
      </c>
      <c r="EG602" s="56">
        <f>$BT602-$BT603</f>
        <v/>
      </c>
      <c r="EH602" s="56">
        <f>$BU602-$BU603</f>
        <v/>
      </c>
    </row>
    <row r="603">
      <c r="BV603" s="56">
        <f>($D603-$D604)*100</f>
        <v/>
      </c>
      <c r="BW603" s="56">
        <f>($C603-$C604)*100</f>
        <v/>
      </c>
      <c r="BX603" s="57">
        <f>IFERROR($I603/$I604-1,"")</f>
        <v/>
      </c>
      <c r="BY603" s="56">
        <f>($AF603-$AF604)*100</f>
        <v/>
      </c>
      <c r="BZ603" s="56">
        <f>($AG603-$AG604)*100</f>
        <v/>
      </c>
      <c r="CA603" s="56">
        <f>($AH603-$AH604)*100</f>
        <v/>
      </c>
      <c r="CB603" s="56">
        <f>($AI603-$AI604)*100</f>
        <v/>
      </c>
      <c r="CC603" s="56">
        <f>($AJ603-$AJ604)*100</f>
        <v/>
      </c>
      <c r="CD603" s="56">
        <f>($AK603-$AK604)*100</f>
        <v/>
      </c>
      <c r="CE603" s="56">
        <f>($AL603-$AL604)*100</f>
        <v/>
      </c>
      <c r="CF603" s="56">
        <f>($AM603-$AM604)*100</f>
        <v/>
      </c>
      <c r="CG603" s="56">
        <f>($AN603-$AN604)*100</f>
        <v/>
      </c>
      <c r="CH603" s="56">
        <f>($AO603-$AO604)*100</f>
        <v/>
      </c>
      <c r="CI603" s="56">
        <f>($AP603-$AP604)*100</f>
        <v/>
      </c>
      <c r="CJ603" s="56">
        <f>($AQ603-$AQ604)*100</f>
        <v/>
      </c>
      <c r="CK603" s="56">
        <f>($AR603-$AR604)*100</f>
        <v/>
      </c>
      <c r="CL603" s="56">
        <f>($AS603-$AS604)*100</f>
        <v/>
      </c>
      <c r="CM603" s="56">
        <f>($AT603-$AT604)*100</f>
        <v/>
      </c>
      <c r="CN603" s="56">
        <f>($AU603-$AU604)*100</f>
        <v/>
      </c>
      <c r="CO603" s="56">
        <f>($AV603-$AV604)*100</f>
        <v/>
      </c>
      <c r="CP603" s="56">
        <f>($AW603-$AW604)*100</f>
        <v/>
      </c>
      <c r="CQ603" s="56">
        <f>($AX603-$AX604)*100</f>
        <v/>
      </c>
      <c r="CR603" s="56">
        <f>($AY603-$AY604)*100</f>
        <v/>
      </c>
      <c r="CS603" s="57">
        <f>IFERROR($L604/$L603-1,"")</f>
        <v/>
      </c>
      <c r="CT603" s="57">
        <f>IFERROR($M604/$M603-1,"")</f>
        <v/>
      </c>
      <c r="CU603" s="57">
        <f>IFERROR($N604/$N603-1,"")</f>
        <v/>
      </c>
      <c r="CV603" s="57">
        <f>IFERROR($O604/$O603-1,"")</f>
        <v/>
      </c>
      <c r="CW603" s="57">
        <f>IFERROR($P604/$P603-1,"")</f>
        <v/>
      </c>
      <c r="CX603" s="57">
        <f>IFERROR($Q604/$Q603-1,"")</f>
        <v/>
      </c>
      <c r="CY603" s="57">
        <f>IFERROR($R604/$R603-1,"")</f>
        <v/>
      </c>
      <c r="CZ603" s="57">
        <f>IFERROR($S604/$S603-1,"")</f>
        <v/>
      </c>
      <c r="DA603" s="57">
        <f>IFERROR($T604/$T603-1,"")</f>
        <v/>
      </c>
      <c r="DB603" s="57">
        <f>IFERROR($U604/$U603-1,"")</f>
        <v/>
      </c>
      <c r="DC603" s="57">
        <f>IFERROR($V604/$V603-1,"")</f>
        <v/>
      </c>
      <c r="DD603" s="57">
        <f>IFERROR($W604/$W603-1,"")</f>
        <v/>
      </c>
      <c r="DE603" s="57">
        <f>IFERROR($X604/$X603-1,"")</f>
        <v/>
      </c>
      <c r="DF603" s="57">
        <f>IFERROR($Y604/$Y603-1,"")</f>
        <v/>
      </c>
      <c r="DG603" s="57">
        <f>IFERROR($Z604/$Z603-1,"")</f>
        <v/>
      </c>
      <c r="DH603" s="57">
        <f>IFERROR($AA604/$AA603-1,"")</f>
        <v/>
      </c>
      <c r="DI603" s="57">
        <f>IFERROR($AB604/$AB603-1,"")</f>
        <v/>
      </c>
      <c r="DJ603" s="57">
        <f>IFERROR($AC604/$AC603-1,"")</f>
        <v/>
      </c>
      <c r="DK603" s="57">
        <f>IFERROR($AD604/$AD603-1,"")</f>
        <v/>
      </c>
      <c r="DL603" s="57">
        <f>IFERROR($AE604/$AE603-1,"")</f>
        <v/>
      </c>
      <c r="DM603" s="56">
        <f>$AZ603-$AZ604</f>
        <v/>
      </c>
      <c r="DN603" s="56">
        <f>$BA603-$BA604</f>
        <v/>
      </c>
      <c r="DO603" s="56">
        <f>$BB603-$BB604</f>
        <v/>
      </c>
      <c r="DP603" s="56">
        <f>$BC603-$BC604</f>
        <v/>
      </c>
      <c r="DQ603" s="56">
        <f>$BD603-$BD604</f>
        <v/>
      </c>
      <c r="DR603" s="56">
        <f>$BE603-$BE604</f>
        <v/>
      </c>
      <c r="DS603" s="56">
        <f>$BF603-$BF604</f>
        <v/>
      </c>
      <c r="DT603" s="56">
        <f>$BG603-$BG604</f>
        <v/>
      </c>
      <c r="DU603" s="56">
        <f>$BH603-$BH604</f>
        <v/>
      </c>
      <c r="DV603" s="56">
        <f>$BI603-$BI604</f>
        <v/>
      </c>
      <c r="DW603" s="56">
        <f>$BJ603-$BJ604</f>
        <v/>
      </c>
      <c r="DX603" s="56">
        <f>$BK603-$BK604</f>
        <v/>
      </c>
      <c r="DY603" s="56">
        <f>$BL603-$BL604</f>
        <v/>
      </c>
      <c r="DZ603" s="56">
        <f>$BM603-$BM604</f>
        <v/>
      </c>
      <c r="EA603" s="56">
        <f>$BN603-$BN604</f>
        <v/>
      </c>
      <c r="EB603" s="56">
        <f>$BO603-$BO604</f>
        <v/>
      </c>
      <c r="EC603" s="56">
        <f>$BP603-$BP604</f>
        <v/>
      </c>
      <c r="ED603" s="56">
        <f>$BQ603-$BQ604</f>
        <v/>
      </c>
      <c r="EE603" s="56">
        <f>$BR603-$BR604</f>
        <v/>
      </c>
      <c r="EF603" s="56">
        <f>$BS603-$BS604</f>
        <v/>
      </c>
      <c r="EG603" s="56">
        <f>$BT603-$BT604</f>
        <v/>
      </c>
      <c r="EH603" s="56">
        <f>$BU603-$BU604</f>
        <v/>
      </c>
    </row>
    <row r="604">
      <c r="BV604" s="56">
        <f>($D604-$D605)*100</f>
        <v/>
      </c>
      <c r="BW604" s="56">
        <f>($C604-$C605)*100</f>
        <v/>
      </c>
      <c r="BX604" s="57">
        <f>IFERROR($I604/$I605-1,"")</f>
        <v/>
      </c>
      <c r="BY604" s="56">
        <f>($AF604-$AF605)*100</f>
        <v/>
      </c>
      <c r="BZ604" s="56">
        <f>($AG604-$AG605)*100</f>
        <v/>
      </c>
      <c r="CA604" s="56">
        <f>($AH604-$AH605)*100</f>
        <v/>
      </c>
      <c r="CB604" s="56">
        <f>($AI604-$AI605)*100</f>
        <v/>
      </c>
      <c r="CC604" s="56">
        <f>($AJ604-$AJ605)*100</f>
        <v/>
      </c>
      <c r="CD604" s="56">
        <f>($AK604-$AK605)*100</f>
        <v/>
      </c>
      <c r="CE604" s="56">
        <f>($AL604-$AL605)*100</f>
        <v/>
      </c>
      <c r="CF604" s="56">
        <f>($AM604-$AM605)*100</f>
        <v/>
      </c>
      <c r="CG604" s="56">
        <f>($AN604-$AN605)*100</f>
        <v/>
      </c>
      <c r="CH604" s="56">
        <f>($AO604-$AO605)*100</f>
        <v/>
      </c>
      <c r="CI604" s="56">
        <f>($AP604-$AP605)*100</f>
        <v/>
      </c>
      <c r="CJ604" s="56">
        <f>($AQ604-$AQ605)*100</f>
        <v/>
      </c>
      <c r="CK604" s="56">
        <f>($AR604-$AR605)*100</f>
        <v/>
      </c>
      <c r="CL604" s="56">
        <f>($AS604-$AS605)*100</f>
        <v/>
      </c>
      <c r="CM604" s="56">
        <f>($AT604-$AT605)*100</f>
        <v/>
      </c>
      <c r="CN604" s="56">
        <f>($AU604-$AU605)*100</f>
        <v/>
      </c>
      <c r="CO604" s="56">
        <f>($AV604-$AV605)*100</f>
        <v/>
      </c>
      <c r="CP604" s="56">
        <f>($AW604-$AW605)*100</f>
        <v/>
      </c>
      <c r="CQ604" s="56">
        <f>($AX604-$AX605)*100</f>
        <v/>
      </c>
      <c r="CR604" s="56">
        <f>($AY604-$AY605)*100</f>
        <v/>
      </c>
      <c r="CS604" s="57">
        <f>IFERROR($L605/$L604-1,"")</f>
        <v/>
      </c>
      <c r="CT604" s="57">
        <f>IFERROR($M605/$M604-1,"")</f>
        <v/>
      </c>
      <c r="CU604" s="57">
        <f>IFERROR($N605/$N604-1,"")</f>
        <v/>
      </c>
      <c r="CV604" s="57">
        <f>IFERROR($O605/$O604-1,"")</f>
        <v/>
      </c>
      <c r="CW604" s="57">
        <f>IFERROR($P605/$P604-1,"")</f>
        <v/>
      </c>
      <c r="CX604" s="57">
        <f>IFERROR($Q605/$Q604-1,"")</f>
        <v/>
      </c>
      <c r="CY604" s="57">
        <f>IFERROR($R605/$R604-1,"")</f>
        <v/>
      </c>
      <c r="CZ604" s="57">
        <f>IFERROR($S605/$S604-1,"")</f>
        <v/>
      </c>
      <c r="DA604" s="57">
        <f>IFERROR($T605/$T604-1,"")</f>
        <v/>
      </c>
      <c r="DB604" s="57">
        <f>IFERROR($U605/$U604-1,"")</f>
        <v/>
      </c>
      <c r="DC604" s="57">
        <f>IFERROR($V605/$V604-1,"")</f>
        <v/>
      </c>
      <c r="DD604" s="57">
        <f>IFERROR($W605/$W604-1,"")</f>
        <v/>
      </c>
      <c r="DE604" s="57">
        <f>IFERROR($X605/$X604-1,"")</f>
        <v/>
      </c>
      <c r="DF604" s="57">
        <f>IFERROR($Y605/$Y604-1,"")</f>
        <v/>
      </c>
      <c r="DG604" s="57">
        <f>IFERROR($Z605/$Z604-1,"")</f>
        <v/>
      </c>
      <c r="DH604" s="57">
        <f>IFERROR($AA605/$AA604-1,"")</f>
        <v/>
      </c>
      <c r="DI604" s="57">
        <f>IFERROR($AB605/$AB604-1,"")</f>
        <v/>
      </c>
      <c r="DJ604" s="57">
        <f>IFERROR($AC605/$AC604-1,"")</f>
        <v/>
      </c>
      <c r="DK604" s="57">
        <f>IFERROR($AD605/$AD604-1,"")</f>
        <v/>
      </c>
      <c r="DL604" s="57">
        <f>IFERROR($AE605/$AE604-1,"")</f>
        <v/>
      </c>
      <c r="DM604" s="56">
        <f>$AZ604-$AZ605</f>
        <v/>
      </c>
      <c r="DN604" s="56">
        <f>$BA604-$BA605</f>
        <v/>
      </c>
      <c r="DO604" s="56">
        <f>$BB604-$BB605</f>
        <v/>
      </c>
      <c r="DP604" s="56">
        <f>$BC604-$BC605</f>
        <v/>
      </c>
      <c r="DQ604" s="56">
        <f>$BD604-$BD605</f>
        <v/>
      </c>
      <c r="DR604" s="56">
        <f>$BE604-$BE605</f>
        <v/>
      </c>
      <c r="DS604" s="56">
        <f>$BF604-$BF605</f>
        <v/>
      </c>
      <c r="DT604" s="56">
        <f>$BG604-$BG605</f>
        <v/>
      </c>
      <c r="DU604" s="56">
        <f>$BH604-$BH605</f>
        <v/>
      </c>
      <c r="DV604" s="56">
        <f>$BI604-$BI605</f>
        <v/>
      </c>
      <c r="DW604" s="56">
        <f>$BJ604-$BJ605</f>
        <v/>
      </c>
      <c r="DX604" s="56">
        <f>$BK604-$BK605</f>
        <v/>
      </c>
      <c r="DY604" s="56">
        <f>$BL604-$BL605</f>
        <v/>
      </c>
      <c r="DZ604" s="56">
        <f>$BM604-$BM605</f>
        <v/>
      </c>
      <c r="EA604" s="56">
        <f>$BN604-$BN605</f>
        <v/>
      </c>
      <c r="EB604" s="56">
        <f>$BO604-$BO605</f>
        <v/>
      </c>
      <c r="EC604" s="56">
        <f>$BP604-$BP605</f>
        <v/>
      </c>
      <c r="ED604" s="56">
        <f>$BQ604-$BQ605</f>
        <v/>
      </c>
      <c r="EE604" s="56">
        <f>$BR604-$BR605</f>
        <v/>
      </c>
      <c r="EF604" s="56">
        <f>$BS604-$BS605</f>
        <v/>
      </c>
      <c r="EG604" s="56">
        <f>$BT604-$BT605</f>
        <v/>
      </c>
      <c r="EH604" s="56">
        <f>$BU604-$BU605</f>
        <v/>
      </c>
    </row>
    <row r="605">
      <c r="BV605" s="56">
        <f>($D605-$D606)*100</f>
        <v/>
      </c>
      <c r="BW605" s="56">
        <f>($C605-$C606)*100</f>
        <v/>
      </c>
      <c r="BX605" s="57">
        <f>IFERROR($I605/$I606-1,"")</f>
        <v/>
      </c>
      <c r="BY605" s="56">
        <f>($AF605-$AF606)*100</f>
        <v/>
      </c>
      <c r="BZ605" s="56">
        <f>($AG605-$AG606)*100</f>
        <v/>
      </c>
      <c r="CA605" s="56">
        <f>($AH605-$AH606)*100</f>
        <v/>
      </c>
      <c r="CB605" s="56">
        <f>($AI605-$AI606)*100</f>
        <v/>
      </c>
      <c r="CC605" s="56">
        <f>($AJ605-$AJ606)*100</f>
        <v/>
      </c>
      <c r="CD605" s="56">
        <f>($AK605-$AK606)*100</f>
        <v/>
      </c>
      <c r="CE605" s="56">
        <f>($AL605-$AL606)*100</f>
        <v/>
      </c>
      <c r="CF605" s="56">
        <f>($AM605-$AM606)*100</f>
        <v/>
      </c>
      <c r="CG605" s="56">
        <f>($AN605-$AN606)*100</f>
        <v/>
      </c>
      <c r="CH605" s="56">
        <f>($AO605-$AO606)*100</f>
        <v/>
      </c>
      <c r="CI605" s="56">
        <f>($AP605-$AP606)*100</f>
        <v/>
      </c>
      <c r="CJ605" s="56">
        <f>($AQ605-$AQ606)*100</f>
        <v/>
      </c>
      <c r="CK605" s="56">
        <f>($AR605-$AR606)*100</f>
        <v/>
      </c>
      <c r="CL605" s="56">
        <f>($AS605-$AS606)*100</f>
        <v/>
      </c>
      <c r="CM605" s="56">
        <f>($AT605-$AT606)*100</f>
        <v/>
      </c>
      <c r="CN605" s="56">
        <f>($AU605-$AU606)*100</f>
        <v/>
      </c>
      <c r="CO605" s="56">
        <f>($AV605-$AV606)*100</f>
        <v/>
      </c>
      <c r="CP605" s="56">
        <f>($AW605-$AW606)*100</f>
        <v/>
      </c>
      <c r="CQ605" s="56">
        <f>($AX605-$AX606)*100</f>
        <v/>
      </c>
      <c r="CR605" s="56">
        <f>($AY605-$AY606)*100</f>
        <v/>
      </c>
      <c r="CS605" s="57">
        <f>IFERROR($L606/$L605-1,"")</f>
        <v/>
      </c>
      <c r="CT605" s="57">
        <f>IFERROR($M606/$M605-1,"")</f>
        <v/>
      </c>
      <c r="CU605" s="57">
        <f>IFERROR($N606/$N605-1,"")</f>
        <v/>
      </c>
      <c r="CV605" s="57">
        <f>IFERROR($O606/$O605-1,"")</f>
        <v/>
      </c>
      <c r="CW605" s="57">
        <f>IFERROR($P606/$P605-1,"")</f>
        <v/>
      </c>
      <c r="CX605" s="57">
        <f>IFERROR($Q606/$Q605-1,"")</f>
        <v/>
      </c>
      <c r="CY605" s="57">
        <f>IFERROR($R606/$R605-1,"")</f>
        <v/>
      </c>
      <c r="CZ605" s="57">
        <f>IFERROR($S606/$S605-1,"")</f>
        <v/>
      </c>
      <c r="DA605" s="57">
        <f>IFERROR($T606/$T605-1,"")</f>
        <v/>
      </c>
      <c r="DB605" s="57">
        <f>IFERROR($U606/$U605-1,"")</f>
        <v/>
      </c>
      <c r="DC605" s="57">
        <f>IFERROR($V606/$V605-1,"")</f>
        <v/>
      </c>
      <c r="DD605" s="57">
        <f>IFERROR($W606/$W605-1,"")</f>
        <v/>
      </c>
      <c r="DE605" s="57">
        <f>IFERROR($X606/$X605-1,"")</f>
        <v/>
      </c>
      <c r="DF605" s="57">
        <f>IFERROR($Y606/$Y605-1,"")</f>
        <v/>
      </c>
      <c r="DG605" s="57">
        <f>IFERROR($Z606/$Z605-1,"")</f>
        <v/>
      </c>
      <c r="DH605" s="57">
        <f>IFERROR($AA606/$AA605-1,"")</f>
        <v/>
      </c>
      <c r="DI605" s="57">
        <f>IFERROR($AB606/$AB605-1,"")</f>
        <v/>
      </c>
      <c r="DJ605" s="57">
        <f>IFERROR($AC606/$AC605-1,"")</f>
        <v/>
      </c>
      <c r="DK605" s="57">
        <f>IFERROR($AD606/$AD605-1,"")</f>
        <v/>
      </c>
      <c r="DL605" s="57">
        <f>IFERROR($AE606/$AE605-1,"")</f>
        <v/>
      </c>
      <c r="DM605" s="56">
        <f>$AZ605-$AZ606</f>
        <v/>
      </c>
      <c r="DN605" s="56">
        <f>$BA605-$BA606</f>
        <v/>
      </c>
      <c r="DO605" s="56">
        <f>$BB605-$BB606</f>
        <v/>
      </c>
      <c r="DP605" s="56">
        <f>$BC605-$BC606</f>
        <v/>
      </c>
      <c r="DQ605" s="56">
        <f>$BD605-$BD606</f>
        <v/>
      </c>
      <c r="DR605" s="56">
        <f>$BE605-$BE606</f>
        <v/>
      </c>
      <c r="DS605" s="56">
        <f>$BF605-$BF606</f>
        <v/>
      </c>
      <c r="DT605" s="56">
        <f>$BG605-$BG606</f>
        <v/>
      </c>
      <c r="DU605" s="56">
        <f>$BH605-$BH606</f>
        <v/>
      </c>
      <c r="DV605" s="56">
        <f>$BI605-$BI606</f>
        <v/>
      </c>
      <c r="DW605" s="56">
        <f>$BJ605-$BJ606</f>
        <v/>
      </c>
      <c r="DX605" s="56">
        <f>$BK605-$BK606</f>
        <v/>
      </c>
      <c r="DY605" s="56">
        <f>$BL605-$BL606</f>
        <v/>
      </c>
      <c r="DZ605" s="56">
        <f>$BM605-$BM606</f>
        <v/>
      </c>
      <c r="EA605" s="56">
        <f>$BN605-$BN606</f>
        <v/>
      </c>
      <c r="EB605" s="56">
        <f>$BO605-$BO606</f>
        <v/>
      </c>
      <c r="EC605" s="56">
        <f>$BP605-$BP606</f>
        <v/>
      </c>
      <c r="ED605" s="56">
        <f>$BQ605-$BQ606</f>
        <v/>
      </c>
      <c r="EE605" s="56">
        <f>$BR605-$BR606</f>
        <v/>
      </c>
      <c r="EF605" s="56">
        <f>$BS605-$BS606</f>
        <v/>
      </c>
      <c r="EG605" s="56">
        <f>$BT605-$BT606</f>
        <v/>
      </c>
      <c r="EH605" s="56">
        <f>$BU605-$BU606</f>
        <v/>
      </c>
    </row>
    <row r="606">
      <c r="BV606" s="56">
        <f>($D606-$D607)*100</f>
        <v/>
      </c>
      <c r="BW606" s="56">
        <f>($C606-$C607)*100</f>
        <v/>
      </c>
      <c r="BX606" s="57">
        <f>IFERROR($I606/$I607-1,"")</f>
        <v/>
      </c>
      <c r="BY606" s="56">
        <f>($AF606-$AF607)*100</f>
        <v/>
      </c>
      <c r="BZ606" s="56">
        <f>($AG606-$AG607)*100</f>
        <v/>
      </c>
      <c r="CA606" s="56">
        <f>($AH606-$AH607)*100</f>
        <v/>
      </c>
      <c r="CB606" s="56">
        <f>($AI606-$AI607)*100</f>
        <v/>
      </c>
      <c r="CC606" s="56">
        <f>($AJ606-$AJ607)*100</f>
        <v/>
      </c>
      <c r="CD606" s="56">
        <f>($AK606-$AK607)*100</f>
        <v/>
      </c>
      <c r="CE606" s="56">
        <f>($AL606-$AL607)*100</f>
        <v/>
      </c>
      <c r="CF606" s="56">
        <f>($AM606-$AM607)*100</f>
        <v/>
      </c>
      <c r="CG606" s="56">
        <f>($AN606-$AN607)*100</f>
        <v/>
      </c>
      <c r="CH606" s="56">
        <f>($AO606-$AO607)*100</f>
        <v/>
      </c>
      <c r="CI606" s="56">
        <f>($AP606-$AP607)*100</f>
        <v/>
      </c>
      <c r="CJ606" s="56">
        <f>($AQ606-$AQ607)*100</f>
        <v/>
      </c>
      <c r="CK606" s="56">
        <f>($AR606-$AR607)*100</f>
        <v/>
      </c>
      <c r="CL606" s="56">
        <f>($AS606-$AS607)*100</f>
        <v/>
      </c>
      <c r="CM606" s="56">
        <f>($AT606-$AT607)*100</f>
        <v/>
      </c>
      <c r="CN606" s="56">
        <f>($AU606-$AU607)*100</f>
        <v/>
      </c>
      <c r="CO606" s="56">
        <f>($AV606-$AV607)*100</f>
        <v/>
      </c>
      <c r="CP606" s="56">
        <f>($AW606-$AW607)*100</f>
        <v/>
      </c>
      <c r="CQ606" s="56">
        <f>($AX606-$AX607)*100</f>
        <v/>
      </c>
      <c r="CR606" s="56">
        <f>($AY606-$AY607)*100</f>
        <v/>
      </c>
      <c r="CS606" s="57">
        <f>IFERROR($L607/$L606-1,"")</f>
        <v/>
      </c>
      <c r="CT606" s="57">
        <f>IFERROR($M607/$M606-1,"")</f>
        <v/>
      </c>
      <c r="CU606" s="57">
        <f>IFERROR($N607/$N606-1,"")</f>
        <v/>
      </c>
      <c r="CV606" s="57">
        <f>IFERROR($O607/$O606-1,"")</f>
        <v/>
      </c>
      <c r="CW606" s="57">
        <f>IFERROR($P607/$P606-1,"")</f>
        <v/>
      </c>
      <c r="CX606" s="57">
        <f>IFERROR($Q607/$Q606-1,"")</f>
        <v/>
      </c>
      <c r="CY606" s="57">
        <f>IFERROR($R607/$R606-1,"")</f>
        <v/>
      </c>
      <c r="CZ606" s="57">
        <f>IFERROR($S607/$S606-1,"")</f>
        <v/>
      </c>
      <c r="DA606" s="57">
        <f>IFERROR($T607/$T606-1,"")</f>
        <v/>
      </c>
      <c r="DB606" s="57">
        <f>IFERROR($U607/$U606-1,"")</f>
        <v/>
      </c>
      <c r="DC606" s="57">
        <f>IFERROR($V607/$V606-1,"")</f>
        <v/>
      </c>
      <c r="DD606" s="57">
        <f>IFERROR($W607/$W606-1,"")</f>
        <v/>
      </c>
      <c r="DE606" s="57">
        <f>IFERROR($X607/$X606-1,"")</f>
        <v/>
      </c>
      <c r="DF606" s="57">
        <f>IFERROR($Y607/$Y606-1,"")</f>
        <v/>
      </c>
      <c r="DG606" s="57">
        <f>IFERROR($Z607/$Z606-1,"")</f>
        <v/>
      </c>
      <c r="DH606" s="57">
        <f>IFERROR($AA607/$AA606-1,"")</f>
        <v/>
      </c>
      <c r="DI606" s="57">
        <f>IFERROR($AB607/$AB606-1,"")</f>
        <v/>
      </c>
      <c r="DJ606" s="57">
        <f>IFERROR($AC607/$AC606-1,"")</f>
        <v/>
      </c>
      <c r="DK606" s="57">
        <f>IFERROR($AD607/$AD606-1,"")</f>
        <v/>
      </c>
      <c r="DL606" s="57">
        <f>IFERROR($AE607/$AE606-1,"")</f>
        <v/>
      </c>
      <c r="DM606" s="56">
        <f>$AZ606-$AZ607</f>
        <v/>
      </c>
      <c r="DN606" s="56">
        <f>$BA606-$BA607</f>
        <v/>
      </c>
      <c r="DO606" s="56">
        <f>$BB606-$BB607</f>
        <v/>
      </c>
      <c r="DP606" s="56">
        <f>$BC606-$BC607</f>
        <v/>
      </c>
      <c r="DQ606" s="56">
        <f>$BD606-$BD607</f>
        <v/>
      </c>
      <c r="DR606" s="56">
        <f>$BE606-$BE607</f>
        <v/>
      </c>
      <c r="DS606" s="56">
        <f>$BF606-$BF607</f>
        <v/>
      </c>
      <c r="DT606" s="56">
        <f>$BG606-$BG607</f>
        <v/>
      </c>
      <c r="DU606" s="56">
        <f>$BH606-$BH607</f>
        <v/>
      </c>
      <c r="DV606" s="56">
        <f>$BI606-$BI607</f>
        <v/>
      </c>
      <c r="DW606" s="56">
        <f>$BJ606-$BJ607</f>
        <v/>
      </c>
      <c r="DX606" s="56">
        <f>$BK606-$BK607</f>
        <v/>
      </c>
      <c r="DY606" s="56">
        <f>$BL606-$BL607</f>
        <v/>
      </c>
      <c r="DZ606" s="56">
        <f>$BM606-$BM607</f>
        <v/>
      </c>
      <c r="EA606" s="56">
        <f>$BN606-$BN607</f>
        <v/>
      </c>
      <c r="EB606" s="56">
        <f>$BO606-$BO607</f>
        <v/>
      </c>
      <c r="EC606" s="56">
        <f>$BP606-$BP607</f>
        <v/>
      </c>
      <c r="ED606" s="56">
        <f>$BQ606-$BQ607</f>
        <v/>
      </c>
      <c r="EE606" s="56">
        <f>$BR606-$BR607</f>
        <v/>
      </c>
      <c r="EF606" s="56">
        <f>$BS606-$BS607</f>
        <v/>
      </c>
      <c r="EG606" s="56">
        <f>$BT606-$BT607</f>
        <v/>
      </c>
      <c r="EH606" s="56">
        <f>$BU606-$BU607</f>
        <v/>
      </c>
    </row>
    <row r="607">
      <c r="BV607" s="56">
        <f>($D607-$D608)*100</f>
        <v/>
      </c>
      <c r="BW607" s="56">
        <f>($C607-$C608)*100</f>
        <v/>
      </c>
      <c r="BX607" s="57">
        <f>IFERROR($I607/$I608-1,"")</f>
        <v/>
      </c>
      <c r="BY607" s="56">
        <f>($AF607-$AF608)*100</f>
        <v/>
      </c>
      <c r="BZ607" s="56">
        <f>($AG607-$AG608)*100</f>
        <v/>
      </c>
      <c r="CA607" s="56">
        <f>($AH607-$AH608)*100</f>
        <v/>
      </c>
      <c r="CB607" s="56">
        <f>($AI607-$AI608)*100</f>
        <v/>
      </c>
      <c r="CC607" s="56">
        <f>($AJ607-$AJ608)*100</f>
        <v/>
      </c>
      <c r="CD607" s="56">
        <f>($AK607-$AK608)*100</f>
        <v/>
      </c>
      <c r="CE607" s="56">
        <f>($AL607-$AL608)*100</f>
        <v/>
      </c>
      <c r="CF607" s="56">
        <f>($AM607-$AM608)*100</f>
        <v/>
      </c>
      <c r="CG607" s="56">
        <f>($AN607-$AN608)*100</f>
        <v/>
      </c>
      <c r="CH607" s="56">
        <f>($AO607-$AO608)*100</f>
        <v/>
      </c>
      <c r="CI607" s="56">
        <f>($AP607-$AP608)*100</f>
        <v/>
      </c>
      <c r="CJ607" s="56">
        <f>($AQ607-$AQ608)*100</f>
        <v/>
      </c>
      <c r="CK607" s="56">
        <f>($AR607-$AR608)*100</f>
        <v/>
      </c>
      <c r="CL607" s="56">
        <f>($AS607-$AS608)*100</f>
        <v/>
      </c>
      <c r="CM607" s="56">
        <f>($AT607-$AT608)*100</f>
        <v/>
      </c>
      <c r="CN607" s="56">
        <f>($AU607-$AU608)*100</f>
        <v/>
      </c>
      <c r="CO607" s="56">
        <f>($AV607-$AV608)*100</f>
        <v/>
      </c>
      <c r="CP607" s="56">
        <f>($AW607-$AW608)*100</f>
        <v/>
      </c>
      <c r="CQ607" s="56">
        <f>($AX607-$AX608)*100</f>
        <v/>
      </c>
      <c r="CR607" s="56">
        <f>($AY607-$AY608)*100</f>
        <v/>
      </c>
      <c r="CS607" s="57">
        <f>IFERROR($L608/$L607-1,"")</f>
        <v/>
      </c>
      <c r="CT607" s="57">
        <f>IFERROR($M608/$M607-1,"")</f>
        <v/>
      </c>
      <c r="CU607" s="57">
        <f>IFERROR($N608/$N607-1,"")</f>
        <v/>
      </c>
      <c r="CV607" s="57">
        <f>IFERROR($O608/$O607-1,"")</f>
        <v/>
      </c>
      <c r="CW607" s="57">
        <f>IFERROR($P608/$P607-1,"")</f>
        <v/>
      </c>
      <c r="CX607" s="57">
        <f>IFERROR($Q608/$Q607-1,"")</f>
        <v/>
      </c>
      <c r="CY607" s="57">
        <f>IFERROR($R608/$R607-1,"")</f>
        <v/>
      </c>
      <c r="CZ607" s="57">
        <f>IFERROR($S608/$S607-1,"")</f>
        <v/>
      </c>
      <c r="DA607" s="57">
        <f>IFERROR($T608/$T607-1,"")</f>
        <v/>
      </c>
      <c r="DB607" s="57">
        <f>IFERROR($U608/$U607-1,"")</f>
        <v/>
      </c>
      <c r="DC607" s="57">
        <f>IFERROR($V608/$V607-1,"")</f>
        <v/>
      </c>
      <c r="DD607" s="57">
        <f>IFERROR($W608/$W607-1,"")</f>
        <v/>
      </c>
      <c r="DE607" s="57">
        <f>IFERROR($X608/$X607-1,"")</f>
        <v/>
      </c>
      <c r="DF607" s="57">
        <f>IFERROR($Y608/$Y607-1,"")</f>
        <v/>
      </c>
      <c r="DG607" s="57">
        <f>IFERROR($Z608/$Z607-1,"")</f>
        <v/>
      </c>
      <c r="DH607" s="57">
        <f>IFERROR($AA608/$AA607-1,"")</f>
        <v/>
      </c>
      <c r="DI607" s="57">
        <f>IFERROR($AB608/$AB607-1,"")</f>
        <v/>
      </c>
      <c r="DJ607" s="57">
        <f>IFERROR($AC608/$AC607-1,"")</f>
        <v/>
      </c>
      <c r="DK607" s="57">
        <f>IFERROR($AD608/$AD607-1,"")</f>
        <v/>
      </c>
      <c r="DL607" s="57">
        <f>IFERROR($AE608/$AE607-1,"")</f>
        <v/>
      </c>
      <c r="DM607" s="56">
        <f>$AZ607-$AZ608</f>
        <v/>
      </c>
      <c r="DN607" s="56">
        <f>$BA607-$BA608</f>
        <v/>
      </c>
      <c r="DO607" s="56">
        <f>$BB607-$BB608</f>
        <v/>
      </c>
      <c r="DP607" s="56">
        <f>$BC607-$BC608</f>
        <v/>
      </c>
      <c r="DQ607" s="56">
        <f>$BD607-$BD608</f>
        <v/>
      </c>
      <c r="DR607" s="56">
        <f>$BE607-$BE608</f>
        <v/>
      </c>
      <c r="DS607" s="56">
        <f>$BF607-$BF608</f>
        <v/>
      </c>
      <c r="DT607" s="56">
        <f>$BG607-$BG608</f>
        <v/>
      </c>
      <c r="DU607" s="56">
        <f>$BH607-$BH608</f>
        <v/>
      </c>
      <c r="DV607" s="56">
        <f>$BI607-$BI608</f>
        <v/>
      </c>
      <c r="DW607" s="56">
        <f>$BJ607-$BJ608</f>
        <v/>
      </c>
      <c r="DX607" s="56">
        <f>$BK607-$BK608</f>
        <v/>
      </c>
      <c r="DY607" s="56">
        <f>$BL607-$BL608</f>
        <v/>
      </c>
      <c r="DZ607" s="56">
        <f>$BM607-$BM608</f>
        <v/>
      </c>
      <c r="EA607" s="56">
        <f>$BN607-$BN608</f>
        <v/>
      </c>
      <c r="EB607" s="56">
        <f>$BO607-$BO608</f>
        <v/>
      </c>
      <c r="EC607" s="56">
        <f>$BP607-$BP608</f>
        <v/>
      </c>
      <c r="ED607" s="56">
        <f>$BQ607-$BQ608</f>
        <v/>
      </c>
      <c r="EE607" s="56">
        <f>$BR607-$BR608</f>
        <v/>
      </c>
      <c r="EF607" s="56">
        <f>$BS607-$BS608</f>
        <v/>
      </c>
      <c r="EG607" s="56">
        <f>$BT607-$BT608</f>
        <v/>
      </c>
      <c r="EH607" s="56">
        <f>$BU607-$BU608</f>
        <v/>
      </c>
    </row>
    <row r="608">
      <c r="BV608" s="56">
        <f>($D608-$D609)*100</f>
        <v/>
      </c>
      <c r="BW608" s="56">
        <f>($C608-$C609)*100</f>
        <v/>
      </c>
      <c r="BX608" s="57">
        <f>IFERROR($I608/$I609-1,"")</f>
        <v/>
      </c>
      <c r="BY608" s="56">
        <f>($AF608-$AF609)*100</f>
        <v/>
      </c>
      <c r="BZ608" s="56">
        <f>($AG608-$AG609)*100</f>
        <v/>
      </c>
      <c r="CA608" s="56">
        <f>($AH608-$AH609)*100</f>
        <v/>
      </c>
      <c r="CB608" s="56">
        <f>($AI608-$AI609)*100</f>
        <v/>
      </c>
      <c r="CC608" s="56">
        <f>($AJ608-$AJ609)*100</f>
        <v/>
      </c>
      <c r="CD608" s="56">
        <f>($AK608-$AK609)*100</f>
        <v/>
      </c>
      <c r="CE608" s="56">
        <f>($AL608-$AL609)*100</f>
        <v/>
      </c>
      <c r="CF608" s="56">
        <f>($AM608-$AM609)*100</f>
        <v/>
      </c>
      <c r="CG608" s="56">
        <f>($AN608-$AN609)*100</f>
        <v/>
      </c>
      <c r="CH608" s="56">
        <f>($AO608-$AO609)*100</f>
        <v/>
      </c>
      <c r="CI608" s="56">
        <f>($AP608-$AP609)*100</f>
        <v/>
      </c>
      <c r="CJ608" s="56">
        <f>($AQ608-$AQ609)*100</f>
        <v/>
      </c>
      <c r="CK608" s="56">
        <f>($AR608-$AR609)*100</f>
        <v/>
      </c>
      <c r="CL608" s="56">
        <f>($AS608-$AS609)*100</f>
        <v/>
      </c>
      <c r="CM608" s="56">
        <f>($AT608-$AT609)*100</f>
        <v/>
      </c>
      <c r="CN608" s="56">
        <f>($AU608-$AU609)*100</f>
        <v/>
      </c>
      <c r="CO608" s="56">
        <f>($AV608-$AV609)*100</f>
        <v/>
      </c>
      <c r="CP608" s="56">
        <f>($AW608-$AW609)*100</f>
        <v/>
      </c>
      <c r="CQ608" s="56">
        <f>($AX608-$AX609)*100</f>
        <v/>
      </c>
      <c r="CR608" s="56">
        <f>($AY608-$AY609)*100</f>
        <v/>
      </c>
      <c r="CS608" s="57">
        <f>IFERROR($L609/$L608-1,"")</f>
        <v/>
      </c>
      <c r="CT608" s="57">
        <f>IFERROR($M609/$M608-1,"")</f>
        <v/>
      </c>
      <c r="CU608" s="57">
        <f>IFERROR($N609/$N608-1,"")</f>
        <v/>
      </c>
      <c r="CV608" s="57">
        <f>IFERROR($O609/$O608-1,"")</f>
        <v/>
      </c>
      <c r="CW608" s="57">
        <f>IFERROR($P609/$P608-1,"")</f>
        <v/>
      </c>
      <c r="CX608" s="57">
        <f>IFERROR($Q609/$Q608-1,"")</f>
        <v/>
      </c>
      <c r="CY608" s="57">
        <f>IFERROR($R609/$R608-1,"")</f>
        <v/>
      </c>
      <c r="CZ608" s="57">
        <f>IFERROR($S609/$S608-1,"")</f>
        <v/>
      </c>
      <c r="DA608" s="57">
        <f>IFERROR($T609/$T608-1,"")</f>
        <v/>
      </c>
      <c r="DB608" s="57">
        <f>IFERROR($U609/$U608-1,"")</f>
        <v/>
      </c>
      <c r="DC608" s="57">
        <f>IFERROR($V609/$V608-1,"")</f>
        <v/>
      </c>
      <c r="DD608" s="57">
        <f>IFERROR($W609/$W608-1,"")</f>
        <v/>
      </c>
      <c r="DE608" s="57">
        <f>IFERROR($X609/$X608-1,"")</f>
        <v/>
      </c>
      <c r="DF608" s="57">
        <f>IFERROR($Y609/$Y608-1,"")</f>
        <v/>
      </c>
      <c r="DG608" s="57">
        <f>IFERROR($Z609/$Z608-1,"")</f>
        <v/>
      </c>
      <c r="DH608" s="57">
        <f>IFERROR($AA609/$AA608-1,"")</f>
        <v/>
      </c>
      <c r="DI608" s="57">
        <f>IFERROR($AB609/$AB608-1,"")</f>
        <v/>
      </c>
      <c r="DJ608" s="57">
        <f>IFERROR($AC609/$AC608-1,"")</f>
        <v/>
      </c>
      <c r="DK608" s="57">
        <f>IFERROR($AD609/$AD608-1,"")</f>
        <v/>
      </c>
      <c r="DL608" s="57">
        <f>IFERROR($AE609/$AE608-1,"")</f>
        <v/>
      </c>
      <c r="DM608" s="56">
        <f>$AZ608-$AZ609</f>
        <v/>
      </c>
      <c r="DN608" s="56">
        <f>$BA608-$BA609</f>
        <v/>
      </c>
      <c r="DO608" s="56">
        <f>$BB608-$BB609</f>
        <v/>
      </c>
      <c r="DP608" s="56">
        <f>$BC608-$BC609</f>
        <v/>
      </c>
      <c r="DQ608" s="56">
        <f>$BD608-$BD609</f>
        <v/>
      </c>
      <c r="DR608" s="56">
        <f>$BE608-$BE609</f>
        <v/>
      </c>
      <c r="DS608" s="56">
        <f>$BF608-$BF609</f>
        <v/>
      </c>
      <c r="DT608" s="56">
        <f>$BG608-$BG609</f>
        <v/>
      </c>
      <c r="DU608" s="56">
        <f>$BH608-$BH609</f>
        <v/>
      </c>
      <c r="DV608" s="56">
        <f>$BI608-$BI609</f>
        <v/>
      </c>
      <c r="DW608" s="56">
        <f>$BJ608-$BJ609</f>
        <v/>
      </c>
      <c r="DX608" s="56">
        <f>$BK608-$BK609</f>
        <v/>
      </c>
      <c r="DY608" s="56">
        <f>$BL608-$BL609</f>
        <v/>
      </c>
      <c r="DZ608" s="56">
        <f>$BM608-$BM609</f>
        <v/>
      </c>
      <c r="EA608" s="56">
        <f>$BN608-$BN609</f>
        <v/>
      </c>
      <c r="EB608" s="56">
        <f>$BO608-$BO609</f>
        <v/>
      </c>
      <c r="EC608" s="56">
        <f>$BP608-$BP609</f>
        <v/>
      </c>
      <c r="ED608" s="56">
        <f>$BQ608-$BQ609</f>
        <v/>
      </c>
      <c r="EE608" s="56">
        <f>$BR608-$BR609</f>
        <v/>
      </c>
      <c r="EF608" s="56">
        <f>$BS608-$BS609</f>
        <v/>
      </c>
      <c r="EG608" s="56">
        <f>$BT608-$BT609</f>
        <v/>
      </c>
      <c r="EH608" s="56">
        <f>$BU608-$BU609</f>
        <v/>
      </c>
    </row>
    <row r="609">
      <c r="BV609" s="56">
        <f>($D609-$D610)*100</f>
        <v/>
      </c>
      <c r="BW609" s="56">
        <f>($C609-$C610)*100</f>
        <v/>
      </c>
      <c r="BX609" s="57">
        <f>IFERROR($I609/$I610-1,"")</f>
        <v/>
      </c>
      <c r="BY609" s="56">
        <f>($AF609-$AF610)*100</f>
        <v/>
      </c>
      <c r="BZ609" s="56">
        <f>($AG609-$AG610)*100</f>
        <v/>
      </c>
      <c r="CA609" s="56">
        <f>($AH609-$AH610)*100</f>
        <v/>
      </c>
      <c r="CB609" s="56">
        <f>($AI609-$AI610)*100</f>
        <v/>
      </c>
      <c r="CC609" s="56">
        <f>($AJ609-$AJ610)*100</f>
        <v/>
      </c>
      <c r="CD609" s="56">
        <f>($AK609-$AK610)*100</f>
        <v/>
      </c>
      <c r="CE609" s="56">
        <f>($AL609-$AL610)*100</f>
        <v/>
      </c>
      <c r="CF609" s="56">
        <f>($AM609-$AM610)*100</f>
        <v/>
      </c>
      <c r="CG609" s="56">
        <f>($AN609-$AN610)*100</f>
        <v/>
      </c>
      <c r="CH609" s="56">
        <f>($AO609-$AO610)*100</f>
        <v/>
      </c>
      <c r="CI609" s="56">
        <f>($AP609-$AP610)*100</f>
        <v/>
      </c>
      <c r="CJ609" s="56">
        <f>($AQ609-$AQ610)*100</f>
        <v/>
      </c>
      <c r="CK609" s="56">
        <f>($AR609-$AR610)*100</f>
        <v/>
      </c>
      <c r="CL609" s="56">
        <f>($AS609-$AS610)*100</f>
        <v/>
      </c>
      <c r="CM609" s="56">
        <f>($AT609-$AT610)*100</f>
        <v/>
      </c>
      <c r="CN609" s="56">
        <f>($AU609-$AU610)*100</f>
        <v/>
      </c>
      <c r="CO609" s="56">
        <f>($AV609-$AV610)*100</f>
        <v/>
      </c>
      <c r="CP609" s="56">
        <f>($AW609-$AW610)*100</f>
        <v/>
      </c>
      <c r="CQ609" s="56">
        <f>($AX609-$AX610)*100</f>
        <v/>
      </c>
      <c r="CR609" s="56">
        <f>($AY609-$AY610)*100</f>
        <v/>
      </c>
      <c r="CS609" s="57">
        <f>IFERROR($L610/$L609-1,"")</f>
        <v/>
      </c>
      <c r="CT609" s="57">
        <f>IFERROR($M610/$M609-1,"")</f>
        <v/>
      </c>
      <c r="CU609" s="57">
        <f>IFERROR($N610/$N609-1,"")</f>
        <v/>
      </c>
      <c r="CV609" s="57">
        <f>IFERROR($O610/$O609-1,"")</f>
        <v/>
      </c>
      <c r="CW609" s="57">
        <f>IFERROR($P610/$P609-1,"")</f>
        <v/>
      </c>
      <c r="CX609" s="57">
        <f>IFERROR($Q610/$Q609-1,"")</f>
        <v/>
      </c>
      <c r="CY609" s="57">
        <f>IFERROR($R610/$R609-1,"")</f>
        <v/>
      </c>
      <c r="CZ609" s="57">
        <f>IFERROR($S610/$S609-1,"")</f>
        <v/>
      </c>
      <c r="DA609" s="57">
        <f>IFERROR($T610/$T609-1,"")</f>
        <v/>
      </c>
      <c r="DB609" s="57">
        <f>IFERROR($U610/$U609-1,"")</f>
        <v/>
      </c>
      <c r="DC609" s="57">
        <f>IFERROR($V610/$V609-1,"")</f>
        <v/>
      </c>
      <c r="DD609" s="57">
        <f>IFERROR($W610/$W609-1,"")</f>
        <v/>
      </c>
      <c r="DE609" s="57">
        <f>IFERROR($X610/$X609-1,"")</f>
        <v/>
      </c>
      <c r="DF609" s="57">
        <f>IFERROR($Y610/$Y609-1,"")</f>
        <v/>
      </c>
      <c r="DG609" s="57">
        <f>IFERROR($Z610/$Z609-1,"")</f>
        <v/>
      </c>
      <c r="DH609" s="57">
        <f>IFERROR($AA610/$AA609-1,"")</f>
        <v/>
      </c>
      <c r="DI609" s="57">
        <f>IFERROR($AB610/$AB609-1,"")</f>
        <v/>
      </c>
      <c r="DJ609" s="57">
        <f>IFERROR($AC610/$AC609-1,"")</f>
        <v/>
      </c>
      <c r="DK609" s="57">
        <f>IFERROR($AD610/$AD609-1,"")</f>
        <v/>
      </c>
      <c r="DL609" s="57">
        <f>IFERROR($AE610/$AE609-1,"")</f>
        <v/>
      </c>
      <c r="DM609" s="56">
        <f>$AZ609-$AZ610</f>
        <v/>
      </c>
      <c r="DN609" s="56">
        <f>$BA609-$BA610</f>
        <v/>
      </c>
      <c r="DO609" s="56">
        <f>$BB609-$BB610</f>
        <v/>
      </c>
      <c r="DP609" s="56">
        <f>$BC609-$BC610</f>
        <v/>
      </c>
      <c r="DQ609" s="56">
        <f>$BD609-$BD610</f>
        <v/>
      </c>
      <c r="DR609" s="56">
        <f>$BE609-$BE610</f>
        <v/>
      </c>
      <c r="DS609" s="56">
        <f>$BF609-$BF610</f>
        <v/>
      </c>
      <c r="DT609" s="56">
        <f>$BG609-$BG610</f>
        <v/>
      </c>
      <c r="DU609" s="56">
        <f>$BH609-$BH610</f>
        <v/>
      </c>
      <c r="DV609" s="56">
        <f>$BI609-$BI610</f>
        <v/>
      </c>
      <c r="DW609" s="56">
        <f>$BJ609-$BJ610</f>
        <v/>
      </c>
      <c r="DX609" s="56">
        <f>$BK609-$BK610</f>
        <v/>
      </c>
      <c r="DY609" s="56">
        <f>$BL609-$BL610</f>
        <v/>
      </c>
      <c r="DZ609" s="56">
        <f>$BM609-$BM610</f>
        <v/>
      </c>
      <c r="EA609" s="56">
        <f>$BN609-$BN610</f>
        <v/>
      </c>
      <c r="EB609" s="56">
        <f>$BO609-$BO610</f>
        <v/>
      </c>
      <c r="EC609" s="56">
        <f>$BP609-$BP610</f>
        <v/>
      </c>
      <c r="ED609" s="56">
        <f>$BQ609-$BQ610</f>
        <v/>
      </c>
      <c r="EE609" s="56">
        <f>$BR609-$BR610</f>
        <v/>
      </c>
      <c r="EF609" s="56">
        <f>$BS609-$BS610</f>
        <v/>
      </c>
      <c r="EG609" s="56">
        <f>$BT609-$BT610</f>
        <v/>
      </c>
      <c r="EH609" s="56">
        <f>$BU609-$BU610</f>
        <v/>
      </c>
    </row>
    <row r="610">
      <c r="BV610" s="56">
        <f>($D610-$D611)*100</f>
        <v/>
      </c>
      <c r="BW610" s="56">
        <f>($C610-$C611)*100</f>
        <v/>
      </c>
      <c r="BX610" s="57">
        <f>IFERROR($I610/$I611-1,"")</f>
        <v/>
      </c>
      <c r="BY610" s="56">
        <f>($AF610-$AF611)*100</f>
        <v/>
      </c>
      <c r="BZ610" s="56">
        <f>($AG610-$AG611)*100</f>
        <v/>
      </c>
      <c r="CA610" s="56">
        <f>($AH610-$AH611)*100</f>
        <v/>
      </c>
      <c r="CB610" s="56">
        <f>($AI610-$AI611)*100</f>
        <v/>
      </c>
      <c r="CC610" s="56">
        <f>($AJ610-$AJ611)*100</f>
        <v/>
      </c>
      <c r="CD610" s="56">
        <f>($AK610-$AK611)*100</f>
        <v/>
      </c>
      <c r="CE610" s="56">
        <f>($AL610-$AL611)*100</f>
        <v/>
      </c>
      <c r="CF610" s="56">
        <f>($AM610-$AM611)*100</f>
        <v/>
      </c>
      <c r="CG610" s="56">
        <f>($AN610-$AN611)*100</f>
        <v/>
      </c>
      <c r="CH610" s="56">
        <f>($AO610-$AO611)*100</f>
        <v/>
      </c>
      <c r="CI610" s="56">
        <f>($AP610-$AP611)*100</f>
        <v/>
      </c>
      <c r="CJ610" s="56">
        <f>($AQ610-$AQ611)*100</f>
        <v/>
      </c>
      <c r="CK610" s="56">
        <f>($AR610-$AR611)*100</f>
        <v/>
      </c>
      <c r="CL610" s="56">
        <f>($AS610-$AS611)*100</f>
        <v/>
      </c>
      <c r="CM610" s="56">
        <f>($AT610-$AT611)*100</f>
        <v/>
      </c>
      <c r="CN610" s="56">
        <f>($AU610-$AU611)*100</f>
        <v/>
      </c>
      <c r="CO610" s="56">
        <f>($AV610-$AV611)*100</f>
        <v/>
      </c>
      <c r="CP610" s="56">
        <f>($AW610-$AW611)*100</f>
        <v/>
      </c>
      <c r="CQ610" s="56">
        <f>($AX610-$AX611)*100</f>
        <v/>
      </c>
      <c r="CR610" s="56">
        <f>($AY610-$AY611)*100</f>
        <v/>
      </c>
      <c r="CS610" s="57">
        <f>IFERROR($L611/$L610-1,"")</f>
        <v/>
      </c>
      <c r="CT610" s="57">
        <f>IFERROR($M611/$M610-1,"")</f>
        <v/>
      </c>
      <c r="CU610" s="57">
        <f>IFERROR($N611/$N610-1,"")</f>
        <v/>
      </c>
      <c r="CV610" s="57">
        <f>IFERROR($O611/$O610-1,"")</f>
        <v/>
      </c>
      <c r="CW610" s="57">
        <f>IFERROR($P611/$P610-1,"")</f>
        <v/>
      </c>
      <c r="CX610" s="57">
        <f>IFERROR($Q611/$Q610-1,"")</f>
        <v/>
      </c>
      <c r="CY610" s="57">
        <f>IFERROR($R611/$R610-1,"")</f>
        <v/>
      </c>
      <c r="CZ610" s="57">
        <f>IFERROR($S611/$S610-1,"")</f>
        <v/>
      </c>
      <c r="DA610" s="57">
        <f>IFERROR($T611/$T610-1,"")</f>
        <v/>
      </c>
      <c r="DB610" s="57">
        <f>IFERROR($U611/$U610-1,"")</f>
        <v/>
      </c>
      <c r="DC610" s="57">
        <f>IFERROR($V611/$V610-1,"")</f>
        <v/>
      </c>
      <c r="DD610" s="57">
        <f>IFERROR($W611/$W610-1,"")</f>
        <v/>
      </c>
      <c r="DE610" s="57">
        <f>IFERROR($X611/$X610-1,"")</f>
        <v/>
      </c>
      <c r="DF610" s="57">
        <f>IFERROR($Y611/$Y610-1,"")</f>
        <v/>
      </c>
      <c r="DG610" s="57">
        <f>IFERROR($Z611/$Z610-1,"")</f>
        <v/>
      </c>
      <c r="DH610" s="57">
        <f>IFERROR($AA611/$AA610-1,"")</f>
        <v/>
      </c>
      <c r="DI610" s="57">
        <f>IFERROR($AB611/$AB610-1,"")</f>
        <v/>
      </c>
      <c r="DJ610" s="57">
        <f>IFERROR($AC611/$AC610-1,"")</f>
        <v/>
      </c>
      <c r="DK610" s="57">
        <f>IFERROR($AD611/$AD610-1,"")</f>
        <v/>
      </c>
      <c r="DL610" s="57">
        <f>IFERROR($AE611/$AE610-1,"")</f>
        <v/>
      </c>
      <c r="DM610" s="56">
        <f>$AZ610-$AZ611</f>
        <v/>
      </c>
      <c r="DN610" s="56">
        <f>$BA610-$BA611</f>
        <v/>
      </c>
      <c r="DO610" s="56">
        <f>$BB610-$BB611</f>
        <v/>
      </c>
      <c r="DP610" s="56">
        <f>$BC610-$BC611</f>
        <v/>
      </c>
      <c r="DQ610" s="56">
        <f>$BD610-$BD611</f>
        <v/>
      </c>
      <c r="DR610" s="56">
        <f>$BE610-$BE611</f>
        <v/>
      </c>
      <c r="DS610" s="56">
        <f>$BF610-$BF611</f>
        <v/>
      </c>
      <c r="DT610" s="56">
        <f>$BG610-$BG611</f>
        <v/>
      </c>
      <c r="DU610" s="56">
        <f>$BH610-$BH611</f>
        <v/>
      </c>
      <c r="DV610" s="56">
        <f>$BI610-$BI611</f>
        <v/>
      </c>
      <c r="DW610" s="56">
        <f>$BJ610-$BJ611</f>
        <v/>
      </c>
      <c r="DX610" s="56">
        <f>$BK610-$BK611</f>
        <v/>
      </c>
      <c r="DY610" s="56">
        <f>$BL610-$BL611</f>
        <v/>
      </c>
      <c r="DZ610" s="56">
        <f>$BM610-$BM611</f>
        <v/>
      </c>
      <c r="EA610" s="56">
        <f>$BN610-$BN611</f>
        <v/>
      </c>
      <c r="EB610" s="56">
        <f>$BO610-$BO611</f>
        <v/>
      </c>
      <c r="EC610" s="56">
        <f>$BP610-$BP611</f>
        <v/>
      </c>
      <c r="ED610" s="56">
        <f>$BQ610-$BQ611</f>
        <v/>
      </c>
      <c r="EE610" s="56">
        <f>$BR610-$BR611</f>
        <v/>
      </c>
      <c r="EF610" s="56">
        <f>$BS610-$BS611</f>
        <v/>
      </c>
      <c r="EG610" s="56">
        <f>$BT610-$BT611</f>
        <v/>
      </c>
      <c r="EH610" s="56">
        <f>$BU610-$BU611</f>
        <v/>
      </c>
    </row>
    <row r="611">
      <c r="BV611" s="56">
        <f>($D611-$D612)*100</f>
        <v/>
      </c>
      <c r="BW611" s="56">
        <f>($C611-$C612)*100</f>
        <v/>
      </c>
      <c r="BX611" s="57">
        <f>IFERROR($I611/$I612-1,"")</f>
        <v/>
      </c>
      <c r="BY611" s="56">
        <f>($AF611-$AF612)*100</f>
        <v/>
      </c>
      <c r="BZ611" s="56">
        <f>($AG611-$AG612)*100</f>
        <v/>
      </c>
      <c r="CA611" s="56">
        <f>($AH611-$AH612)*100</f>
        <v/>
      </c>
      <c r="CB611" s="56">
        <f>($AI611-$AI612)*100</f>
        <v/>
      </c>
      <c r="CC611" s="56">
        <f>($AJ611-$AJ612)*100</f>
        <v/>
      </c>
      <c r="CD611" s="56">
        <f>($AK611-$AK612)*100</f>
        <v/>
      </c>
      <c r="CE611" s="56">
        <f>($AL611-$AL612)*100</f>
        <v/>
      </c>
      <c r="CF611" s="56">
        <f>($AM611-$AM612)*100</f>
        <v/>
      </c>
      <c r="CG611" s="56">
        <f>($AN611-$AN612)*100</f>
        <v/>
      </c>
      <c r="CH611" s="56">
        <f>($AO611-$AO612)*100</f>
        <v/>
      </c>
      <c r="CI611" s="56">
        <f>($AP611-$AP612)*100</f>
        <v/>
      </c>
      <c r="CJ611" s="56">
        <f>($AQ611-$AQ612)*100</f>
        <v/>
      </c>
      <c r="CK611" s="56">
        <f>($AR611-$AR612)*100</f>
        <v/>
      </c>
      <c r="CL611" s="56">
        <f>($AS611-$AS612)*100</f>
        <v/>
      </c>
      <c r="CM611" s="56">
        <f>($AT611-$AT612)*100</f>
        <v/>
      </c>
      <c r="CN611" s="56">
        <f>($AU611-$AU612)*100</f>
        <v/>
      </c>
      <c r="CO611" s="56">
        <f>($AV611-$AV612)*100</f>
        <v/>
      </c>
      <c r="CP611" s="56">
        <f>($AW611-$AW612)*100</f>
        <v/>
      </c>
      <c r="CQ611" s="56">
        <f>($AX611-$AX612)*100</f>
        <v/>
      </c>
      <c r="CR611" s="56">
        <f>($AY611-$AY612)*100</f>
        <v/>
      </c>
      <c r="CS611" s="57">
        <f>IFERROR($L612/$L611-1,"")</f>
        <v/>
      </c>
      <c r="CT611" s="57">
        <f>IFERROR($M612/$M611-1,"")</f>
        <v/>
      </c>
      <c r="CU611" s="57">
        <f>IFERROR($N612/$N611-1,"")</f>
        <v/>
      </c>
      <c r="CV611" s="57">
        <f>IFERROR($O612/$O611-1,"")</f>
        <v/>
      </c>
      <c r="CW611" s="57">
        <f>IFERROR($P612/$P611-1,"")</f>
        <v/>
      </c>
      <c r="CX611" s="57">
        <f>IFERROR($Q612/$Q611-1,"")</f>
        <v/>
      </c>
      <c r="CY611" s="57">
        <f>IFERROR($R612/$R611-1,"")</f>
        <v/>
      </c>
      <c r="CZ611" s="57">
        <f>IFERROR($S612/$S611-1,"")</f>
        <v/>
      </c>
      <c r="DA611" s="57">
        <f>IFERROR($T612/$T611-1,"")</f>
        <v/>
      </c>
      <c r="DB611" s="57">
        <f>IFERROR($U612/$U611-1,"")</f>
        <v/>
      </c>
      <c r="DC611" s="57">
        <f>IFERROR($V612/$V611-1,"")</f>
        <v/>
      </c>
      <c r="DD611" s="57">
        <f>IFERROR($W612/$W611-1,"")</f>
        <v/>
      </c>
      <c r="DE611" s="57">
        <f>IFERROR($X612/$X611-1,"")</f>
        <v/>
      </c>
      <c r="DF611" s="57">
        <f>IFERROR($Y612/$Y611-1,"")</f>
        <v/>
      </c>
      <c r="DG611" s="57">
        <f>IFERROR($Z612/$Z611-1,"")</f>
        <v/>
      </c>
      <c r="DH611" s="57">
        <f>IFERROR($AA612/$AA611-1,"")</f>
        <v/>
      </c>
      <c r="DI611" s="57">
        <f>IFERROR($AB612/$AB611-1,"")</f>
        <v/>
      </c>
      <c r="DJ611" s="57">
        <f>IFERROR($AC612/$AC611-1,"")</f>
        <v/>
      </c>
      <c r="DK611" s="57">
        <f>IFERROR($AD612/$AD611-1,"")</f>
        <v/>
      </c>
      <c r="DL611" s="57">
        <f>IFERROR($AE612/$AE611-1,"")</f>
        <v/>
      </c>
      <c r="DM611" s="56">
        <f>$AZ611-$AZ612</f>
        <v/>
      </c>
      <c r="DN611" s="56">
        <f>$BA611-$BA612</f>
        <v/>
      </c>
      <c r="DO611" s="56">
        <f>$BB611-$BB612</f>
        <v/>
      </c>
      <c r="DP611" s="56">
        <f>$BC611-$BC612</f>
        <v/>
      </c>
      <c r="DQ611" s="56">
        <f>$BD611-$BD612</f>
        <v/>
      </c>
      <c r="DR611" s="56">
        <f>$BE611-$BE612</f>
        <v/>
      </c>
      <c r="DS611" s="56">
        <f>$BF611-$BF612</f>
        <v/>
      </c>
      <c r="DT611" s="56">
        <f>$BG611-$BG612</f>
        <v/>
      </c>
      <c r="DU611" s="56">
        <f>$BH611-$BH612</f>
        <v/>
      </c>
      <c r="DV611" s="56">
        <f>$BI611-$BI612</f>
        <v/>
      </c>
      <c r="DW611" s="56">
        <f>$BJ611-$BJ612</f>
        <v/>
      </c>
      <c r="DX611" s="56">
        <f>$BK611-$BK612</f>
        <v/>
      </c>
      <c r="DY611" s="56">
        <f>$BL611-$BL612</f>
        <v/>
      </c>
      <c r="DZ611" s="56">
        <f>$BM611-$BM612</f>
        <v/>
      </c>
      <c r="EA611" s="56">
        <f>$BN611-$BN612</f>
        <v/>
      </c>
      <c r="EB611" s="56">
        <f>$BO611-$BO612</f>
        <v/>
      </c>
      <c r="EC611" s="56">
        <f>$BP611-$BP612</f>
        <v/>
      </c>
      <c r="ED611" s="56">
        <f>$BQ611-$BQ612</f>
        <v/>
      </c>
      <c r="EE611" s="56">
        <f>$BR611-$BR612</f>
        <v/>
      </c>
      <c r="EF611" s="56">
        <f>$BS611-$BS612</f>
        <v/>
      </c>
      <c r="EG611" s="56">
        <f>$BT611-$BT612</f>
        <v/>
      </c>
      <c r="EH611" s="56">
        <f>$BU611-$BU612</f>
        <v/>
      </c>
    </row>
    <row r="612">
      <c r="BV612" s="56">
        <f>($D612-$D613)*100</f>
        <v/>
      </c>
      <c r="BW612" s="56">
        <f>($C612-$C613)*100</f>
        <v/>
      </c>
      <c r="BX612" s="57">
        <f>IFERROR($I612/$I613-1,"")</f>
        <v/>
      </c>
      <c r="BY612" s="56">
        <f>($AF612-$AF613)*100</f>
        <v/>
      </c>
      <c r="BZ612" s="56">
        <f>($AG612-$AG613)*100</f>
        <v/>
      </c>
      <c r="CA612" s="56">
        <f>($AH612-$AH613)*100</f>
        <v/>
      </c>
      <c r="CB612" s="56">
        <f>($AI612-$AI613)*100</f>
        <v/>
      </c>
      <c r="CC612" s="56">
        <f>($AJ612-$AJ613)*100</f>
        <v/>
      </c>
      <c r="CD612" s="56">
        <f>($AK612-$AK613)*100</f>
        <v/>
      </c>
      <c r="CE612" s="56">
        <f>($AL612-$AL613)*100</f>
        <v/>
      </c>
      <c r="CF612" s="56">
        <f>($AM612-$AM613)*100</f>
        <v/>
      </c>
      <c r="CG612" s="56">
        <f>($AN612-$AN613)*100</f>
        <v/>
      </c>
      <c r="CH612" s="56">
        <f>($AO612-$AO613)*100</f>
        <v/>
      </c>
      <c r="CI612" s="56">
        <f>($AP612-$AP613)*100</f>
        <v/>
      </c>
      <c r="CJ612" s="56">
        <f>($AQ612-$AQ613)*100</f>
        <v/>
      </c>
      <c r="CK612" s="56">
        <f>($AR612-$AR613)*100</f>
        <v/>
      </c>
      <c r="CL612" s="56">
        <f>($AS612-$AS613)*100</f>
        <v/>
      </c>
      <c r="CM612" s="56">
        <f>($AT612-$AT613)*100</f>
        <v/>
      </c>
      <c r="CN612" s="56">
        <f>($AU612-$AU613)*100</f>
        <v/>
      </c>
      <c r="CO612" s="56">
        <f>($AV612-$AV613)*100</f>
        <v/>
      </c>
      <c r="CP612" s="56">
        <f>($AW612-$AW613)*100</f>
        <v/>
      </c>
      <c r="CQ612" s="56">
        <f>($AX612-$AX613)*100</f>
        <v/>
      </c>
      <c r="CR612" s="56">
        <f>($AY612-$AY613)*100</f>
        <v/>
      </c>
      <c r="CS612" s="57">
        <f>IFERROR($L613/$L612-1,"")</f>
        <v/>
      </c>
      <c r="CT612" s="57">
        <f>IFERROR($M613/$M612-1,"")</f>
        <v/>
      </c>
      <c r="CU612" s="57">
        <f>IFERROR($N613/$N612-1,"")</f>
        <v/>
      </c>
      <c r="CV612" s="57">
        <f>IFERROR($O613/$O612-1,"")</f>
        <v/>
      </c>
      <c r="CW612" s="57">
        <f>IFERROR($P613/$P612-1,"")</f>
        <v/>
      </c>
      <c r="CX612" s="57">
        <f>IFERROR($Q613/$Q612-1,"")</f>
        <v/>
      </c>
      <c r="CY612" s="57">
        <f>IFERROR($R613/$R612-1,"")</f>
        <v/>
      </c>
      <c r="CZ612" s="57">
        <f>IFERROR($S613/$S612-1,"")</f>
        <v/>
      </c>
      <c r="DA612" s="57">
        <f>IFERROR($T613/$T612-1,"")</f>
        <v/>
      </c>
      <c r="DB612" s="57">
        <f>IFERROR($U613/$U612-1,"")</f>
        <v/>
      </c>
      <c r="DC612" s="57">
        <f>IFERROR($V613/$V612-1,"")</f>
        <v/>
      </c>
      <c r="DD612" s="57">
        <f>IFERROR($W613/$W612-1,"")</f>
        <v/>
      </c>
      <c r="DE612" s="57">
        <f>IFERROR($X613/$X612-1,"")</f>
        <v/>
      </c>
      <c r="DF612" s="57">
        <f>IFERROR($Y613/$Y612-1,"")</f>
        <v/>
      </c>
      <c r="DG612" s="57">
        <f>IFERROR($Z613/$Z612-1,"")</f>
        <v/>
      </c>
      <c r="DH612" s="57">
        <f>IFERROR($AA613/$AA612-1,"")</f>
        <v/>
      </c>
      <c r="DI612" s="57">
        <f>IFERROR($AB613/$AB612-1,"")</f>
        <v/>
      </c>
      <c r="DJ612" s="57">
        <f>IFERROR($AC613/$AC612-1,"")</f>
        <v/>
      </c>
      <c r="DK612" s="57">
        <f>IFERROR($AD613/$AD612-1,"")</f>
        <v/>
      </c>
      <c r="DL612" s="57">
        <f>IFERROR($AE613/$AE612-1,"")</f>
        <v/>
      </c>
      <c r="DM612" s="56">
        <f>$AZ612-$AZ613</f>
        <v/>
      </c>
      <c r="DN612" s="56">
        <f>$BA612-$BA613</f>
        <v/>
      </c>
      <c r="DO612" s="56">
        <f>$BB612-$BB613</f>
        <v/>
      </c>
      <c r="DP612" s="56">
        <f>$BC612-$BC613</f>
        <v/>
      </c>
      <c r="DQ612" s="56">
        <f>$BD612-$BD613</f>
        <v/>
      </c>
      <c r="DR612" s="56">
        <f>$BE612-$BE613</f>
        <v/>
      </c>
      <c r="DS612" s="56">
        <f>$BF612-$BF613</f>
        <v/>
      </c>
      <c r="DT612" s="56">
        <f>$BG612-$BG613</f>
        <v/>
      </c>
      <c r="DU612" s="56">
        <f>$BH612-$BH613</f>
        <v/>
      </c>
      <c r="DV612" s="56">
        <f>$BI612-$BI613</f>
        <v/>
      </c>
      <c r="DW612" s="56">
        <f>$BJ612-$BJ613</f>
        <v/>
      </c>
      <c r="DX612" s="56">
        <f>$BK612-$BK613</f>
        <v/>
      </c>
      <c r="DY612" s="56">
        <f>$BL612-$BL613</f>
        <v/>
      </c>
      <c r="DZ612" s="56">
        <f>$BM612-$BM613</f>
        <v/>
      </c>
      <c r="EA612" s="56">
        <f>$BN612-$BN613</f>
        <v/>
      </c>
      <c r="EB612" s="56">
        <f>$BO612-$BO613</f>
        <v/>
      </c>
      <c r="EC612" s="56">
        <f>$BP612-$BP613</f>
        <v/>
      </c>
      <c r="ED612" s="56">
        <f>$BQ612-$BQ613</f>
        <v/>
      </c>
      <c r="EE612" s="56">
        <f>$BR612-$BR613</f>
        <v/>
      </c>
      <c r="EF612" s="56">
        <f>$BS612-$BS613</f>
        <v/>
      </c>
      <c r="EG612" s="56">
        <f>$BT612-$BT613</f>
        <v/>
      </c>
      <c r="EH612" s="56">
        <f>$BU612-$BU613</f>
        <v/>
      </c>
    </row>
    <row r="613">
      <c r="BV613" s="56">
        <f>($D613-$D614)*100</f>
        <v/>
      </c>
      <c r="BW613" s="56">
        <f>($C613-$C614)*100</f>
        <v/>
      </c>
      <c r="BX613" s="57">
        <f>IFERROR($I613/$I614-1,"")</f>
        <v/>
      </c>
      <c r="BY613" s="56">
        <f>($AF613-$AF614)*100</f>
        <v/>
      </c>
      <c r="BZ613" s="56">
        <f>($AG613-$AG614)*100</f>
        <v/>
      </c>
      <c r="CA613" s="56">
        <f>($AH613-$AH614)*100</f>
        <v/>
      </c>
      <c r="CB613" s="56">
        <f>($AI613-$AI614)*100</f>
        <v/>
      </c>
      <c r="CC613" s="56">
        <f>($AJ613-$AJ614)*100</f>
        <v/>
      </c>
      <c r="CD613" s="56">
        <f>($AK613-$AK614)*100</f>
        <v/>
      </c>
      <c r="CE613" s="56">
        <f>($AL613-$AL614)*100</f>
        <v/>
      </c>
      <c r="CF613" s="56">
        <f>($AM613-$AM614)*100</f>
        <v/>
      </c>
      <c r="CG613" s="56">
        <f>($AN613-$AN614)*100</f>
        <v/>
      </c>
      <c r="CH613" s="56">
        <f>($AO613-$AO614)*100</f>
        <v/>
      </c>
      <c r="CI613" s="56">
        <f>($AP613-$AP614)*100</f>
        <v/>
      </c>
      <c r="CJ613" s="56">
        <f>($AQ613-$AQ614)*100</f>
        <v/>
      </c>
      <c r="CK613" s="56">
        <f>($AR613-$AR614)*100</f>
        <v/>
      </c>
      <c r="CL613" s="56">
        <f>($AS613-$AS614)*100</f>
        <v/>
      </c>
      <c r="CM613" s="56">
        <f>($AT613-$AT614)*100</f>
        <v/>
      </c>
      <c r="CN613" s="56">
        <f>($AU613-$AU614)*100</f>
        <v/>
      </c>
      <c r="CO613" s="56">
        <f>($AV613-$AV614)*100</f>
        <v/>
      </c>
      <c r="CP613" s="56">
        <f>($AW613-$AW614)*100</f>
        <v/>
      </c>
      <c r="CQ613" s="56">
        <f>($AX613-$AX614)*100</f>
        <v/>
      </c>
      <c r="CR613" s="56">
        <f>($AY613-$AY614)*100</f>
        <v/>
      </c>
      <c r="CS613" s="57">
        <f>IFERROR($L614/$L613-1,"")</f>
        <v/>
      </c>
      <c r="CT613" s="57">
        <f>IFERROR($M614/$M613-1,"")</f>
        <v/>
      </c>
      <c r="CU613" s="57">
        <f>IFERROR($N614/$N613-1,"")</f>
        <v/>
      </c>
      <c r="CV613" s="57">
        <f>IFERROR($O614/$O613-1,"")</f>
        <v/>
      </c>
      <c r="CW613" s="57">
        <f>IFERROR($P614/$P613-1,"")</f>
        <v/>
      </c>
      <c r="CX613" s="57">
        <f>IFERROR($Q614/$Q613-1,"")</f>
        <v/>
      </c>
      <c r="CY613" s="57">
        <f>IFERROR($R614/$R613-1,"")</f>
        <v/>
      </c>
      <c r="CZ613" s="57">
        <f>IFERROR($S614/$S613-1,"")</f>
        <v/>
      </c>
      <c r="DA613" s="57">
        <f>IFERROR($T614/$T613-1,"")</f>
        <v/>
      </c>
      <c r="DB613" s="57">
        <f>IFERROR($U614/$U613-1,"")</f>
        <v/>
      </c>
      <c r="DC613" s="57">
        <f>IFERROR($V614/$V613-1,"")</f>
        <v/>
      </c>
      <c r="DD613" s="57">
        <f>IFERROR($W614/$W613-1,"")</f>
        <v/>
      </c>
      <c r="DE613" s="57">
        <f>IFERROR($X614/$X613-1,"")</f>
        <v/>
      </c>
      <c r="DF613" s="57">
        <f>IFERROR($Y614/$Y613-1,"")</f>
        <v/>
      </c>
      <c r="DG613" s="57">
        <f>IFERROR($Z614/$Z613-1,"")</f>
        <v/>
      </c>
      <c r="DH613" s="57">
        <f>IFERROR($AA614/$AA613-1,"")</f>
        <v/>
      </c>
      <c r="DI613" s="57">
        <f>IFERROR($AB614/$AB613-1,"")</f>
        <v/>
      </c>
      <c r="DJ613" s="57">
        <f>IFERROR($AC614/$AC613-1,"")</f>
        <v/>
      </c>
      <c r="DK613" s="57">
        <f>IFERROR($AD614/$AD613-1,"")</f>
        <v/>
      </c>
      <c r="DL613" s="57">
        <f>IFERROR($AE614/$AE613-1,"")</f>
        <v/>
      </c>
      <c r="DM613" s="56">
        <f>$AZ613-$AZ614</f>
        <v/>
      </c>
      <c r="DN613" s="56">
        <f>$BA613-$BA614</f>
        <v/>
      </c>
      <c r="DO613" s="56">
        <f>$BB613-$BB614</f>
        <v/>
      </c>
      <c r="DP613" s="56">
        <f>$BC613-$BC614</f>
        <v/>
      </c>
      <c r="DQ613" s="56">
        <f>$BD613-$BD614</f>
        <v/>
      </c>
      <c r="DR613" s="56">
        <f>$BE613-$BE614</f>
        <v/>
      </c>
      <c r="DS613" s="56">
        <f>$BF613-$BF614</f>
        <v/>
      </c>
      <c r="DT613" s="56">
        <f>$BG613-$BG614</f>
        <v/>
      </c>
      <c r="DU613" s="56">
        <f>$BH613-$BH614</f>
        <v/>
      </c>
      <c r="DV613" s="56">
        <f>$BI613-$BI614</f>
        <v/>
      </c>
      <c r="DW613" s="56">
        <f>$BJ613-$BJ614</f>
        <v/>
      </c>
      <c r="DX613" s="56">
        <f>$BK613-$BK614</f>
        <v/>
      </c>
      <c r="DY613" s="56">
        <f>$BL613-$BL614</f>
        <v/>
      </c>
      <c r="DZ613" s="56">
        <f>$BM613-$BM614</f>
        <v/>
      </c>
      <c r="EA613" s="56">
        <f>$BN613-$BN614</f>
        <v/>
      </c>
      <c r="EB613" s="56">
        <f>$BO613-$BO614</f>
        <v/>
      </c>
      <c r="EC613" s="56">
        <f>$BP613-$BP614</f>
        <v/>
      </c>
      <c r="ED613" s="56">
        <f>$BQ613-$BQ614</f>
        <v/>
      </c>
      <c r="EE613" s="56">
        <f>$BR613-$BR614</f>
        <v/>
      </c>
      <c r="EF613" s="56">
        <f>$BS613-$BS614</f>
        <v/>
      </c>
      <c r="EG613" s="56">
        <f>$BT613-$BT614</f>
        <v/>
      </c>
      <c r="EH613" s="56">
        <f>$BU613-$BU614</f>
        <v/>
      </c>
    </row>
    <row r="614">
      <c r="BV614" s="56">
        <f>($D614-$D615)*100</f>
        <v/>
      </c>
      <c r="BW614" s="56">
        <f>($C614-$C615)*100</f>
        <v/>
      </c>
      <c r="BX614" s="57">
        <f>IFERROR($I614/$I615-1,"")</f>
        <v/>
      </c>
      <c r="BY614" s="56">
        <f>($AF614-$AF615)*100</f>
        <v/>
      </c>
      <c r="BZ614" s="56">
        <f>($AG614-$AG615)*100</f>
        <v/>
      </c>
      <c r="CA614" s="56">
        <f>($AH614-$AH615)*100</f>
        <v/>
      </c>
      <c r="CB614" s="56">
        <f>($AI614-$AI615)*100</f>
        <v/>
      </c>
      <c r="CC614" s="56">
        <f>($AJ614-$AJ615)*100</f>
        <v/>
      </c>
      <c r="CD614" s="56">
        <f>($AK614-$AK615)*100</f>
        <v/>
      </c>
      <c r="CE614" s="56">
        <f>($AL614-$AL615)*100</f>
        <v/>
      </c>
      <c r="CF614" s="56">
        <f>($AM614-$AM615)*100</f>
        <v/>
      </c>
      <c r="CG614" s="56">
        <f>($AN614-$AN615)*100</f>
        <v/>
      </c>
      <c r="CH614" s="56">
        <f>($AO614-$AO615)*100</f>
        <v/>
      </c>
      <c r="CI614" s="56">
        <f>($AP614-$AP615)*100</f>
        <v/>
      </c>
      <c r="CJ614" s="56">
        <f>($AQ614-$AQ615)*100</f>
        <v/>
      </c>
      <c r="CK614" s="56">
        <f>($AR614-$AR615)*100</f>
        <v/>
      </c>
      <c r="CL614" s="56">
        <f>($AS614-$AS615)*100</f>
        <v/>
      </c>
      <c r="CM614" s="56">
        <f>($AT614-$AT615)*100</f>
        <v/>
      </c>
      <c r="CN614" s="56">
        <f>($AU614-$AU615)*100</f>
        <v/>
      </c>
      <c r="CO614" s="56">
        <f>($AV614-$AV615)*100</f>
        <v/>
      </c>
      <c r="CP614" s="56">
        <f>($AW614-$AW615)*100</f>
        <v/>
      </c>
      <c r="CQ614" s="56">
        <f>($AX614-$AX615)*100</f>
        <v/>
      </c>
      <c r="CR614" s="56">
        <f>($AY614-$AY615)*100</f>
        <v/>
      </c>
      <c r="CS614" s="57">
        <f>IFERROR($L615/$L614-1,"")</f>
        <v/>
      </c>
      <c r="CT614" s="57">
        <f>IFERROR($M615/$M614-1,"")</f>
        <v/>
      </c>
      <c r="CU614" s="57">
        <f>IFERROR($N615/$N614-1,"")</f>
        <v/>
      </c>
      <c r="CV614" s="57">
        <f>IFERROR($O615/$O614-1,"")</f>
        <v/>
      </c>
      <c r="CW614" s="57">
        <f>IFERROR($P615/$P614-1,"")</f>
        <v/>
      </c>
      <c r="CX614" s="57">
        <f>IFERROR($Q615/$Q614-1,"")</f>
        <v/>
      </c>
      <c r="CY614" s="57">
        <f>IFERROR($R615/$R614-1,"")</f>
        <v/>
      </c>
      <c r="CZ614" s="57">
        <f>IFERROR($S615/$S614-1,"")</f>
        <v/>
      </c>
      <c r="DA614" s="57">
        <f>IFERROR($T615/$T614-1,"")</f>
        <v/>
      </c>
      <c r="DB614" s="57">
        <f>IFERROR($U615/$U614-1,"")</f>
        <v/>
      </c>
      <c r="DC614" s="57">
        <f>IFERROR($V615/$V614-1,"")</f>
        <v/>
      </c>
      <c r="DD614" s="57">
        <f>IFERROR($W615/$W614-1,"")</f>
        <v/>
      </c>
      <c r="DE614" s="57">
        <f>IFERROR($X615/$X614-1,"")</f>
        <v/>
      </c>
      <c r="DF614" s="57">
        <f>IFERROR($Y615/$Y614-1,"")</f>
        <v/>
      </c>
      <c r="DG614" s="57">
        <f>IFERROR($Z615/$Z614-1,"")</f>
        <v/>
      </c>
      <c r="DH614" s="57">
        <f>IFERROR($AA615/$AA614-1,"")</f>
        <v/>
      </c>
      <c r="DI614" s="57">
        <f>IFERROR($AB615/$AB614-1,"")</f>
        <v/>
      </c>
      <c r="DJ614" s="57">
        <f>IFERROR($AC615/$AC614-1,"")</f>
        <v/>
      </c>
      <c r="DK614" s="57">
        <f>IFERROR($AD615/$AD614-1,"")</f>
        <v/>
      </c>
      <c r="DL614" s="57">
        <f>IFERROR($AE615/$AE614-1,"")</f>
        <v/>
      </c>
      <c r="DM614" s="56">
        <f>$AZ614-$AZ615</f>
        <v/>
      </c>
      <c r="DN614" s="56">
        <f>$BA614-$BA615</f>
        <v/>
      </c>
      <c r="DO614" s="56">
        <f>$BB614-$BB615</f>
        <v/>
      </c>
      <c r="DP614" s="56">
        <f>$BC614-$BC615</f>
        <v/>
      </c>
      <c r="DQ614" s="56">
        <f>$BD614-$BD615</f>
        <v/>
      </c>
      <c r="DR614" s="56">
        <f>$BE614-$BE615</f>
        <v/>
      </c>
      <c r="DS614" s="56">
        <f>$BF614-$BF615</f>
        <v/>
      </c>
      <c r="DT614" s="56">
        <f>$BG614-$BG615</f>
        <v/>
      </c>
      <c r="DU614" s="56">
        <f>$BH614-$BH615</f>
        <v/>
      </c>
      <c r="DV614" s="56">
        <f>$BI614-$BI615</f>
        <v/>
      </c>
      <c r="DW614" s="56">
        <f>$BJ614-$BJ615</f>
        <v/>
      </c>
      <c r="DX614" s="56">
        <f>$BK614-$BK615</f>
        <v/>
      </c>
      <c r="DY614" s="56">
        <f>$BL614-$BL615</f>
        <v/>
      </c>
      <c r="DZ614" s="56">
        <f>$BM614-$BM615</f>
        <v/>
      </c>
      <c r="EA614" s="56">
        <f>$BN614-$BN615</f>
        <v/>
      </c>
      <c r="EB614" s="56">
        <f>$BO614-$BO615</f>
        <v/>
      </c>
      <c r="EC614" s="56">
        <f>$BP614-$BP615</f>
        <v/>
      </c>
      <c r="ED614" s="56">
        <f>$BQ614-$BQ615</f>
        <v/>
      </c>
      <c r="EE614" s="56">
        <f>$BR614-$BR615</f>
        <v/>
      </c>
      <c r="EF614" s="56">
        <f>$BS614-$BS615</f>
        <v/>
      </c>
      <c r="EG614" s="56">
        <f>$BT614-$BT615</f>
        <v/>
      </c>
      <c r="EH614" s="56">
        <f>$BU614-$BU615</f>
        <v/>
      </c>
    </row>
    <row r="615">
      <c r="BV615" s="56">
        <f>($D615-$D616)*100</f>
        <v/>
      </c>
      <c r="BW615" s="56">
        <f>($C615-$C616)*100</f>
        <v/>
      </c>
      <c r="BX615" s="57">
        <f>IFERROR($I615/$I616-1,"")</f>
        <v/>
      </c>
      <c r="BY615" s="56">
        <f>($AF615-$AF616)*100</f>
        <v/>
      </c>
      <c r="BZ615" s="56">
        <f>($AG615-$AG616)*100</f>
        <v/>
      </c>
      <c r="CA615" s="56">
        <f>($AH615-$AH616)*100</f>
        <v/>
      </c>
      <c r="CB615" s="56">
        <f>($AI615-$AI616)*100</f>
        <v/>
      </c>
      <c r="CC615" s="56">
        <f>($AJ615-$AJ616)*100</f>
        <v/>
      </c>
      <c r="CD615" s="56">
        <f>($AK615-$AK616)*100</f>
        <v/>
      </c>
      <c r="CE615" s="56">
        <f>($AL615-$AL616)*100</f>
        <v/>
      </c>
      <c r="CF615" s="56">
        <f>($AM615-$AM616)*100</f>
        <v/>
      </c>
      <c r="CG615" s="56">
        <f>($AN615-$AN616)*100</f>
        <v/>
      </c>
      <c r="CH615" s="56">
        <f>($AO615-$AO616)*100</f>
        <v/>
      </c>
      <c r="CI615" s="56">
        <f>($AP615-$AP616)*100</f>
        <v/>
      </c>
      <c r="CJ615" s="56">
        <f>($AQ615-$AQ616)*100</f>
        <v/>
      </c>
      <c r="CK615" s="56">
        <f>($AR615-$AR616)*100</f>
        <v/>
      </c>
      <c r="CL615" s="56">
        <f>($AS615-$AS616)*100</f>
        <v/>
      </c>
      <c r="CM615" s="56">
        <f>($AT615-$AT616)*100</f>
        <v/>
      </c>
      <c r="CN615" s="56">
        <f>($AU615-$AU616)*100</f>
        <v/>
      </c>
      <c r="CO615" s="56">
        <f>($AV615-$AV616)*100</f>
        <v/>
      </c>
      <c r="CP615" s="56">
        <f>($AW615-$AW616)*100</f>
        <v/>
      </c>
      <c r="CQ615" s="56">
        <f>($AX615-$AX616)*100</f>
        <v/>
      </c>
      <c r="CR615" s="56">
        <f>($AY615-$AY616)*100</f>
        <v/>
      </c>
      <c r="CS615" s="57">
        <f>IFERROR($L616/$L615-1,"")</f>
        <v/>
      </c>
      <c r="CT615" s="57">
        <f>IFERROR($M616/$M615-1,"")</f>
        <v/>
      </c>
      <c r="CU615" s="57">
        <f>IFERROR($N616/$N615-1,"")</f>
        <v/>
      </c>
      <c r="CV615" s="57">
        <f>IFERROR($O616/$O615-1,"")</f>
        <v/>
      </c>
      <c r="CW615" s="57">
        <f>IFERROR($P616/$P615-1,"")</f>
        <v/>
      </c>
      <c r="CX615" s="57">
        <f>IFERROR($Q616/$Q615-1,"")</f>
        <v/>
      </c>
      <c r="CY615" s="57">
        <f>IFERROR($R616/$R615-1,"")</f>
        <v/>
      </c>
      <c r="CZ615" s="57">
        <f>IFERROR($S616/$S615-1,"")</f>
        <v/>
      </c>
      <c r="DA615" s="57">
        <f>IFERROR($T616/$T615-1,"")</f>
        <v/>
      </c>
      <c r="DB615" s="57">
        <f>IFERROR($U616/$U615-1,"")</f>
        <v/>
      </c>
      <c r="DC615" s="57">
        <f>IFERROR($V616/$V615-1,"")</f>
        <v/>
      </c>
      <c r="DD615" s="57">
        <f>IFERROR($W616/$W615-1,"")</f>
        <v/>
      </c>
      <c r="DE615" s="57">
        <f>IFERROR($X616/$X615-1,"")</f>
        <v/>
      </c>
      <c r="DF615" s="57">
        <f>IFERROR($Y616/$Y615-1,"")</f>
        <v/>
      </c>
      <c r="DG615" s="57">
        <f>IFERROR($Z616/$Z615-1,"")</f>
        <v/>
      </c>
      <c r="DH615" s="57">
        <f>IFERROR($AA616/$AA615-1,"")</f>
        <v/>
      </c>
      <c r="DI615" s="57">
        <f>IFERROR($AB616/$AB615-1,"")</f>
        <v/>
      </c>
      <c r="DJ615" s="57">
        <f>IFERROR($AC616/$AC615-1,"")</f>
        <v/>
      </c>
      <c r="DK615" s="57">
        <f>IFERROR($AD616/$AD615-1,"")</f>
        <v/>
      </c>
      <c r="DL615" s="57">
        <f>IFERROR($AE616/$AE615-1,"")</f>
        <v/>
      </c>
      <c r="DM615" s="56">
        <f>$AZ615-$AZ616</f>
        <v/>
      </c>
      <c r="DN615" s="56">
        <f>$BA615-$BA616</f>
        <v/>
      </c>
      <c r="DO615" s="56">
        <f>$BB615-$BB616</f>
        <v/>
      </c>
      <c r="DP615" s="56">
        <f>$BC615-$BC616</f>
        <v/>
      </c>
      <c r="DQ615" s="56">
        <f>$BD615-$BD616</f>
        <v/>
      </c>
      <c r="DR615" s="56">
        <f>$BE615-$BE616</f>
        <v/>
      </c>
      <c r="DS615" s="56">
        <f>$BF615-$BF616</f>
        <v/>
      </c>
      <c r="DT615" s="56">
        <f>$BG615-$BG616</f>
        <v/>
      </c>
      <c r="DU615" s="56">
        <f>$BH615-$BH616</f>
        <v/>
      </c>
      <c r="DV615" s="56">
        <f>$BI615-$BI616</f>
        <v/>
      </c>
      <c r="DW615" s="56">
        <f>$BJ615-$BJ616</f>
        <v/>
      </c>
      <c r="DX615" s="56">
        <f>$BK615-$BK616</f>
        <v/>
      </c>
      <c r="DY615" s="56">
        <f>$BL615-$BL616</f>
        <v/>
      </c>
      <c r="DZ615" s="56">
        <f>$BM615-$BM616</f>
        <v/>
      </c>
      <c r="EA615" s="56">
        <f>$BN615-$BN616</f>
        <v/>
      </c>
      <c r="EB615" s="56">
        <f>$BO615-$BO616</f>
        <v/>
      </c>
      <c r="EC615" s="56">
        <f>$BP615-$BP616</f>
        <v/>
      </c>
      <c r="ED615" s="56">
        <f>$BQ615-$BQ616</f>
        <v/>
      </c>
      <c r="EE615" s="56">
        <f>$BR615-$BR616</f>
        <v/>
      </c>
      <c r="EF615" s="56">
        <f>$BS615-$BS616</f>
        <v/>
      </c>
      <c r="EG615" s="56">
        <f>$BT615-$BT616</f>
        <v/>
      </c>
      <c r="EH615" s="56">
        <f>$BU615-$BU616</f>
        <v/>
      </c>
    </row>
    <row r="616">
      <c r="BV616" s="56">
        <f>($D616-$D617)*100</f>
        <v/>
      </c>
      <c r="BW616" s="56">
        <f>($C616-$C617)*100</f>
        <v/>
      </c>
      <c r="BX616" s="57">
        <f>IFERROR($I616/$I617-1,"")</f>
        <v/>
      </c>
      <c r="BY616" s="56">
        <f>($AF616-$AF617)*100</f>
        <v/>
      </c>
      <c r="BZ616" s="56">
        <f>($AG616-$AG617)*100</f>
        <v/>
      </c>
      <c r="CA616" s="56">
        <f>($AH616-$AH617)*100</f>
        <v/>
      </c>
      <c r="CB616" s="56">
        <f>($AI616-$AI617)*100</f>
        <v/>
      </c>
      <c r="CC616" s="56">
        <f>($AJ616-$AJ617)*100</f>
        <v/>
      </c>
      <c r="CD616" s="56">
        <f>($AK616-$AK617)*100</f>
        <v/>
      </c>
      <c r="CE616" s="56">
        <f>($AL616-$AL617)*100</f>
        <v/>
      </c>
      <c r="CF616" s="56">
        <f>($AM616-$AM617)*100</f>
        <v/>
      </c>
      <c r="CG616" s="56">
        <f>($AN616-$AN617)*100</f>
        <v/>
      </c>
      <c r="CH616" s="56">
        <f>($AO616-$AO617)*100</f>
        <v/>
      </c>
      <c r="CI616" s="56">
        <f>($AP616-$AP617)*100</f>
        <v/>
      </c>
      <c r="CJ616" s="56">
        <f>($AQ616-$AQ617)*100</f>
        <v/>
      </c>
      <c r="CK616" s="56">
        <f>($AR616-$AR617)*100</f>
        <v/>
      </c>
      <c r="CL616" s="56">
        <f>($AS616-$AS617)*100</f>
        <v/>
      </c>
      <c r="CM616" s="56">
        <f>($AT616-$AT617)*100</f>
        <v/>
      </c>
      <c r="CN616" s="56">
        <f>($AU616-$AU617)*100</f>
        <v/>
      </c>
      <c r="CO616" s="56">
        <f>($AV616-$AV617)*100</f>
        <v/>
      </c>
      <c r="CP616" s="56">
        <f>($AW616-$AW617)*100</f>
        <v/>
      </c>
      <c r="CQ616" s="56">
        <f>($AX616-$AX617)*100</f>
        <v/>
      </c>
      <c r="CR616" s="56">
        <f>($AY616-$AY617)*100</f>
        <v/>
      </c>
      <c r="CS616" s="57">
        <f>IFERROR($L617/$L616-1,"")</f>
        <v/>
      </c>
      <c r="CT616" s="57">
        <f>IFERROR($M617/$M616-1,"")</f>
        <v/>
      </c>
      <c r="CU616" s="57">
        <f>IFERROR($N617/$N616-1,"")</f>
        <v/>
      </c>
      <c r="CV616" s="57">
        <f>IFERROR($O617/$O616-1,"")</f>
        <v/>
      </c>
      <c r="CW616" s="57">
        <f>IFERROR($P617/$P616-1,"")</f>
        <v/>
      </c>
      <c r="CX616" s="57">
        <f>IFERROR($Q617/$Q616-1,"")</f>
        <v/>
      </c>
      <c r="CY616" s="57">
        <f>IFERROR($R617/$R616-1,"")</f>
        <v/>
      </c>
      <c r="CZ616" s="57">
        <f>IFERROR($S617/$S616-1,"")</f>
        <v/>
      </c>
      <c r="DA616" s="57">
        <f>IFERROR($T617/$T616-1,"")</f>
        <v/>
      </c>
      <c r="DB616" s="57">
        <f>IFERROR($U617/$U616-1,"")</f>
        <v/>
      </c>
      <c r="DC616" s="57">
        <f>IFERROR($V617/$V616-1,"")</f>
        <v/>
      </c>
      <c r="DD616" s="57">
        <f>IFERROR($W617/$W616-1,"")</f>
        <v/>
      </c>
      <c r="DE616" s="57">
        <f>IFERROR($X617/$X616-1,"")</f>
        <v/>
      </c>
      <c r="DF616" s="57">
        <f>IFERROR($Y617/$Y616-1,"")</f>
        <v/>
      </c>
      <c r="DG616" s="57">
        <f>IFERROR($Z617/$Z616-1,"")</f>
        <v/>
      </c>
      <c r="DH616" s="57">
        <f>IFERROR($AA617/$AA616-1,"")</f>
        <v/>
      </c>
      <c r="DI616" s="57">
        <f>IFERROR($AB617/$AB616-1,"")</f>
        <v/>
      </c>
      <c r="DJ616" s="57">
        <f>IFERROR($AC617/$AC616-1,"")</f>
        <v/>
      </c>
      <c r="DK616" s="57">
        <f>IFERROR($AD617/$AD616-1,"")</f>
        <v/>
      </c>
      <c r="DL616" s="57">
        <f>IFERROR($AE617/$AE616-1,"")</f>
        <v/>
      </c>
      <c r="DM616" s="56">
        <f>$AZ616-$AZ617</f>
        <v/>
      </c>
      <c r="DN616" s="56">
        <f>$BA616-$BA617</f>
        <v/>
      </c>
      <c r="DO616" s="56">
        <f>$BB616-$BB617</f>
        <v/>
      </c>
      <c r="DP616" s="56">
        <f>$BC616-$BC617</f>
        <v/>
      </c>
      <c r="DQ616" s="56">
        <f>$BD616-$BD617</f>
        <v/>
      </c>
      <c r="DR616" s="56">
        <f>$BE616-$BE617</f>
        <v/>
      </c>
      <c r="DS616" s="56">
        <f>$BF616-$BF617</f>
        <v/>
      </c>
      <c r="DT616" s="56">
        <f>$BG616-$BG617</f>
        <v/>
      </c>
      <c r="DU616" s="56">
        <f>$BH616-$BH617</f>
        <v/>
      </c>
      <c r="DV616" s="56">
        <f>$BI616-$BI617</f>
        <v/>
      </c>
      <c r="DW616" s="56">
        <f>$BJ616-$BJ617</f>
        <v/>
      </c>
      <c r="DX616" s="56">
        <f>$BK616-$BK617</f>
        <v/>
      </c>
      <c r="DY616" s="56">
        <f>$BL616-$BL617</f>
        <v/>
      </c>
      <c r="DZ616" s="56">
        <f>$BM616-$BM617</f>
        <v/>
      </c>
      <c r="EA616" s="56">
        <f>$BN616-$BN617</f>
        <v/>
      </c>
      <c r="EB616" s="56">
        <f>$BO616-$BO617</f>
        <v/>
      </c>
      <c r="EC616" s="56">
        <f>$BP616-$BP617</f>
        <v/>
      </c>
      <c r="ED616" s="56">
        <f>$BQ616-$BQ617</f>
        <v/>
      </c>
      <c r="EE616" s="56">
        <f>$BR616-$BR617</f>
        <v/>
      </c>
      <c r="EF616" s="56">
        <f>$BS616-$BS617</f>
        <v/>
      </c>
      <c r="EG616" s="56">
        <f>$BT616-$BT617</f>
        <v/>
      </c>
      <c r="EH616" s="56">
        <f>$BU616-$BU617</f>
        <v/>
      </c>
    </row>
    <row r="617">
      <c r="BV617" s="56">
        <f>($D617-$D618)*100</f>
        <v/>
      </c>
      <c r="BW617" s="56">
        <f>($C617-$C618)*100</f>
        <v/>
      </c>
      <c r="BX617" s="57">
        <f>IFERROR($I617/$I618-1,"")</f>
        <v/>
      </c>
      <c r="BY617" s="56">
        <f>($AF617-$AF618)*100</f>
        <v/>
      </c>
      <c r="BZ617" s="56">
        <f>($AG617-$AG618)*100</f>
        <v/>
      </c>
      <c r="CA617" s="56">
        <f>($AH617-$AH618)*100</f>
        <v/>
      </c>
      <c r="CB617" s="56">
        <f>($AI617-$AI618)*100</f>
        <v/>
      </c>
      <c r="CC617" s="56">
        <f>($AJ617-$AJ618)*100</f>
        <v/>
      </c>
      <c r="CD617" s="56">
        <f>($AK617-$AK618)*100</f>
        <v/>
      </c>
      <c r="CE617" s="56">
        <f>($AL617-$AL618)*100</f>
        <v/>
      </c>
      <c r="CF617" s="56">
        <f>($AM617-$AM618)*100</f>
        <v/>
      </c>
      <c r="CG617" s="56">
        <f>($AN617-$AN618)*100</f>
        <v/>
      </c>
      <c r="CH617" s="56">
        <f>($AO617-$AO618)*100</f>
        <v/>
      </c>
      <c r="CI617" s="56">
        <f>($AP617-$AP618)*100</f>
        <v/>
      </c>
      <c r="CJ617" s="56">
        <f>($AQ617-$AQ618)*100</f>
        <v/>
      </c>
      <c r="CK617" s="56">
        <f>($AR617-$AR618)*100</f>
        <v/>
      </c>
      <c r="CL617" s="56">
        <f>($AS617-$AS618)*100</f>
        <v/>
      </c>
      <c r="CM617" s="56">
        <f>($AT617-$AT618)*100</f>
        <v/>
      </c>
      <c r="CN617" s="56">
        <f>($AU617-$AU618)*100</f>
        <v/>
      </c>
      <c r="CO617" s="56">
        <f>($AV617-$AV618)*100</f>
        <v/>
      </c>
      <c r="CP617" s="56">
        <f>($AW617-$AW618)*100</f>
        <v/>
      </c>
      <c r="CQ617" s="56">
        <f>($AX617-$AX618)*100</f>
        <v/>
      </c>
      <c r="CR617" s="56">
        <f>($AY617-$AY618)*100</f>
        <v/>
      </c>
      <c r="CS617" s="57">
        <f>IFERROR($L618/$L617-1,"")</f>
        <v/>
      </c>
      <c r="CT617" s="57">
        <f>IFERROR($M618/$M617-1,"")</f>
        <v/>
      </c>
      <c r="CU617" s="57">
        <f>IFERROR($N618/$N617-1,"")</f>
        <v/>
      </c>
      <c r="CV617" s="57">
        <f>IFERROR($O618/$O617-1,"")</f>
        <v/>
      </c>
      <c r="CW617" s="57">
        <f>IFERROR($P618/$P617-1,"")</f>
        <v/>
      </c>
      <c r="CX617" s="57">
        <f>IFERROR($Q618/$Q617-1,"")</f>
        <v/>
      </c>
      <c r="CY617" s="57">
        <f>IFERROR($R618/$R617-1,"")</f>
        <v/>
      </c>
      <c r="CZ617" s="57">
        <f>IFERROR($S618/$S617-1,"")</f>
        <v/>
      </c>
      <c r="DA617" s="57">
        <f>IFERROR($T618/$T617-1,"")</f>
        <v/>
      </c>
      <c r="DB617" s="57">
        <f>IFERROR($U618/$U617-1,"")</f>
        <v/>
      </c>
      <c r="DC617" s="57">
        <f>IFERROR($V618/$V617-1,"")</f>
        <v/>
      </c>
      <c r="DD617" s="57">
        <f>IFERROR($W618/$W617-1,"")</f>
        <v/>
      </c>
      <c r="DE617" s="57">
        <f>IFERROR($X618/$X617-1,"")</f>
        <v/>
      </c>
      <c r="DF617" s="57">
        <f>IFERROR($Y618/$Y617-1,"")</f>
        <v/>
      </c>
      <c r="DG617" s="57">
        <f>IFERROR($Z618/$Z617-1,"")</f>
        <v/>
      </c>
      <c r="DH617" s="57">
        <f>IFERROR($AA618/$AA617-1,"")</f>
        <v/>
      </c>
      <c r="DI617" s="57">
        <f>IFERROR($AB618/$AB617-1,"")</f>
        <v/>
      </c>
      <c r="DJ617" s="57">
        <f>IFERROR($AC618/$AC617-1,"")</f>
        <v/>
      </c>
      <c r="DK617" s="57">
        <f>IFERROR($AD618/$AD617-1,"")</f>
        <v/>
      </c>
      <c r="DL617" s="57">
        <f>IFERROR($AE618/$AE617-1,"")</f>
        <v/>
      </c>
      <c r="DM617" s="56">
        <f>$AZ617-$AZ618</f>
        <v/>
      </c>
      <c r="DN617" s="56">
        <f>$BA617-$BA618</f>
        <v/>
      </c>
      <c r="DO617" s="56">
        <f>$BB617-$BB618</f>
        <v/>
      </c>
      <c r="DP617" s="56">
        <f>$BC617-$BC618</f>
        <v/>
      </c>
      <c r="DQ617" s="56">
        <f>$BD617-$BD618</f>
        <v/>
      </c>
      <c r="DR617" s="56">
        <f>$BE617-$BE618</f>
        <v/>
      </c>
      <c r="DS617" s="56">
        <f>$BF617-$BF618</f>
        <v/>
      </c>
      <c r="DT617" s="56">
        <f>$BG617-$BG618</f>
        <v/>
      </c>
      <c r="DU617" s="56">
        <f>$BH617-$BH618</f>
        <v/>
      </c>
      <c r="DV617" s="56">
        <f>$BI617-$BI618</f>
        <v/>
      </c>
      <c r="DW617" s="56">
        <f>$BJ617-$BJ618</f>
        <v/>
      </c>
      <c r="DX617" s="56">
        <f>$BK617-$BK618</f>
        <v/>
      </c>
      <c r="DY617" s="56">
        <f>$BL617-$BL618</f>
        <v/>
      </c>
      <c r="DZ617" s="56">
        <f>$BM617-$BM618</f>
        <v/>
      </c>
      <c r="EA617" s="56">
        <f>$BN617-$BN618</f>
        <v/>
      </c>
      <c r="EB617" s="56">
        <f>$BO617-$BO618</f>
        <v/>
      </c>
      <c r="EC617" s="56">
        <f>$BP617-$BP618</f>
        <v/>
      </c>
      <c r="ED617" s="56">
        <f>$BQ617-$BQ618</f>
        <v/>
      </c>
      <c r="EE617" s="56">
        <f>$BR617-$BR618</f>
        <v/>
      </c>
      <c r="EF617" s="56">
        <f>$BS617-$BS618</f>
        <v/>
      </c>
      <c r="EG617" s="56">
        <f>$BT617-$BT618</f>
        <v/>
      </c>
      <c r="EH617" s="56">
        <f>$BU617-$BU618</f>
        <v/>
      </c>
    </row>
    <row r="618">
      <c r="BV618" s="56">
        <f>($D618-$D619)*100</f>
        <v/>
      </c>
      <c r="BW618" s="56">
        <f>($C618-$C619)*100</f>
        <v/>
      </c>
      <c r="BX618" s="57">
        <f>IFERROR($I618/$I619-1,"")</f>
        <v/>
      </c>
      <c r="BY618" s="56">
        <f>($AF618-$AF619)*100</f>
        <v/>
      </c>
      <c r="BZ618" s="56">
        <f>($AG618-$AG619)*100</f>
        <v/>
      </c>
      <c r="CA618" s="56">
        <f>($AH618-$AH619)*100</f>
        <v/>
      </c>
      <c r="CB618" s="56">
        <f>($AI618-$AI619)*100</f>
        <v/>
      </c>
      <c r="CC618" s="56">
        <f>($AJ618-$AJ619)*100</f>
        <v/>
      </c>
      <c r="CD618" s="56">
        <f>($AK618-$AK619)*100</f>
        <v/>
      </c>
      <c r="CE618" s="56">
        <f>($AL618-$AL619)*100</f>
        <v/>
      </c>
      <c r="CF618" s="56">
        <f>($AM618-$AM619)*100</f>
        <v/>
      </c>
      <c r="CG618" s="56">
        <f>($AN618-$AN619)*100</f>
        <v/>
      </c>
      <c r="CH618" s="56">
        <f>($AO618-$AO619)*100</f>
        <v/>
      </c>
      <c r="CI618" s="56">
        <f>($AP618-$AP619)*100</f>
        <v/>
      </c>
      <c r="CJ618" s="56">
        <f>($AQ618-$AQ619)*100</f>
        <v/>
      </c>
      <c r="CK618" s="56">
        <f>($AR618-$AR619)*100</f>
        <v/>
      </c>
      <c r="CL618" s="56">
        <f>($AS618-$AS619)*100</f>
        <v/>
      </c>
      <c r="CM618" s="56">
        <f>($AT618-$AT619)*100</f>
        <v/>
      </c>
      <c r="CN618" s="56">
        <f>($AU618-$AU619)*100</f>
        <v/>
      </c>
      <c r="CO618" s="56">
        <f>($AV618-$AV619)*100</f>
        <v/>
      </c>
      <c r="CP618" s="56">
        <f>($AW618-$AW619)*100</f>
        <v/>
      </c>
      <c r="CQ618" s="56">
        <f>($AX618-$AX619)*100</f>
        <v/>
      </c>
      <c r="CR618" s="56">
        <f>($AY618-$AY619)*100</f>
        <v/>
      </c>
      <c r="CS618" s="57">
        <f>IFERROR($L619/$L618-1,"")</f>
        <v/>
      </c>
      <c r="CT618" s="57">
        <f>IFERROR($M619/$M618-1,"")</f>
        <v/>
      </c>
      <c r="CU618" s="57">
        <f>IFERROR($N619/$N618-1,"")</f>
        <v/>
      </c>
      <c r="CV618" s="57">
        <f>IFERROR($O619/$O618-1,"")</f>
        <v/>
      </c>
      <c r="CW618" s="57">
        <f>IFERROR($P619/$P618-1,"")</f>
        <v/>
      </c>
      <c r="CX618" s="57">
        <f>IFERROR($Q619/$Q618-1,"")</f>
        <v/>
      </c>
      <c r="CY618" s="57">
        <f>IFERROR($R619/$R618-1,"")</f>
        <v/>
      </c>
      <c r="CZ618" s="57">
        <f>IFERROR($S619/$S618-1,"")</f>
        <v/>
      </c>
      <c r="DA618" s="57">
        <f>IFERROR($T619/$T618-1,"")</f>
        <v/>
      </c>
      <c r="DB618" s="57">
        <f>IFERROR($U619/$U618-1,"")</f>
        <v/>
      </c>
      <c r="DC618" s="57">
        <f>IFERROR($V619/$V618-1,"")</f>
        <v/>
      </c>
      <c r="DD618" s="57">
        <f>IFERROR($W619/$W618-1,"")</f>
        <v/>
      </c>
      <c r="DE618" s="57">
        <f>IFERROR($X619/$X618-1,"")</f>
        <v/>
      </c>
      <c r="DF618" s="57">
        <f>IFERROR($Y619/$Y618-1,"")</f>
        <v/>
      </c>
      <c r="DG618" s="57">
        <f>IFERROR($Z619/$Z618-1,"")</f>
        <v/>
      </c>
      <c r="DH618" s="57">
        <f>IFERROR($AA619/$AA618-1,"")</f>
        <v/>
      </c>
      <c r="DI618" s="57">
        <f>IFERROR($AB619/$AB618-1,"")</f>
        <v/>
      </c>
      <c r="DJ618" s="57">
        <f>IFERROR($AC619/$AC618-1,"")</f>
        <v/>
      </c>
      <c r="DK618" s="57">
        <f>IFERROR($AD619/$AD618-1,"")</f>
        <v/>
      </c>
      <c r="DL618" s="57">
        <f>IFERROR($AE619/$AE618-1,"")</f>
        <v/>
      </c>
      <c r="DM618" s="56">
        <f>$AZ618-$AZ619</f>
        <v/>
      </c>
      <c r="DN618" s="56">
        <f>$BA618-$BA619</f>
        <v/>
      </c>
      <c r="DO618" s="56">
        <f>$BB618-$BB619</f>
        <v/>
      </c>
      <c r="DP618" s="56">
        <f>$BC618-$BC619</f>
        <v/>
      </c>
      <c r="DQ618" s="56">
        <f>$BD618-$BD619</f>
        <v/>
      </c>
      <c r="DR618" s="56">
        <f>$BE618-$BE619</f>
        <v/>
      </c>
      <c r="DS618" s="56">
        <f>$BF618-$BF619</f>
        <v/>
      </c>
      <c r="DT618" s="56">
        <f>$BG618-$BG619</f>
        <v/>
      </c>
      <c r="DU618" s="56">
        <f>$BH618-$BH619</f>
        <v/>
      </c>
      <c r="DV618" s="56">
        <f>$BI618-$BI619</f>
        <v/>
      </c>
      <c r="DW618" s="56">
        <f>$BJ618-$BJ619</f>
        <v/>
      </c>
      <c r="DX618" s="56">
        <f>$BK618-$BK619</f>
        <v/>
      </c>
      <c r="DY618" s="56">
        <f>$BL618-$BL619</f>
        <v/>
      </c>
      <c r="DZ618" s="56">
        <f>$BM618-$BM619</f>
        <v/>
      </c>
      <c r="EA618" s="56">
        <f>$BN618-$BN619</f>
        <v/>
      </c>
      <c r="EB618" s="56">
        <f>$BO618-$BO619</f>
        <v/>
      </c>
      <c r="EC618" s="56">
        <f>$BP618-$BP619</f>
        <v/>
      </c>
      <c r="ED618" s="56">
        <f>$BQ618-$BQ619</f>
        <v/>
      </c>
      <c r="EE618" s="56">
        <f>$BR618-$BR619</f>
        <v/>
      </c>
      <c r="EF618" s="56">
        <f>$BS618-$BS619</f>
        <v/>
      </c>
      <c r="EG618" s="56">
        <f>$BT618-$BT619</f>
        <v/>
      </c>
      <c r="EH618" s="56">
        <f>$BU618-$BU619</f>
        <v/>
      </c>
    </row>
    <row r="619">
      <c r="BV619" s="56">
        <f>($D619-$D620)*100</f>
        <v/>
      </c>
      <c r="BW619" s="56">
        <f>($C619-$C620)*100</f>
        <v/>
      </c>
      <c r="BX619" s="57">
        <f>IFERROR($I619/$I620-1,"")</f>
        <v/>
      </c>
      <c r="BY619" s="56">
        <f>($AF619-$AF620)*100</f>
        <v/>
      </c>
      <c r="BZ619" s="56">
        <f>($AG619-$AG620)*100</f>
        <v/>
      </c>
      <c r="CA619" s="56">
        <f>($AH619-$AH620)*100</f>
        <v/>
      </c>
      <c r="CB619" s="56">
        <f>($AI619-$AI620)*100</f>
        <v/>
      </c>
      <c r="CC619" s="56">
        <f>($AJ619-$AJ620)*100</f>
        <v/>
      </c>
      <c r="CD619" s="56">
        <f>($AK619-$AK620)*100</f>
        <v/>
      </c>
      <c r="CE619" s="56">
        <f>($AL619-$AL620)*100</f>
        <v/>
      </c>
      <c r="CF619" s="56">
        <f>($AM619-$AM620)*100</f>
        <v/>
      </c>
      <c r="CG619" s="56">
        <f>($AN619-$AN620)*100</f>
        <v/>
      </c>
      <c r="CH619" s="56">
        <f>($AO619-$AO620)*100</f>
        <v/>
      </c>
      <c r="CI619" s="56">
        <f>($AP619-$AP620)*100</f>
        <v/>
      </c>
      <c r="CJ619" s="56">
        <f>($AQ619-$AQ620)*100</f>
        <v/>
      </c>
      <c r="CK619" s="56">
        <f>($AR619-$AR620)*100</f>
        <v/>
      </c>
      <c r="CL619" s="56">
        <f>($AS619-$AS620)*100</f>
        <v/>
      </c>
      <c r="CM619" s="56">
        <f>($AT619-$AT620)*100</f>
        <v/>
      </c>
      <c r="CN619" s="56">
        <f>($AU619-$AU620)*100</f>
        <v/>
      </c>
      <c r="CO619" s="56">
        <f>($AV619-$AV620)*100</f>
        <v/>
      </c>
      <c r="CP619" s="56">
        <f>($AW619-$AW620)*100</f>
        <v/>
      </c>
      <c r="CQ619" s="56">
        <f>($AX619-$AX620)*100</f>
        <v/>
      </c>
      <c r="CR619" s="56">
        <f>($AY619-$AY620)*100</f>
        <v/>
      </c>
      <c r="CS619" s="57">
        <f>IFERROR($L620/$L619-1,"")</f>
        <v/>
      </c>
      <c r="CT619" s="57">
        <f>IFERROR($M620/$M619-1,"")</f>
        <v/>
      </c>
      <c r="CU619" s="57">
        <f>IFERROR($N620/$N619-1,"")</f>
        <v/>
      </c>
      <c r="CV619" s="57">
        <f>IFERROR($O620/$O619-1,"")</f>
        <v/>
      </c>
      <c r="CW619" s="57">
        <f>IFERROR($P620/$P619-1,"")</f>
        <v/>
      </c>
      <c r="CX619" s="57">
        <f>IFERROR($Q620/$Q619-1,"")</f>
        <v/>
      </c>
      <c r="CY619" s="57">
        <f>IFERROR($R620/$R619-1,"")</f>
        <v/>
      </c>
      <c r="CZ619" s="57">
        <f>IFERROR($S620/$S619-1,"")</f>
        <v/>
      </c>
      <c r="DA619" s="57">
        <f>IFERROR($T620/$T619-1,"")</f>
        <v/>
      </c>
      <c r="DB619" s="57">
        <f>IFERROR($U620/$U619-1,"")</f>
        <v/>
      </c>
      <c r="DC619" s="57">
        <f>IFERROR($V620/$V619-1,"")</f>
        <v/>
      </c>
      <c r="DD619" s="57">
        <f>IFERROR($W620/$W619-1,"")</f>
        <v/>
      </c>
      <c r="DE619" s="57">
        <f>IFERROR($X620/$X619-1,"")</f>
        <v/>
      </c>
      <c r="DF619" s="57">
        <f>IFERROR($Y620/$Y619-1,"")</f>
        <v/>
      </c>
      <c r="DG619" s="57">
        <f>IFERROR($Z620/$Z619-1,"")</f>
        <v/>
      </c>
      <c r="DH619" s="57">
        <f>IFERROR($AA620/$AA619-1,"")</f>
        <v/>
      </c>
      <c r="DI619" s="57">
        <f>IFERROR($AB620/$AB619-1,"")</f>
        <v/>
      </c>
      <c r="DJ619" s="57">
        <f>IFERROR($AC620/$AC619-1,"")</f>
        <v/>
      </c>
      <c r="DK619" s="57">
        <f>IFERROR($AD620/$AD619-1,"")</f>
        <v/>
      </c>
      <c r="DL619" s="57">
        <f>IFERROR($AE620/$AE619-1,"")</f>
        <v/>
      </c>
      <c r="DM619" s="56">
        <f>$AZ619-$AZ620</f>
        <v/>
      </c>
      <c r="DN619" s="56">
        <f>$BA619-$BA620</f>
        <v/>
      </c>
      <c r="DO619" s="56">
        <f>$BB619-$BB620</f>
        <v/>
      </c>
      <c r="DP619" s="56">
        <f>$BC619-$BC620</f>
        <v/>
      </c>
      <c r="DQ619" s="56">
        <f>$BD619-$BD620</f>
        <v/>
      </c>
      <c r="DR619" s="56">
        <f>$BE619-$BE620</f>
        <v/>
      </c>
      <c r="DS619" s="56">
        <f>$BF619-$BF620</f>
        <v/>
      </c>
      <c r="DT619" s="56">
        <f>$BG619-$BG620</f>
        <v/>
      </c>
      <c r="DU619" s="56">
        <f>$BH619-$BH620</f>
        <v/>
      </c>
      <c r="DV619" s="56">
        <f>$BI619-$BI620</f>
        <v/>
      </c>
      <c r="DW619" s="56">
        <f>$BJ619-$BJ620</f>
        <v/>
      </c>
      <c r="DX619" s="56">
        <f>$BK619-$BK620</f>
        <v/>
      </c>
      <c r="DY619" s="56">
        <f>$BL619-$BL620</f>
        <v/>
      </c>
      <c r="DZ619" s="56">
        <f>$BM619-$BM620</f>
        <v/>
      </c>
      <c r="EA619" s="56">
        <f>$BN619-$BN620</f>
        <v/>
      </c>
      <c r="EB619" s="56">
        <f>$BO619-$BO620</f>
        <v/>
      </c>
      <c r="EC619" s="56">
        <f>$BP619-$BP620</f>
        <v/>
      </c>
      <c r="ED619" s="56">
        <f>$BQ619-$BQ620</f>
        <v/>
      </c>
      <c r="EE619" s="56">
        <f>$BR619-$BR620</f>
        <v/>
      </c>
      <c r="EF619" s="56">
        <f>$BS619-$BS620</f>
        <v/>
      </c>
      <c r="EG619" s="56">
        <f>$BT619-$BT620</f>
        <v/>
      </c>
      <c r="EH619" s="56">
        <f>$BU619-$BU620</f>
        <v/>
      </c>
    </row>
    <row r="620">
      <c r="BV620" s="56">
        <f>($D620-$D621)*100</f>
        <v/>
      </c>
      <c r="BW620" s="56">
        <f>($C620-$C621)*100</f>
        <v/>
      </c>
      <c r="BX620" s="57">
        <f>IFERROR($I620/$I621-1,"")</f>
        <v/>
      </c>
      <c r="BY620" s="56">
        <f>($AF620-$AF621)*100</f>
        <v/>
      </c>
      <c r="BZ620" s="56">
        <f>($AG620-$AG621)*100</f>
        <v/>
      </c>
      <c r="CA620" s="56">
        <f>($AH620-$AH621)*100</f>
        <v/>
      </c>
      <c r="CB620" s="56">
        <f>($AI620-$AI621)*100</f>
        <v/>
      </c>
      <c r="CC620" s="56">
        <f>($AJ620-$AJ621)*100</f>
        <v/>
      </c>
      <c r="CD620" s="56">
        <f>($AK620-$AK621)*100</f>
        <v/>
      </c>
      <c r="CE620" s="56">
        <f>($AL620-$AL621)*100</f>
        <v/>
      </c>
      <c r="CF620" s="56">
        <f>($AM620-$AM621)*100</f>
        <v/>
      </c>
      <c r="CG620" s="56">
        <f>($AN620-$AN621)*100</f>
        <v/>
      </c>
      <c r="CH620" s="56">
        <f>($AO620-$AO621)*100</f>
        <v/>
      </c>
      <c r="CI620" s="56">
        <f>($AP620-$AP621)*100</f>
        <v/>
      </c>
      <c r="CJ620" s="56">
        <f>($AQ620-$AQ621)*100</f>
        <v/>
      </c>
      <c r="CK620" s="56">
        <f>($AR620-$AR621)*100</f>
        <v/>
      </c>
      <c r="CL620" s="56">
        <f>($AS620-$AS621)*100</f>
        <v/>
      </c>
      <c r="CM620" s="56">
        <f>($AT620-$AT621)*100</f>
        <v/>
      </c>
      <c r="CN620" s="56">
        <f>($AU620-$AU621)*100</f>
        <v/>
      </c>
      <c r="CO620" s="56">
        <f>($AV620-$AV621)*100</f>
        <v/>
      </c>
      <c r="CP620" s="56">
        <f>($AW620-$AW621)*100</f>
        <v/>
      </c>
      <c r="CQ620" s="56">
        <f>($AX620-$AX621)*100</f>
        <v/>
      </c>
      <c r="CR620" s="56">
        <f>($AY620-$AY621)*100</f>
        <v/>
      </c>
      <c r="CS620" s="57">
        <f>IFERROR($L621/$L620-1,"")</f>
        <v/>
      </c>
      <c r="CT620" s="57">
        <f>IFERROR($M621/$M620-1,"")</f>
        <v/>
      </c>
      <c r="CU620" s="57">
        <f>IFERROR($N621/$N620-1,"")</f>
        <v/>
      </c>
      <c r="CV620" s="57">
        <f>IFERROR($O621/$O620-1,"")</f>
        <v/>
      </c>
      <c r="CW620" s="57">
        <f>IFERROR($P621/$P620-1,"")</f>
        <v/>
      </c>
      <c r="CX620" s="57">
        <f>IFERROR($Q621/$Q620-1,"")</f>
        <v/>
      </c>
      <c r="CY620" s="57">
        <f>IFERROR($R621/$R620-1,"")</f>
        <v/>
      </c>
      <c r="CZ620" s="57">
        <f>IFERROR($S621/$S620-1,"")</f>
        <v/>
      </c>
      <c r="DA620" s="57">
        <f>IFERROR($T621/$T620-1,"")</f>
        <v/>
      </c>
      <c r="DB620" s="57">
        <f>IFERROR($U621/$U620-1,"")</f>
        <v/>
      </c>
      <c r="DC620" s="57">
        <f>IFERROR($V621/$V620-1,"")</f>
        <v/>
      </c>
      <c r="DD620" s="57">
        <f>IFERROR($W621/$W620-1,"")</f>
        <v/>
      </c>
      <c r="DE620" s="57">
        <f>IFERROR($X621/$X620-1,"")</f>
        <v/>
      </c>
      <c r="DF620" s="57">
        <f>IFERROR($Y621/$Y620-1,"")</f>
        <v/>
      </c>
      <c r="DG620" s="57">
        <f>IFERROR($Z621/$Z620-1,"")</f>
        <v/>
      </c>
      <c r="DH620" s="57">
        <f>IFERROR($AA621/$AA620-1,"")</f>
        <v/>
      </c>
      <c r="DI620" s="57">
        <f>IFERROR($AB621/$AB620-1,"")</f>
        <v/>
      </c>
      <c r="DJ620" s="57">
        <f>IFERROR($AC621/$AC620-1,"")</f>
        <v/>
      </c>
      <c r="DK620" s="57">
        <f>IFERROR($AD621/$AD620-1,"")</f>
        <v/>
      </c>
      <c r="DL620" s="57">
        <f>IFERROR($AE621/$AE620-1,"")</f>
        <v/>
      </c>
      <c r="DM620" s="56">
        <f>$AZ620-$AZ621</f>
        <v/>
      </c>
      <c r="DN620" s="56">
        <f>$BA620-$BA621</f>
        <v/>
      </c>
      <c r="DO620" s="56">
        <f>$BB620-$BB621</f>
        <v/>
      </c>
      <c r="DP620" s="56">
        <f>$BC620-$BC621</f>
        <v/>
      </c>
      <c r="DQ620" s="56">
        <f>$BD620-$BD621</f>
        <v/>
      </c>
      <c r="DR620" s="56">
        <f>$BE620-$BE621</f>
        <v/>
      </c>
      <c r="DS620" s="56">
        <f>$BF620-$BF621</f>
        <v/>
      </c>
      <c r="DT620" s="56">
        <f>$BG620-$BG621</f>
        <v/>
      </c>
      <c r="DU620" s="56">
        <f>$BH620-$BH621</f>
        <v/>
      </c>
      <c r="DV620" s="56">
        <f>$BI620-$BI621</f>
        <v/>
      </c>
      <c r="DW620" s="56">
        <f>$BJ620-$BJ621</f>
        <v/>
      </c>
      <c r="DX620" s="56">
        <f>$BK620-$BK621</f>
        <v/>
      </c>
      <c r="DY620" s="56">
        <f>$BL620-$BL621</f>
        <v/>
      </c>
      <c r="DZ620" s="56">
        <f>$BM620-$BM621</f>
        <v/>
      </c>
      <c r="EA620" s="56">
        <f>$BN620-$BN621</f>
        <v/>
      </c>
      <c r="EB620" s="56">
        <f>$BO620-$BO621</f>
        <v/>
      </c>
      <c r="EC620" s="56">
        <f>$BP620-$BP621</f>
        <v/>
      </c>
      <c r="ED620" s="56">
        <f>$BQ620-$BQ621</f>
        <v/>
      </c>
      <c r="EE620" s="56">
        <f>$BR620-$BR621</f>
        <v/>
      </c>
      <c r="EF620" s="56">
        <f>$BS620-$BS621</f>
        <v/>
      </c>
      <c r="EG620" s="56">
        <f>$BT620-$BT621</f>
        <v/>
      </c>
      <c r="EH620" s="56">
        <f>$BU620-$BU621</f>
        <v/>
      </c>
    </row>
    <row r="621">
      <c r="BV621" s="56">
        <f>($D621-$D622)*100</f>
        <v/>
      </c>
      <c r="BW621" s="56">
        <f>($C621-$C622)*100</f>
        <v/>
      </c>
      <c r="BX621" s="57">
        <f>IFERROR($I621/$I622-1,"")</f>
        <v/>
      </c>
      <c r="BY621" s="56">
        <f>($AF621-$AF622)*100</f>
        <v/>
      </c>
      <c r="BZ621" s="56">
        <f>($AG621-$AG622)*100</f>
        <v/>
      </c>
      <c r="CA621" s="56">
        <f>($AH621-$AH622)*100</f>
        <v/>
      </c>
      <c r="CB621" s="56">
        <f>($AI621-$AI622)*100</f>
        <v/>
      </c>
      <c r="CC621" s="56">
        <f>($AJ621-$AJ622)*100</f>
        <v/>
      </c>
      <c r="CD621" s="56">
        <f>($AK621-$AK622)*100</f>
        <v/>
      </c>
      <c r="CE621" s="56">
        <f>($AL621-$AL622)*100</f>
        <v/>
      </c>
      <c r="CF621" s="56">
        <f>($AM621-$AM622)*100</f>
        <v/>
      </c>
      <c r="CG621" s="56">
        <f>($AN621-$AN622)*100</f>
        <v/>
      </c>
      <c r="CH621" s="56">
        <f>($AO621-$AO622)*100</f>
        <v/>
      </c>
      <c r="CI621" s="56">
        <f>($AP621-$AP622)*100</f>
        <v/>
      </c>
      <c r="CJ621" s="56">
        <f>($AQ621-$AQ622)*100</f>
        <v/>
      </c>
      <c r="CK621" s="56">
        <f>($AR621-$AR622)*100</f>
        <v/>
      </c>
      <c r="CL621" s="56">
        <f>($AS621-$AS622)*100</f>
        <v/>
      </c>
      <c r="CM621" s="56">
        <f>($AT621-$AT622)*100</f>
        <v/>
      </c>
      <c r="CN621" s="56">
        <f>($AU621-$AU622)*100</f>
        <v/>
      </c>
      <c r="CO621" s="56">
        <f>($AV621-$AV622)*100</f>
        <v/>
      </c>
      <c r="CP621" s="56">
        <f>($AW621-$AW622)*100</f>
        <v/>
      </c>
      <c r="CQ621" s="56">
        <f>($AX621-$AX622)*100</f>
        <v/>
      </c>
      <c r="CR621" s="56">
        <f>($AY621-$AY622)*100</f>
        <v/>
      </c>
      <c r="CS621" s="57">
        <f>IFERROR($L622/$L621-1,"")</f>
        <v/>
      </c>
      <c r="CT621" s="57">
        <f>IFERROR($M622/$M621-1,"")</f>
        <v/>
      </c>
      <c r="CU621" s="57">
        <f>IFERROR($N622/$N621-1,"")</f>
        <v/>
      </c>
      <c r="CV621" s="57">
        <f>IFERROR($O622/$O621-1,"")</f>
        <v/>
      </c>
      <c r="CW621" s="57">
        <f>IFERROR($P622/$P621-1,"")</f>
        <v/>
      </c>
      <c r="CX621" s="57">
        <f>IFERROR($Q622/$Q621-1,"")</f>
        <v/>
      </c>
      <c r="CY621" s="57">
        <f>IFERROR($R622/$R621-1,"")</f>
        <v/>
      </c>
      <c r="CZ621" s="57">
        <f>IFERROR($S622/$S621-1,"")</f>
        <v/>
      </c>
      <c r="DA621" s="57">
        <f>IFERROR($T622/$T621-1,"")</f>
        <v/>
      </c>
      <c r="DB621" s="57">
        <f>IFERROR($U622/$U621-1,"")</f>
        <v/>
      </c>
      <c r="DC621" s="57">
        <f>IFERROR($V622/$V621-1,"")</f>
        <v/>
      </c>
      <c r="DD621" s="57">
        <f>IFERROR($W622/$W621-1,"")</f>
        <v/>
      </c>
      <c r="DE621" s="57">
        <f>IFERROR($X622/$X621-1,"")</f>
        <v/>
      </c>
      <c r="DF621" s="57">
        <f>IFERROR($Y622/$Y621-1,"")</f>
        <v/>
      </c>
      <c r="DG621" s="57">
        <f>IFERROR($Z622/$Z621-1,"")</f>
        <v/>
      </c>
      <c r="DH621" s="57">
        <f>IFERROR($AA622/$AA621-1,"")</f>
        <v/>
      </c>
      <c r="DI621" s="57">
        <f>IFERROR($AB622/$AB621-1,"")</f>
        <v/>
      </c>
      <c r="DJ621" s="57">
        <f>IFERROR($AC622/$AC621-1,"")</f>
        <v/>
      </c>
      <c r="DK621" s="57">
        <f>IFERROR($AD622/$AD621-1,"")</f>
        <v/>
      </c>
      <c r="DL621" s="57">
        <f>IFERROR($AE622/$AE621-1,"")</f>
        <v/>
      </c>
      <c r="DM621" s="56">
        <f>$AZ621-$AZ622</f>
        <v/>
      </c>
      <c r="DN621" s="56">
        <f>$BA621-$BA622</f>
        <v/>
      </c>
      <c r="DO621" s="56">
        <f>$BB621-$BB622</f>
        <v/>
      </c>
      <c r="DP621" s="56">
        <f>$BC621-$BC622</f>
        <v/>
      </c>
      <c r="DQ621" s="56">
        <f>$BD621-$BD622</f>
        <v/>
      </c>
      <c r="DR621" s="56">
        <f>$BE621-$BE622</f>
        <v/>
      </c>
      <c r="DS621" s="56">
        <f>$BF621-$BF622</f>
        <v/>
      </c>
      <c r="DT621" s="56">
        <f>$BG621-$BG622</f>
        <v/>
      </c>
      <c r="DU621" s="56">
        <f>$BH621-$BH622</f>
        <v/>
      </c>
      <c r="DV621" s="56">
        <f>$BI621-$BI622</f>
        <v/>
      </c>
      <c r="DW621" s="56">
        <f>$BJ621-$BJ622</f>
        <v/>
      </c>
      <c r="DX621" s="56">
        <f>$BK621-$BK622</f>
        <v/>
      </c>
      <c r="DY621" s="56">
        <f>$BL621-$BL622</f>
        <v/>
      </c>
      <c r="DZ621" s="56">
        <f>$BM621-$BM622</f>
        <v/>
      </c>
      <c r="EA621" s="56">
        <f>$BN621-$BN622</f>
        <v/>
      </c>
      <c r="EB621" s="56">
        <f>$BO621-$BO622</f>
        <v/>
      </c>
      <c r="EC621" s="56">
        <f>$BP621-$BP622</f>
        <v/>
      </c>
      <c r="ED621" s="56">
        <f>$BQ621-$BQ622</f>
        <v/>
      </c>
      <c r="EE621" s="56">
        <f>$BR621-$BR622</f>
        <v/>
      </c>
      <c r="EF621" s="56">
        <f>$BS621-$BS622</f>
        <v/>
      </c>
      <c r="EG621" s="56">
        <f>$BT621-$BT622</f>
        <v/>
      </c>
      <c r="EH621" s="56">
        <f>$BU621-$BU622</f>
        <v/>
      </c>
    </row>
    <row r="622">
      <c r="BV622" s="56">
        <f>($D622-$D623)*100</f>
        <v/>
      </c>
      <c r="BW622" s="56">
        <f>($C622-$C623)*100</f>
        <v/>
      </c>
      <c r="BX622" s="57">
        <f>IFERROR($I622/$I623-1,"")</f>
        <v/>
      </c>
      <c r="BY622" s="56">
        <f>($AF622-$AF623)*100</f>
        <v/>
      </c>
      <c r="BZ622" s="56">
        <f>($AG622-$AG623)*100</f>
        <v/>
      </c>
      <c r="CA622" s="56">
        <f>($AH622-$AH623)*100</f>
        <v/>
      </c>
      <c r="CB622" s="56">
        <f>($AI622-$AI623)*100</f>
        <v/>
      </c>
      <c r="CC622" s="56">
        <f>($AJ622-$AJ623)*100</f>
        <v/>
      </c>
      <c r="CD622" s="56">
        <f>($AK622-$AK623)*100</f>
        <v/>
      </c>
      <c r="CE622" s="56">
        <f>($AL622-$AL623)*100</f>
        <v/>
      </c>
      <c r="CF622" s="56">
        <f>($AM622-$AM623)*100</f>
        <v/>
      </c>
      <c r="CG622" s="56">
        <f>($AN622-$AN623)*100</f>
        <v/>
      </c>
      <c r="CH622" s="56">
        <f>($AO622-$AO623)*100</f>
        <v/>
      </c>
      <c r="CI622" s="56">
        <f>($AP622-$AP623)*100</f>
        <v/>
      </c>
      <c r="CJ622" s="56">
        <f>($AQ622-$AQ623)*100</f>
        <v/>
      </c>
      <c r="CK622" s="56">
        <f>($AR622-$AR623)*100</f>
        <v/>
      </c>
      <c r="CL622" s="56">
        <f>($AS622-$AS623)*100</f>
        <v/>
      </c>
      <c r="CM622" s="56">
        <f>($AT622-$AT623)*100</f>
        <v/>
      </c>
      <c r="CN622" s="56">
        <f>($AU622-$AU623)*100</f>
        <v/>
      </c>
      <c r="CO622" s="56">
        <f>($AV622-$AV623)*100</f>
        <v/>
      </c>
      <c r="CP622" s="56">
        <f>($AW622-$AW623)*100</f>
        <v/>
      </c>
      <c r="CQ622" s="56">
        <f>($AX622-$AX623)*100</f>
        <v/>
      </c>
      <c r="CR622" s="56">
        <f>($AY622-$AY623)*100</f>
        <v/>
      </c>
      <c r="CS622" s="57">
        <f>IFERROR($L623/$L622-1,"")</f>
        <v/>
      </c>
      <c r="CT622" s="57">
        <f>IFERROR($M623/$M622-1,"")</f>
        <v/>
      </c>
      <c r="CU622" s="57">
        <f>IFERROR($N623/$N622-1,"")</f>
        <v/>
      </c>
      <c r="CV622" s="57">
        <f>IFERROR($O623/$O622-1,"")</f>
        <v/>
      </c>
      <c r="CW622" s="57">
        <f>IFERROR($P623/$P622-1,"")</f>
        <v/>
      </c>
      <c r="CX622" s="57">
        <f>IFERROR($Q623/$Q622-1,"")</f>
        <v/>
      </c>
      <c r="CY622" s="57">
        <f>IFERROR($R623/$R622-1,"")</f>
        <v/>
      </c>
      <c r="CZ622" s="57">
        <f>IFERROR($S623/$S622-1,"")</f>
        <v/>
      </c>
      <c r="DA622" s="57">
        <f>IFERROR($T623/$T622-1,"")</f>
        <v/>
      </c>
      <c r="DB622" s="57">
        <f>IFERROR($U623/$U622-1,"")</f>
        <v/>
      </c>
      <c r="DC622" s="57">
        <f>IFERROR($V623/$V622-1,"")</f>
        <v/>
      </c>
      <c r="DD622" s="57">
        <f>IFERROR($W623/$W622-1,"")</f>
        <v/>
      </c>
      <c r="DE622" s="57">
        <f>IFERROR($X623/$X622-1,"")</f>
        <v/>
      </c>
      <c r="DF622" s="57">
        <f>IFERROR($Y623/$Y622-1,"")</f>
        <v/>
      </c>
      <c r="DG622" s="57">
        <f>IFERROR($Z623/$Z622-1,"")</f>
        <v/>
      </c>
      <c r="DH622" s="57">
        <f>IFERROR($AA623/$AA622-1,"")</f>
        <v/>
      </c>
      <c r="DI622" s="57">
        <f>IFERROR($AB623/$AB622-1,"")</f>
        <v/>
      </c>
      <c r="DJ622" s="57">
        <f>IFERROR($AC623/$AC622-1,"")</f>
        <v/>
      </c>
      <c r="DK622" s="57">
        <f>IFERROR($AD623/$AD622-1,"")</f>
        <v/>
      </c>
      <c r="DL622" s="57">
        <f>IFERROR($AE623/$AE622-1,"")</f>
        <v/>
      </c>
      <c r="DM622" s="56">
        <f>$AZ622-$AZ623</f>
        <v/>
      </c>
      <c r="DN622" s="56">
        <f>$BA622-$BA623</f>
        <v/>
      </c>
      <c r="DO622" s="56">
        <f>$BB622-$BB623</f>
        <v/>
      </c>
      <c r="DP622" s="56">
        <f>$BC622-$BC623</f>
        <v/>
      </c>
      <c r="DQ622" s="56">
        <f>$BD622-$BD623</f>
        <v/>
      </c>
      <c r="DR622" s="56">
        <f>$BE622-$BE623</f>
        <v/>
      </c>
      <c r="DS622" s="56">
        <f>$BF622-$BF623</f>
        <v/>
      </c>
      <c r="DT622" s="56">
        <f>$BG622-$BG623</f>
        <v/>
      </c>
      <c r="DU622" s="56">
        <f>$BH622-$BH623</f>
        <v/>
      </c>
      <c r="DV622" s="56">
        <f>$BI622-$BI623</f>
        <v/>
      </c>
      <c r="DW622" s="56">
        <f>$BJ622-$BJ623</f>
        <v/>
      </c>
      <c r="DX622" s="56">
        <f>$BK622-$BK623</f>
        <v/>
      </c>
      <c r="DY622" s="56">
        <f>$BL622-$BL623</f>
        <v/>
      </c>
      <c r="DZ622" s="56">
        <f>$BM622-$BM623</f>
        <v/>
      </c>
      <c r="EA622" s="56">
        <f>$BN622-$BN623</f>
        <v/>
      </c>
      <c r="EB622" s="56">
        <f>$BO622-$BO623</f>
        <v/>
      </c>
      <c r="EC622" s="56">
        <f>$BP622-$BP623</f>
        <v/>
      </c>
      <c r="ED622" s="56">
        <f>$BQ622-$BQ623</f>
        <v/>
      </c>
      <c r="EE622" s="56">
        <f>$BR622-$BR623</f>
        <v/>
      </c>
      <c r="EF622" s="56">
        <f>$BS622-$BS623</f>
        <v/>
      </c>
      <c r="EG622" s="56">
        <f>$BT622-$BT623</f>
        <v/>
      </c>
      <c r="EH622" s="56">
        <f>$BU622-$BU623</f>
        <v/>
      </c>
    </row>
    <row r="623">
      <c r="BV623" s="56">
        <f>($D623-$D624)*100</f>
        <v/>
      </c>
      <c r="BW623" s="56">
        <f>($C623-$C624)*100</f>
        <v/>
      </c>
      <c r="BX623" s="57">
        <f>IFERROR($I623/$I624-1,"")</f>
        <v/>
      </c>
      <c r="BY623" s="56">
        <f>($AF623-$AF624)*100</f>
        <v/>
      </c>
      <c r="BZ623" s="56">
        <f>($AG623-$AG624)*100</f>
        <v/>
      </c>
      <c r="CA623" s="56">
        <f>($AH623-$AH624)*100</f>
        <v/>
      </c>
      <c r="CB623" s="56">
        <f>($AI623-$AI624)*100</f>
        <v/>
      </c>
      <c r="CC623" s="56">
        <f>($AJ623-$AJ624)*100</f>
        <v/>
      </c>
      <c r="CD623" s="56">
        <f>($AK623-$AK624)*100</f>
        <v/>
      </c>
      <c r="CE623" s="56">
        <f>($AL623-$AL624)*100</f>
        <v/>
      </c>
      <c r="CF623" s="56">
        <f>($AM623-$AM624)*100</f>
        <v/>
      </c>
      <c r="CG623" s="56">
        <f>($AN623-$AN624)*100</f>
        <v/>
      </c>
      <c r="CH623" s="56">
        <f>($AO623-$AO624)*100</f>
        <v/>
      </c>
      <c r="CI623" s="56">
        <f>($AP623-$AP624)*100</f>
        <v/>
      </c>
      <c r="CJ623" s="56">
        <f>($AQ623-$AQ624)*100</f>
        <v/>
      </c>
      <c r="CK623" s="56">
        <f>($AR623-$AR624)*100</f>
        <v/>
      </c>
      <c r="CL623" s="56">
        <f>($AS623-$AS624)*100</f>
        <v/>
      </c>
      <c r="CM623" s="56">
        <f>($AT623-$AT624)*100</f>
        <v/>
      </c>
      <c r="CN623" s="56">
        <f>($AU623-$AU624)*100</f>
        <v/>
      </c>
      <c r="CO623" s="56">
        <f>($AV623-$AV624)*100</f>
        <v/>
      </c>
      <c r="CP623" s="56">
        <f>($AW623-$AW624)*100</f>
        <v/>
      </c>
      <c r="CQ623" s="56">
        <f>($AX623-$AX624)*100</f>
        <v/>
      </c>
      <c r="CR623" s="56">
        <f>($AY623-$AY624)*100</f>
        <v/>
      </c>
      <c r="CS623" s="57">
        <f>IFERROR($L624/$L623-1,"")</f>
        <v/>
      </c>
      <c r="CT623" s="57">
        <f>IFERROR($M624/$M623-1,"")</f>
        <v/>
      </c>
      <c r="CU623" s="57">
        <f>IFERROR($N624/$N623-1,"")</f>
        <v/>
      </c>
      <c r="CV623" s="57">
        <f>IFERROR($O624/$O623-1,"")</f>
        <v/>
      </c>
      <c r="CW623" s="57">
        <f>IFERROR($P624/$P623-1,"")</f>
        <v/>
      </c>
      <c r="CX623" s="57">
        <f>IFERROR($Q624/$Q623-1,"")</f>
        <v/>
      </c>
      <c r="CY623" s="57">
        <f>IFERROR($R624/$R623-1,"")</f>
        <v/>
      </c>
      <c r="CZ623" s="57">
        <f>IFERROR($S624/$S623-1,"")</f>
        <v/>
      </c>
      <c r="DA623" s="57">
        <f>IFERROR($T624/$T623-1,"")</f>
        <v/>
      </c>
      <c r="DB623" s="57">
        <f>IFERROR($U624/$U623-1,"")</f>
        <v/>
      </c>
      <c r="DC623" s="57">
        <f>IFERROR($V624/$V623-1,"")</f>
        <v/>
      </c>
      <c r="DD623" s="57">
        <f>IFERROR($W624/$W623-1,"")</f>
        <v/>
      </c>
      <c r="DE623" s="57">
        <f>IFERROR($X624/$X623-1,"")</f>
        <v/>
      </c>
      <c r="DF623" s="57">
        <f>IFERROR($Y624/$Y623-1,"")</f>
        <v/>
      </c>
      <c r="DG623" s="57">
        <f>IFERROR($Z624/$Z623-1,"")</f>
        <v/>
      </c>
      <c r="DH623" s="57">
        <f>IFERROR($AA624/$AA623-1,"")</f>
        <v/>
      </c>
      <c r="DI623" s="57">
        <f>IFERROR($AB624/$AB623-1,"")</f>
        <v/>
      </c>
      <c r="DJ623" s="57">
        <f>IFERROR($AC624/$AC623-1,"")</f>
        <v/>
      </c>
      <c r="DK623" s="57">
        <f>IFERROR($AD624/$AD623-1,"")</f>
        <v/>
      </c>
      <c r="DL623" s="57">
        <f>IFERROR($AE624/$AE623-1,"")</f>
        <v/>
      </c>
      <c r="DM623" s="56">
        <f>$AZ623-$AZ624</f>
        <v/>
      </c>
      <c r="DN623" s="56">
        <f>$BA623-$BA624</f>
        <v/>
      </c>
      <c r="DO623" s="56">
        <f>$BB623-$BB624</f>
        <v/>
      </c>
      <c r="DP623" s="56">
        <f>$BC623-$BC624</f>
        <v/>
      </c>
      <c r="DQ623" s="56">
        <f>$BD623-$BD624</f>
        <v/>
      </c>
      <c r="DR623" s="56">
        <f>$BE623-$BE624</f>
        <v/>
      </c>
      <c r="DS623" s="56">
        <f>$BF623-$BF624</f>
        <v/>
      </c>
      <c r="DT623" s="56">
        <f>$BG623-$BG624</f>
        <v/>
      </c>
      <c r="DU623" s="56">
        <f>$BH623-$BH624</f>
        <v/>
      </c>
      <c r="DV623" s="56">
        <f>$BI623-$BI624</f>
        <v/>
      </c>
      <c r="DW623" s="56">
        <f>$BJ623-$BJ624</f>
        <v/>
      </c>
      <c r="DX623" s="56">
        <f>$BK623-$BK624</f>
        <v/>
      </c>
      <c r="DY623" s="56">
        <f>$BL623-$BL624</f>
        <v/>
      </c>
      <c r="DZ623" s="56">
        <f>$BM623-$BM624</f>
        <v/>
      </c>
      <c r="EA623" s="56">
        <f>$BN623-$BN624</f>
        <v/>
      </c>
      <c r="EB623" s="56">
        <f>$BO623-$BO624</f>
        <v/>
      </c>
      <c r="EC623" s="56">
        <f>$BP623-$BP624</f>
        <v/>
      </c>
      <c r="ED623" s="56">
        <f>$BQ623-$BQ624</f>
        <v/>
      </c>
      <c r="EE623" s="56">
        <f>$BR623-$BR624</f>
        <v/>
      </c>
      <c r="EF623" s="56">
        <f>$BS623-$BS624</f>
        <v/>
      </c>
      <c r="EG623" s="56">
        <f>$BT623-$BT624</f>
        <v/>
      </c>
      <c r="EH623" s="56">
        <f>$BU623-$BU624</f>
        <v/>
      </c>
    </row>
    <row r="624">
      <c r="BV624" s="56">
        <f>($D624-$D625)*100</f>
        <v/>
      </c>
      <c r="BW624" s="56">
        <f>($C624-$C625)*100</f>
        <v/>
      </c>
      <c r="BX624" s="57">
        <f>IFERROR($I624/$I625-1,"")</f>
        <v/>
      </c>
      <c r="BY624" s="56">
        <f>($AF624-$AF625)*100</f>
        <v/>
      </c>
      <c r="BZ624" s="56">
        <f>($AG624-$AG625)*100</f>
        <v/>
      </c>
      <c r="CA624" s="56">
        <f>($AH624-$AH625)*100</f>
        <v/>
      </c>
      <c r="CB624" s="56">
        <f>($AI624-$AI625)*100</f>
        <v/>
      </c>
      <c r="CC624" s="56">
        <f>($AJ624-$AJ625)*100</f>
        <v/>
      </c>
      <c r="CD624" s="56">
        <f>($AK624-$AK625)*100</f>
        <v/>
      </c>
      <c r="CE624" s="56">
        <f>($AL624-$AL625)*100</f>
        <v/>
      </c>
      <c r="CF624" s="56">
        <f>($AM624-$AM625)*100</f>
        <v/>
      </c>
      <c r="CG624" s="56">
        <f>($AN624-$AN625)*100</f>
        <v/>
      </c>
      <c r="CH624" s="56">
        <f>($AO624-$AO625)*100</f>
        <v/>
      </c>
      <c r="CI624" s="56">
        <f>($AP624-$AP625)*100</f>
        <v/>
      </c>
      <c r="CJ624" s="56">
        <f>($AQ624-$AQ625)*100</f>
        <v/>
      </c>
      <c r="CK624" s="56">
        <f>($AR624-$AR625)*100</f>
        <v/>
      </c>
      <c r="CL624" s="56">
        <f>($AS624-$AS625)*100</f>
        <v/>
      </c>
      <c r="CM624" s="56">
        <f>($AT624-$AT625)*100</f>
        <v/>
      </c>
      <c r="CN624" s="56">
        <f>($AU624-$AU625)*100</f>
        <v/>
      </c>
      <c r="CO624" s="56">
        <f>($AV624-$AV625)*100</f>
        <v/>
      </c>
      <c r="CP624" s="56">
        <f>($AW624-$AW625)*100</f>
        <v/>
      </c>
      <c r="CQ624" s="56">
        <f>($AX624-$AX625)*100</f>
        <v/>
      </c>
      <c r="CR624" s="56">
        <f>($AY624-$AY625)*100</f>
        <v/>
      </c>
      <c r="CS624" s="57">
        <f>IFERROR($L625/$L624-1,"")</f>
        <v/>
      </c>
      <c r="CT624" s="57">
        <f>IFERROR($M625/$M624-1,"")</f>
        <v/>
      </c>
      <c r="CU624" s="57">
        <f>IFERROR($N625/$N624-1,"")</f>
        <v/>
      </c>
      <c r="CV624" s="57">
        <f>IFERROR($O625/$O624-1,"")</f>
        <v/>
      </c>
      <c r="CW624" s="57">
        <f>IFERROR($P625/$P624-1,"")</f>
        <v/>
      </c>
      <c r="CX624" s="57">
        <f>IFERROR($Q625/$Q624-1,"")</f>
        <v/>
      </c>
      <c r="CY624" s="57">
        <f>IFERROR($R625/$R624-1,"")</f>
        <v/>
      </c>
      <c r="CZ624" s="57">
        <f>IFERROR($S625/$S624-1,"")</f>
        <v/>
      </c>
      <c r="DA624" s="57">
        <f>IFERROR($T625/$T624-1,"")</f>
        <v/>
      </c>
      <c r="DB624" s="57">
        <f>IFERROR($U625/$U624-1,"")</f>
        <v/>
      </c>
      <c r="DC624" s="57">
        <f>IFERROR($V625/$V624-1,"")</f>
        <v/>
      </c>
      <c r="DD624" s="57">
        <f>IFERROR($W625/$W624-1,"")</f>
        <v/>
      </c>
      <c r="DE624" s="57">
        <f>IFERROR($X625/$X624-1,"")</f>
        <v/>
      </c>
      <c r="DF624" s="57">
        <f>IFERROR($Y625/$Y624-1,"")</f>
        <v/>
      </c>
      <c r="DG624" s="57">
        <f>IFERROR($Z625/$Z624-1,"")</f>
        <v/>
      </c>
      <c r="DH624" s="57">
        <f>IFERROR($AA625/$AA624-1,"")</f>
        <v/>
      </c>
      <c r="DI624" s="57">
        <f>IFERROR($AB625/$AB624-1,"")</f>
        <v/>
      </c>
      <c r="DJ624" s="57">
        <f>IFERROR($AC625/$AC624-1,"")</f>
        <v/>
      </c>
      <c r="DK624" s="57">
        <f>IFERROR($AD625/$AD624-1,"")</f>
        <v/>
      </c>
      <c r="DL624" s="57">
        <f>IFERROR($AE625/$AE624-1,"")</f>
        <v/>
      </c>
      <c r="DM624" s="56">
        <f>$AZ624-$AZ625</f>
        <v/>
      </c>
      <c r="DN624" s="56">
        <f>$BA624-$BA625</f>
        <v/>
      </c>
      <c r="DO624" s="56">
        <f>$BB624-$BB625</f>
        <v/>
      </c>
      <c r="DP624" s="56">
        <f>$BC624-$BC625</f>
        <v/>
      </c>
      <c r="DQ624" s="56">
        <f>$BD624-$BD625</f>
        <v/>
      </c>
      <c r="DR624" s="56">
        <f>$BE624-$BE625</f>
        <v/>
      </c>
      <c r="DS624" s="56">
        <f>$BF624-$BF625</f>
        <v/>
      </c>
      <c r="DT624" s="56">
        <f>$BG624-$BG625</f>
        <v/>
      </c>
      <c r="DU624" s="56">
        <f>$BH624-$BH625</f>
        <v/>
      </c>
      <c r="DV624" s="56">
        <f>$BI624-$BI625</f>
        <v/>
      </c>
      <c r="DW624" s="56">
        <f>$BJ624-$BJ625</f>
        <v/>
      </c>
      <c r="DX624" s="56">
        <f>$BK624-$BK625</f>
        <v/>
      </c>
      <c r="DY624" s="56">
        <f>$BL624-$BL625</f>
        <v/>
      </c>
      <c r="DZ624" s="56">
        <f>$BM624-$BM625</f>
        <v/>
      </c>
      <c r="EA624" s="56">
        <f>$BN624-$BN625</f>
        <v/>
      </c>
      <c r="EB624" s="56">
        <f>$BO624-$BO625</f>
        <v/>
      </c>
      <c r="EC624" s="56">
        <f>$BP624-$BP625</f>
        <v/>
      </c>
      <c r="ED624" s="56">
        <f>$BQ624-$BQ625</f>
        <v/>
      </c>
      <c r="EE624" s="56">
        <f>$BR624-$BR625</f>
        <v/>
      </c>
      <c r="EF624" s="56">
        <f>$BS624-$BS625</f>
        <v/>
      </c>
      <c r="EG624" s="56">
        <f>$BT624-$BT625</f>
        <v/>
      </c>
      <c r="EH624" s="56">
        <f>$BU624-$BU625</f>
        <v/>
      </c>
    </row>
    <row r="625">
      <c r="BV625" s="56">
        <f>($D625-$D626)*100</f>
        <v/>
      </c>
      <c r="BW625" s="56">
        <f>($C625-$C626)*100</f>
        <v/>
      </c>
      <c r="BX625" s="57">
        <f>IFERROR($I625/$I626-1,"")</f>
        <v/>
      </c>
      <c r="BY625" s="56">
        <f>($AF625-$AF626)*100</f>
        <v/>
      </c>
      <c r="BZ625" s="56">
        <f>($AG625-$AG626)*100</f>
        <v/>
      </c>
      <c r="CA625" s="56">
        <f>($AH625-$AH626)*100</f>
        <v/>
      </c>
      <c r="CB625" s="56">
        <f>($AI625-$AI626)*100</f>
        <v/>
      </c>
      <c r="CC625" s="56">
        <f>($AJ625-$AJ626)*100</f>
        <v/>
      </c>
      <c r="CD625" s="56">
        <f>($AK625-$AK626)*100</f>
        <v/>
      </c>
      <c r="CE625" s="56">
        <f>($AL625-$AL626)*100</f>
        <v/>
      </c>
      <c r="CF625" s="56">
        <f>($AM625-$AM626)*100</f>
        <v/>
      </c>
      <c r="CG625" s="56">
        <f>($AN625-$AN626)*100</f>
        <v/>
      </c>
      <c r="CH625" s="56">
        <f>($AO625-$AO626)*100</f>
        <v/>
      </c>
      <c r="CI625" s="56">
        <f>($AP625-$AP626)*100</f>
        <v/>
      </c>
      <c r="CJ625" s="56">
        <f>($AQ625-$AQ626)*100</f>
        <v/>
      </c>
      <c r="CK625" s="56">
        <f>($AR625-$AR626)*100</f>
        <v/>
      </c>
      <c r="CL625" s="56">
        <f>($AS625-$AS626)*100</f>
        <v/>
      </c>
      <c r="CM625" s="56">
        <f>($AT625-$AT626)*100</f>
        <v/>
      </c>
      <c r="CN625" s="56">
        <f>($AU625-$AU626)*100</f>
        <v/>
      </c>
      <c r="CO625" s="56">
        <f>($AV625-$AV626)*100</f>
        <v/>
      </c>
      <c r="CP625" s="56">
        <f>($AW625-$AW626)*100</f>
        <v/>
      </c>
      <c r="CQ625" s="56">
        <f>($AX625-$AX626)*100</f>
        <v/>
      </c>
      <c r="CR625" s="56">
        <f>($AY625-$AY626)*100</f>
        <v/>
      </c>
      <c r="CS625" s="57">
        <f>IFERROR($L626/$L625-1,"")</f>
        <v/>
      </c>
      <c r="CT625" s="57">
        <f>IFERROR($M626/$M625-1,"")</f>
        <v/>
      </c>
      <c r="CU625" s="57">
        <f>IFERROR($N626/$N625-1,"")</f>
        <v/>
      </c>
      <c r="CV625" s="57">
        <f>IFERROR($O626/$O625-1,"")</f>
        <v/>
      </c>
      <c r="CW625" s="57">
        <f>IFERROR($P626/$P625-1,"")</f>
        <v/>
      </c>
      <c r="CX625" s="57">
        <f>IFERROR($Q626/$Q625-1,"")</f>
        <v/>
      </c>
      <c r="CY625" s="57">
        <f>IFERROR($R626/$R625-1,"")</f>
        <v/>
      </c>
      <c r="CZ625" s="57">
        <f>IFERROR($S626/$S625-1,"")</f>
        <v/>
      </c>
      <c r="DA625" s="57">
        <f>IFERROR($T626/$T625-1,"")</f>
        <v/>
      </c>
      <c r="DB625" s="57">
        <f>IFERROR($U626/$U625-1,"")</f>
        <v/>
      </c>
      <c r="DC625" s="57">
        <f>IFERROR($V626/$V625-1,"")</f>
        <v/>
      </c>
      <c r="DD625" s="57">
        <f>IFERROR($W626/$W625-1,"")</f>
        <v/>
      </c>
      <c r="DE625" s="57">
        <f>IFERROR($X626/$X625-1,"")</f>
        <v/>
      </c>
      <c r="DF625" s="57">
        <f>IFERROR($Y626/$Y625-1,"")</f>
        <v/>
      </c>
      <c r="DG625" s="57">
        <f>IFERROR($Z626/$Z625-1,"")</f>
        <v/>
      </c>
      <c r="DH625" s="57">
        <f>IFERROR($AA626/$AA625-1,"")</f>
        <v/>
      </c>
      <c r="DI625" s="57">
        <f>IFERROR($AB626/$AB625-1,"")</f>
        <v/>
      </c>
      <c r="DJ625" s="57">
        <f>IFERROR($AC626/$AC625-1,"")</f>
        <v/>
      </c>
      <c r="DK625" s="57">
        <f>IFERROR($AD626/$AD625-1,"")</f>
        <v/>
      </c>
      <c r="DL625" s="57">
        <f>IFERROR($AE626/$AE625-1,"")</f>
        <v/>
      </c>
      <c r="DM625" s="56">
        <f>$AZ625-$AZ626</f>
        <v/>
      </c>
      <c r="DN625" s="56">
        <f>$BA625-$BA626</f>
        <v/>
      </c>
      <c r="DO625" s="56">
        <f>$BB625-$BB626</f>
        <v/>
      </c>
      <c r="DP625" s="56">
        <f>$BC625-$BC626</f>
        <v/>
      </c>
      <c r="DQ625" s="56">
        <f>$BD625-$BD626</f>
        <v/>
      </c>
      <c r="DR625" s="56">
        <f>$BE625-$BE626</f>
        <v/>
      </c>
      <c r="DS625" s="56">
        <f>$BF625-$BF626</f>
        <v/>
      </c>
      <c r="DT625" s="56">
        <f>$BG625-$BG626</f>
        <v/>
      </c>
      <c r="DU625" s="56">
        <f>$BH625-$BH626</f>
        <v/>
      </c>
      <c r="DV625" s="56">
        <f>$BI625-$BI626</f>
        <v/>
      </c>
      <c r="DW625" s="56">
        <f>$BJ625-$BJ626</f>
        <v/>
      </c>
      <c r="DX625" s="56">
        <f>$BK625-$BK626</f>
        <v/>
      </c>
      <c r="DY625" s="56">
        <f>$BL625-$BL626</f>
        <v/>
      </c>
      <c r="DZ625" s="56">
        <f>$BM625-$BM626</f>
        <v/>
      </c>
      <c r="EA625" s="56">
        <f>$BN625-$BN626</f>
        <v/>
      </c>
      <c r="EB625" s="56">
        <f>$BO625-$BO626</f>
        <v/>
      </c>
      <c r="EC625" s="56">
        <f>$BP625-$BP626</f>
        <v/>
      </c>
      <c r="ED625" s="56">
        <f>$BQ625-$BQ626</f>
        <v/>
      </c>
      <c r="EE625" s="56">
        <f>$BR625-$BR626</f>
        <v/>
      </c>
      <c r="EF625" s="56">
        <f>$BS625-$BS626</f>
        <v/>
      </c>
      <c r="EG625" s="56">
        <f>$BT625-$BT626</f>
        <v/>
      </c>
      <c r="EH625" s="56">
        <f>$BU625-$BU626</f>
        <v/>
      </c>
    </row>
    <row r="626">
      <c r="BV626" s="56">
        <f>($D626-$D627)*100</f>
        <v/>
      </c>
      <c r="BW626" s="56">
        <f>($C626-$C627)*100</f>
        <v/>
      </c>
      <c r="BX626" s="57">
        <f>IFERROR($I626/$I627-1,"")</f>
        <v/>
      </c>
      <c r="BY626" s="56">
        <f>($AF626-$AF627)*100</f>
        <v/>
      </c>
      <c r="BZ626" s="56">
        <f>($AG626-$AG627)*100</f>
        <v/>
      </c>
      <c r="CA626" s="56">
        <f>($AH626-$AH627)*100</f>
        <v/>
      </c>
      <c r="CB626" s="56">
        <f>($AI626-$AI627)*100</f>
        <v/>
      </c>
      <c r="CC626" s="56">
        <f>($AJ626-$AJ627)*100</f>
        <v/>
      </c>
      <c r="CD626" s="56">
        <f>($AK626-$AK627)*100</f>
        <v/>
      </c>
      <c r="CE626" s="56">
        <f>($AL626-$AL627)*100</f>
        <v/>
      </c>
      <c r="CF626" s="56">
        <f>($AM626-$AM627)*100</f>
        <v/>
      </c>
      <c r="CG626" s="56">
        <f>($AN626-$AN627)*100</f>
        <v/>
      </c>
      <c r="CH626" s="56">
        <f>($AO626-$AO627)*100</f>
        <v/>
      </c>
      <c r="CI626" s="56">
        <f>($AP626-$AP627)*100</f>
        <v/>
      </c>
      <c r="CJ626" s="56">
        <f>($AQ626-$AQ627)*100</f>
        <v/>
      </c>
      <c r="CK626" s="56">
        <f>($AR626-$AR627)*100</f>
        <v/>
      </c>
      <c r="CL626" s="56">
        <f>($AS626-$AS627)*100</f>
        <v/>
      </c>
      <c r="CM626" s="56">
        <f>($AT626-$AT627)*100</f>
        <v/>
      </c>
      <c r="CN626" s="56">
        <f>($AU626-$AU627)*100</f>
        <v/>
      </c>
      <c r="CO626" s="56">
        <f>($AV626-$AV627)*100</f>
        <v/>
      </c>
      <c r="CP626" s="56">
        <f>($AW626-$AW627)*100</f>
        <v/>
      </c>
      <c r="CQ626" s="56">
        <f>($AX626-$AX627)*100</f>
        <v/>
      </c>
      <c r="CR626" s="56">
        <f>($AY626-$AY627)*100</f>
        <v/>
      </c>
      <c r="CS626" s="57">
        <f>IFERROR($L627/$L626-1,"")</f>
        <v/>
      </c>
      <c r="CT626" s="57">
        <f>IFERROR($M627/$M626-1,"")</f>
        <v/>
      </c>
      <c r="CU626" s="57">
        <f>IFERROR($N627/$N626-1,"")</f>
        <v/>
      </c>
      <c r="CV626" s="57">
        <f>IFERROR($O627/$O626-1,"")</f>
        <v/>
      </c>
      <c r="CW626" s="57">
        <f>IFERROR($P627/$P626-1,"")</f>
        <v/>
      </c>
      <c r="CX626" s="57">
        <f>IFERROR($Q627/$Q626-1,"")</f>
        <v/>
      </c>
      <c r="CY626" s="57">
        <f>IFERROR($R627/$R626-1,"")</f>
        <v/>
      </c>
      <c r="CZ626" s="57">
        <f>IFERROR($S627/$S626-1,"")</f>
        <v/>
      </c>
      <c r="DA626" s="57">
        <f>IFERROR($T627/$T626-1,"")</f>
        <v/>
      </c>
      <c r="DB626" s="57">
        <f>IFERROR($U627/$U626-1,"")</f>
        <v/>
      </c>
      <c r="DC626" s="57">
        <f>IFERROR($V627/$V626-1,"")</f>
        <v/>
      </c>
      <c r="DD626" s="57">
        <f>IFERROR($W627/$W626-1,"")</f>
        <v/>
      </c>
      <c r="DE626" s="57">
        <f>IFERROR($X627/$X626-1,"")</f>
        <v/>
      </c>
      <c r="DF626" s="57">
        <f>IFERROR($Y627/$Y626-1,"")</f>
        <v/>
      </c>
      <c r="DG626" s="57">
        <f>IFERROR($Z627/$Z626-1,"")</f>
        <v/>
      </c>
      <c r="DH626" s="57">
        <f>IFERROR($AA627/$AA626-1,"")</f>
        <v/>
      </c>
      <c r="DI626" s="57">
        <f>IFERROR($AB627/$AB626-1,"")</f>
        <v/>
      </c>
      <c r="DJ626" s="57">
        <f>IFERROR($AC627/$AC626-1,"")</f>
        <v/>
      </c>
      <c r="DK626" s="57">
        <f>IFERROR($AD627/$AD626-1,"")</f>
        <v/>
      </c>
      <c r="DL626" s="57">
        <f>IFERROR($AE627/$AE626-1,"")</f>
        <v/>
      </c>
      <c r="DM626" s="56">
        <f>$AZ626-$AZ627</f>
        <v/>
      </c>
      <c r="DN626" s="56">
        <f>$BA626-$BA627</f>
        <v/>
      </c>
      <c r="DO626" s="56">
        <f>$BB626-$BB627</f>
        <v/>
      </c>
      <c r="DP626" s="56">
        <f>$BC626-$BC627</f>
        <v/>
      </c>
      <c r="DQ626" s="56">
        <f>$BD626-$BD627</f>
        <v/>
      </c>
      <c r="DR626" s="56">
        <f>$BE626-$BE627</f>
        <v/>
      </c>
      <c r="DS626" s="56">
        <f>$BF626-$BF627</f>
        <v/>
      </c>
      <c r="DT626" s="56">
        <f>$BG626-$BG627</f>
        <v/>
      </c>
      <c r="DU626" s="56">
        <f>$BH626-$BH627</f>
        <v/>
      </c>
      <c r="DV626" s="56">
        <f>$BI626-$BI627</f>
        <v/>
      </c>
      <c r="DW626" s="56">
        <f>$BJ626-$BJ627</f>
        <v/>
      </c>
      <c r="DX626" s="56">
        <f>$BK626-$BK627</f>
        <v/>
      </c>
      <c r="DY626" s="56">
        <f>$BL626-$BL627</f>
        <v/>
      </c>
      <c r="DZ626" s="56">
        <f>$BM626-$BM627</f>
        <v/>
      </c>
      <c r="EA626" s="56">
        <f>$BN626-$BN627</f>
        <v/>
      </c>
      <c r="EB626" s="56">
        <f>$BO626-$BO627</f>
        <v/>
      </c>
      <c r="EC626" s="56">
        <f>$BP626-$BP627</f>
        <v/>
      </c>
      <c r="ED626" s="56">
        <f>$BQ626-$BQ627</f>
        <v/>
      </c>
      <c r="EE626" s="56">
        <f>$BR626-$BR627</f>
        <v/>
      </c>
      <c r="EF626" s="56">
        <f>$BS626-$BS627</f>
        <v/>
      </c>
      <c r="EG626" s="56">
        <f>$BT626-$BT627</f>
        <v/>
      </c>
      <c r="EH626" s="56">
        <f>$BU626-$BU627</f>
        <v/>
      </c>
    </row>
    <row r="627">
      <c r="BV627" s="56">
        <f>($D627-$D628)*100</f>
        <v/>
      </c>
      <c r="BW627" s="56">
        <f>($C627-$C628)*100</f>
        <v/>
      </c>
      <c r="BX627" s="57">
        <f>IFERROR($I627/$I628-1,"")</f>
        <v/>
      </c>
      <c r="BY627" s="56">
        <f>($AF627-$AF628)*100</f>
        <v/>
      </c>
      <c r="BZ627" s="56">
        <f>($AG627-$AG628)*100</f>
        <v/>
      </c>
      <c r="CA627" s="56">
        <f>($AH627-$AH628)*100</f>
        <v/>
      </c>
      <c r="CB627" s="56">
        <f>($AI627-$AI628)*100</f>
        <v/>
      </c>
      <c r="CC627" s="56">
        <f>($AJ627-$AJ628)*100</f>
        <v/>
      </c>
      <c r="CD627" s="56">
        <f>($AK627-$AK628)*100</f>
        <v/>
      </c>
      <c r="CE627" s="56">
        <f>($AL627-$AL628)*100</f>
        <v/>
      </c>
      <c r="CF627" s="56">
        <f>($AM627-$AM628)*100</f>
        <v/>
      </c>
      <c r="CG627" s="56">
        <f>($AN627-$AN628)*100</f>
        <v/>
      </c>
      <c r="CH627" s="56">
        <f>($AO627-$AO628)*100</f>
        <v/>
      </c>
      <c r="CI627" s="56">
        <f>($AP627-$AP628)*100</f>
        <v/>
      </c>
      <c r="CJ627" s="56">
        <f>($AQ627-$AQ628)*100</f>
        <v/>
      </c>
      <c r="CK627" s="56">
        <f>($AR627-$AR628)*100</f>
        <v/>
      </c>
      <c r="CL627" s="56">
        <f>($AS627-$AS628)*100</f>
        <v/>
      </c>
      <c r="CM627" s="56">
        <f>($AT627-$AT628)*100</f>
        <v/>
      </c>
      <c r="CN627" s="56">
        <f>($AU627-$AU628)*100</f>
        <v/>
      </c>
      <c r="CO627" s="56">
        <f>($AV627-$AV628)*100</f>
        <v/>
      </c>
      <c r="CP627" s="56">
        <f>($AW627-$AW628)*100</f>
        <v/>
      </c>
      <c r="CQ627" s="56">
        <f>($AX627-$AX628)*100</f>
        <v/>
      </c>
      <c r="CR627" s="56">
        <f>($AY627-$AY628)*100</f>
        <v/>
      </c>
      <c r="CS627" s="57">
        <f>IFERROR($L628/$L627-1,"")</f>
        <v/>
      </c>
      <c r="CT627" s="57">
        <f>IFERROR($M628/$M627-1,"")</f>
        <v/>
      </c>
      <c r="CU627" s="57">
        <f>IFERROR($N628/$N627-1,"")</f>
        <v/>
      </c>
      <c r="CV627" s="57">
        <f>IFERROR($O628/$O627-1,"")</f>
        <v/>
      </c>
      <c r="CW627" s="57">
        <f>IFERROR($P628/$P627-1,"")</f>
        <v/>
      </c>
      <c r="CX627" s="57">
        <f>IFERROR($Q628/$Q627-1,"")</f>
        <v/>
      </c>
      <c r="CY627" s="57">
        <f>IFERROR($R628/$R627-1,"")</f>
        <v/>
      </c>
      <c r="CZ627" s="57">
        <f>IFERROR($S628/$S627-1,"")</f>
        <v/>
      </c>
      <c r="DA627" s="57">
        <f>IFERROR($T628/$T627-1,"")</f>
        <v/>
      </c>
      <c r="DB627" s="57">
        <f>IFERROR($U628/$U627-1,"")</f>
        <v/>
      </c>
      <c r="DC627" s="57">
        <f>IFERROR($V628/$V627-1,"")</f>
        <v/>
      </c>
      <c r="DD627" s="57">
        <f>IFERROR($W628/$W627-1,"")</f>
        <v/>
      </c>
      <c r="DE627" s="57">
        <f>IFERROR($X628/$X627-1,"")</f>
        <v/>
      </c>
      <c r="DF627" s="57">
        <f>IFERROR($Y628/$Y627-1,"")</f>
        <v/>
      </c>
      <c r="DG627" s="57">
        <f>IFERROR($Z628/$Z627-1,"")</f>
        <v/>
      </c>
      <c r="DH627" s="57">
        <f>IFERROR($AA628/$AA627-1,"")</f>
        <v/>
      </c>
      <c r="DI627" s="57">
        <f>IFERROR($AB628/$AB627-1,"")</f>
        <v/>
      </c>
      <c r="DJ627" s="57">
        <f>IFERROR($AC628/$AC627-1,"")</f>
        <v/>
      </c>
      <c r="DK627" s="57">
        <f>IFERROR($AD628/$AD627-1,"")</f>
        <v/>
      </c>
      <c r="DL627" s="57">
        <f>IFERROR($AE628/$AE627-1,"")</f>
        <v/>
      </c>
      <c r="DM627" s="56">
        <f>$AZ627-$AZ628</f>
        <v/>
      </c>
      <c r="DN627" s="56">
        <f>$BA627-$BA628</f>
        <v/>
      </c>
      <c r="DO627" s="56">
        <f>$BB627-$BB628</f>
        <v/>
      </c>
      <c r="DP627" s="56">
        <f>$BC627-$BC628</f>
        <v/>
      </c>
      <c r="DQ627" s="56">
        <f>$BD627-$BD628</f>
        <v/>
      </c>
      <c r="DR627" s="56">
        <f>$BE627-$BE628</f>
        <v/>
      </c>
      <c r="DS627" s="56">
        <f>$BF627-$BF628</f>
        <v/>
      </c>
      <c r="DT627" s="56">
        <f>$BG627-$BG628</f>
        <v/>
      </c>
      <c r="DU627" s="56">
        <f>$BH627-$BH628</f>
        <v/>
      </c>
      <c r="DV627" s="56">
        <f>$BI627-$BI628</f>
        <v/>
      </c>
      <c r="DW627" s="56">
        <f>$BJ627-$BJ628</f>
        <v/>
      </c>
      <c r="DX627" s="56">
        <f>$BK627-$BK628</f>
        <v/>
      </c>
      <c r="DY627" s="56">
        <f>$BL627-$BL628</f>
        <v/>
      </c>
      <c r="DZ627" s="56">
        <f>$BM627-$BM628</f>
        <v/>
      </c>
      <c r="EA627" s="56">
        <f>$BN627-$BN628</f>
        <v/>
      </c>
      <c r="EB627" s="56">
        <f>$BO627-$BO628</f>
        <v/>
      </c>
      <c r="EC627" s="56">
        <f>$BP627-$BP628</f>
        <v/>
      </c>
      <c r="ED627" s="56">
        <f>$BQ627-$BQ628</f>
        <v/>
      </c>
      <c r="EE627" s="56">
        <f>$BR627-$BR628</f>
        <v/>
      </c>
      <c r="EF627" s="56">
        <f>$BS627-$BS628</f>
        <v/>
      </c>
      <c r="EG627" s="56">
        <f>$BT627-$BT628</f>
        <v/>
      </c>
      <c r="EH627" s="56">
        <f>$BU627-$BU628</f>
        <v/>
      </c>
    </row>
    <row r="628">
      <c r="BV628" s="56">
        <f>($D628-$D629)*100</f>
        <v/>
      </c>
      <c r="BW628" s="56">
        <f>($C628-$C629)*100</f>
        <v/>
      </c>
      <c r="BX628" s="57">
        <f>IFERROR($I628/$I629-1,"")</f>
        <v/>
      </c>
      <c r="BY628" s="56">
        <f>($AF628-$AF629)*100</f>
        <v/>
      </c>
      <c r="BZ628" s="56">
        <f>($AG628-$AG629)*100</f>
        <v/>
      </c>
      <c r="CA628" s="56">
        <f>($AH628-$AH629)*100</f>
        <v/>
      </c>
      <c r="CB628" s="56">
        <f>($AI628-$AI629)*100</f>
        <v/>
      </c>
      <c r="CC628" s="56">
        <f>($AJ628-$AJ629)*100</f>
        <v/>
      </c>
      <c r="CD628" s="56">
        <f>($AK628-$AK629)*100</f>
        <v/>
      </c>
      <c r="CE628" s="56">
        <f>($AL628-$AL629)*100</f>
        <v/>
      </c>
      <c r="CF628" s="56">
        <f>($AM628-$AM629)*100</f>
        <v/>
      </c>
      <c r="CG628" s="56">
        <f>($AN628-$AN629)*100</f>
        <v/>
      </c>
      <c r="CH628" s="56">
        <f>($AO628-$AO629)*100</f>
        <v/>
      </c>
      <c r="CI628" s="56">
        <f>($AP628-$AP629)*100</f>
        <v/>
      </c>
      <c r="CJ628" s="56">
        <f>($AQ628-$AQ629)*100</f>
        <v/>
      </c>
      <c r="CK628" s="56">
        <f>($AR628-$AR629)*100</f>
        <v/>
      </c>
      <c r="CL628" s="56">
        <f>($AS628-$AS629)*100</f>
        <v/>
      </c>
      <c r="CM628" s="56">
        <f>($AT628-$AT629)*100</f>
        <v/>
      </c>
      <c r="CN628" s="56">
        <f>($AU628-$AU629)*100</f>
        <v/>
      </c>
      <c r="CO628" s="56">
        <f>($AV628-$AV629)*100</f>
        <v/>
      </c>
      <c r="CP628" s="56">
        <f>($AW628-$AW629)*100</f>
        <v/>
      </c>
      <c r="CQ628" s="56">
        <f>($AX628-$AX629)*100</f>
        <v/>
      </c>
      <c r="CR628" s="56">
        <f>($AY628-$AY629)*100</f>
        <v/>
      </c>
      <c r="CS628" s="57">
        <f>IFERROR($L629/$L628-1,"")</f>
        <v/>
      </c>
      <c r="CT628" s="57">
        <f>IFERROR($M629/$M628-1,"")</f>
        <v/>
      </c>
      <c r="CU628" s="57">
        <f>IFERROR($N629/$N628-1,"")</f>
        <v/>
      </c>
      <c r="CV628" s="57">
        <f>IFERROR($O629/$O628-1,"")</f>
        <v/>
      </c>
      <c r="CW628" s="57">
        <f>IFERROR($P629/$P628-1,"")</f>
        <v/>
      </c>
      <c r="CX628" s="57">
        <f>IFERROR($Q629/$Q628-1,"")</f>
        <v/>
      </c>
      <c r="CY628" s="57">
        <f>IFERROR($R629/$R628-1,"")</f>
        <v/>
      </c>
      <c r="CZ628" s="57">
        <f>IFERROR($S629/$S628-1,"")</f>
        <v/>
      </c>
      <c r="DA628" s="57">
        <f>IFERROR($T629/$T628-1,"")</f>
        <v/>
      </c>
      <c r="DB628" s="57">
        <f>IFERROR($U629/$U628-1,"")</f>
        <v/>
      </c>
      <c r="DC628" s="57">
        <f>IFERROR($V629/$V628-1,"")</f>
        <v/>
      </c>
      <c r="DD628" s="57">
        <f>IFERROR($W629/$W628-1,"")</f>
        <v/>
      </c>
      <c r="DE628" s="57">
        <f>IFERROR($X629/$X628-1,"")</f>
        <v/>
      </c>
      <c r="DF628" s="57">
        <f>IFERROR($Y629/$Y628-1,"")</f>
        <v/>
      </c>
      <c r="DG628" s="57">
        <f>IFERROR($Z629/$Z628-1,"")</f>
        <v/>
      </c>
      <c r="DH628" s="57">
        <f>IFERROR($AA629/$AA628-1,"")</f>
        <v/>
      </c>
      <c r="DI628" s="57">
        <f>IFERROR($AB629/$AB628-1,"")</f>
        <v/>
      </c>
      <c r="DJ628" s="57">
        <f>IFERROR($AC629/$AC628-1,"")</f>
        <v/>
      </c>
      <c r="DK628" s="57">
        <f>IFERROR($AD629/$AD628-1,"")</f>
        <v/>
      </c>
      <c r="DL628" s="57">
        <f>IFERROR($AE629/$AE628-1,"")</f>
        <v/>
      </c>
      <c r="DM628" s="56">
        <f>$AZ628-$AZ629</f>
        <v/>
      </c>
      <c r="DN628" s="56">
        <f>$BA628-$BA629</f>
        <v/>
      </c>
      <c r="DO628" s="56">
        <f>$BB628-$BB629</f>
        <v/>
      </c>
      <c r="DP628" s="56">
        <f>$BC628-$BC629</f>
        <v/>
      </c>
      <c r="DQ628" s="56">
        <f>$BD628-$BD629</f>
        <v/>
      </c>
      <c r="DR628" s="56">
        <f>$BE628-$BE629</f>
        <v/>
      </c>
      <c r="DS628" s="56">
        <f>$BF628-$BF629</f>
        <v/>
      </c>
      <c r="DT628" s="56">
        <f>$BG628-$BG629</f>
        <v/>
      </c>
      <c r="DU628" s="56">
        <f>$BH628-$BH629</f>
        <v/>
      </c>
      <c r="DV628" s="56">
        <f>$BI628-$BI629</f>
        <v/>
      </c>
      <c r="DW628" s="56">
        <f>$BJ628-$BJ629</f>
        <v/>
      </c>
      <c r="DX628" s="56">
        <f>$BK628-$BK629</f>
        <v/>
      </c>
      <c r="DY628" s="56">
        <f>$BL628-$BL629</f>
        <v/>
      </c>
      <c r="DZ628" s="56">
        <f>$BM628-$BM629</f>
        <v/>
      </c>
      <c r="EA628" s="56">
        <f>$BN628-$BN629</f>
        <v/>
      </c>
      <c r="EB628" s="56">
        <f>$BO628-$BO629</f>
        <v/>
      </c>
      <c r="EC628" s="56">
        <f>$BP628-$BP629</f>
        <v/>
      </c>
      <c r="ED628" s="56">
        <f>$BQ628-$BQ629</f>
        <v/>
      </c>
      <c r="EE628" s="56">
        <f>$BR628-$BR629</f>
        <v/>
      </c>
      <c r="EF628" s="56">
        <f>$BS628-$BS629</f>
        <v/>
      </c>
      <c r="EG628" s="56">
        <f>$BT628-$BT629</f>
        <v/>
      </c>
      <c r="EH628" s="56">
        <f>$BU628-$BU629</f>
        <v/>
      </c>
    </row>
    <row r="629">
      <c r="BV629" s="56">
        <f>($D629-$D630)*100</f>
        <v/>
      </c>
      <c r="BW629" s="56">
        <f>($C629-$C630)*100</f>
        <v/>
      </c>
      <c r="BX629" s="57">
        <f>IFERROR($I629/$I630-1,"")</f>
        <v/>
      </c>
      <c r="BY629" s="56">
        <f>($AF629-$AF630)*100</f>
        <v/>
      </c>
      <c r="BZ629" s="56">
        <f>($AG629-$AG630)*100</f>
        <v/>
      </c>
      <c r="CA629" s="56">
        <f>($AH629-$AH630)*100</f>
        <v/>
      </c>
      <c r="CB629" s="56">
        <f>($AI629-$AI630)*100</f>
        <v/>
      </c>
      <c r="CC629" s="56">
        <f>($AJ629-$AJ630)*100</f>
        <v/>
      </c>
      <c r="CD629" s="56">
        <f>($AK629-$AK630)*100</f>
        <v/>
      </c>
      <c r="CE629" s="56">
        <f>($AL629-$AL630)*100</f>
        <v/>
      </c>
      <c r="CF629" s="56">
        <f>($AM629-$AM630)*100</f>
        <v/>
      </c>
      <c r="CG629" s="56">
        <f>($AN629-$AN630)*100</f>
        <v/>
      </c>
      <c r="CH629" s="56">
        <f>($AO629-$AO630)*100</f>
        <v/>
      </c>
      <c r="CI629" s="56">
        <f>($AP629-$AP630)*100</f>
        <v/>
      </c>
      <c r="CJ629" s="56">
        <f>($AQ629-$AQ630)*100</f>
        <v/>
      </c>
      <c r="CK629" s="56">
        <f>($AR629-$AR630)*100</f>
        <v/>
      </c>
      <c r="CL629" s="56">
        <f>($AS629-$AS630)*100</f>
        <v/>
      </c>
      <c r="CM629" s="56">
        <f>($AT629-$AT630)*100</f>
        <v/>
      </c>
      <c r="CN629" s="56">
        <f>($AU629-$AU630)*100</f>
        <v/>
      </c>
      <c r="CO629" s="56">
        <f>($AV629-$AV630)*100</f>
        <v/>
      </c>
      <c r="CP629" s="56">
        <f>($AW629-$AW630)*100</f>
        <v/>
      </c>
      <c r="CQ629" s="56">
        <f>($AX629-$AX630)*100</f>
        <v/>
      </c>
      <c r="CR629" s="56">
        <f>($AY629-$AY630)*100</f>
        <v/>
      </c>
      <c r="CS629" s="57">
        <f>IFERROR($L630/$L629-1,"")</f>
        <v/>
      </c>
      <c r="CT629" s="57">
        <f>IFERROR($M630/$M629-1,"")</f>
        <v/>
      </c>
      <c r="CU629" s="57">
        <f>IFERROR($N630/$N629-1,"")</f>
        <v/>
      </c>
      <c r="CV629" s="57">
        <f>IFERROR($O630/$O629-1,"")</f>
        <v/>
      </c>
      <c r="CW629" s="57">
        <f>IFERROR($P630/$P629-1,"")</f>
        <v/>
      </c>
      <c r="CX629" s="57">
        <f>IFERROR($Q630/$Q629-1,"")</f>
        <v/>
      </c>
      <c r="CY629" s="57">
        <f>IFERROR($R630/$R629-1,"")</f>
        <v/>
      </c>
      <c r="CZ629" s="57">
        <f>IFERROR($S630/$S629-1,"")</f>
        <v/>
      </c>
      <c r="DA629" s="57">
        <f>IFERROR($T630/$T629-1,"")</f>
        <v/>
      </c>
      <c r="DB629" s="57">
        <f>IFERROR($U630/$U629-1,"")</f>
        <v/>
      </c>
      <c r="DC629" s="57">
        <f>IFERROR($V630/$V629-1,"")</f>
        <v/>
      </c>
      <c r="DD629" s="57">
        <f>IFERROR($W630/$W629-1,"")</f>
        <v/>
      </c>
      <c r="DE629" s="57">
        <f>IFERROR($X630/$X629-1,"")</f>
        <v/>
      </c>
      <c r="DF629" s="57">
        <f>IFERROR($Y630/$Y629-1,"")</f>
        <v/>
      </c>
      <c r="DG629" s="57">
        <f>IFERROR($Z630/$Z629-1,"")</f>
        <v/>
      </c>
      <c r="DH629" s="57">
        <f>IFERROR($AA630/$AA629-1,"")</f>
        <v/>
      </c>
      <c r="DI629" s="57">
        <f>IFERROR($AB630/$AB629-1,"")</f>
        <v/>
      </c>
      <c r="DJ629" s="57">
        <f>IFERROR($AC630/$AC629-1,"")</f>
        <v/>
      </c>
      <c r="DK629" s="57">
        <f>IFERROR($AD630/$AD629-1,"")</f>
        <v/>
      </c>
      <c r="DL629" s="57">
        <f>IFERROR($AE630/$AE629-1,"")</f>
        <v/>
      </c>
      <c r="DM629" s="56">
        <f>$AZ629-$AZ630</f>
        <v/>
      </c>
      <c r="DN629" s="56">
        <f>$BA629-$BA630</f>
        <v/>
      </c>
      <c r="DO629" s="56">
        <f>$BB629-$BB630</f>
        <v/>
      </c>
      <c r="DP629" s="56">
        <f>$BC629-$BC630</f>
        <v/>
      </c>
      <c r="DQ629" s="56">
        <f>$BD629-$BD630</f>
        <v/>
      </c>
      <c r="DR629" s="56">
        <f>$BE629-$BE630</f>
        <v/>
      </c>
      <c r="DS629" s="56">
        <f>$BF629-$BF630</f>
        <v/>
      </c>
      <c r="DT629" s="56">
        <f>$BG629-$BG630</f>
        <v/>
      </c>
      <c r="DU629" s="56">
        <f>$BH629-$BH630</f>
        <v/>
      </c>
      <c r="DV629" s="56">
        <f>$BI629-$BI630</f>
        <v/>
      </c>
      <c r="DW629" s="56">
        <f>$BJ629-$BJ630</f>
        <v/>
      </c>
      <c r="DX629" s="56">
        <f>$BK629-$BK630</f>
        <v/>
      </c>
      <c r="DY629" s="56">
        <f>$BL629-$BL630</f>
        <v/>
      </c>
      <c r="DZ629" s="56">
        <f>$BM629-$BM630</f>
        <v/>
      </c>
      <c r="EA629" s="56">
        <f>$BN629-$BN630</f>
        <v/>
      </c>
      <c r="EB629" s="56">
        <f>$BO629-$BO630</f>
        <v/>
      </c>
      <c r="EC629" s="56">
        <f>$BP629-$BP630</f>
        <v/>
      </c>
      <c r="ED629" s="56">
        <f>$BQ629-$BQ630</f>
        <v/>
      </c>
      <c r="EE629" s="56">
        <f>$BR629-$BR630</f>
        <v/>
      </c>
      <c r="EF629" s="56">
        <f>$BS629-$BS630</f>
        <v/>
      </c>
      <c r="EG629" s="56">
        <f>$BT629-$BT630</f>
        <v/>
      </c>
      <c r="EH629" s="56">
        <f>$BU629-$BU630</f>
        <v/>
      </c>
    </row>
    <row r="630">
      <c r="BV630" s="56">
        <f>($D630-$D631)*100</f>
        <v/>
      </c>
      <c r="BW630" s="56">
        <f>($C630-$C631)*100</f>
        <v/>
      </c>
      <c r="BX630" s="57">
        <f>IFERROR($I630/$I631-1,"")</f>
        <v/>
      </c>
      <c r="BY630" s="56">
        <f>($AF630-$AF631)*100</f>
        <v/>
      </c>
      <c r="BZ630" s="56">
        <f>($AG630-$AG631)*100</f>
        <v/>
      </c>
      <c r="CA630" s="56">
        <f>($AH630-$AH631)*100</f>
        <v/>
      </c>
      <c r="CB630" s="56">
        <f>($AI630-$AI631)*100</f>
        <v/>
      </c>
      <c r="CC630" s="56">
        <f>($AJ630-$AJ631)*100</f>
        <v/>
      </c>
      <c r="CD630" s="56">
        <f>($AK630-$AK631)*100</f>
        <v/>
      </c>
      <c r="CE630" s="56">
        <f>($AL630-$AL631)*100</f>
        <v/>
      </c>
      <c r="CF630" s="56">
        <f>($AM630-$AM631)*100</f>
        <v/>
      </c>
      <c r="CG630" s="56">
        <f>($AN630-$AN631)*100</f>
        <v/>
      </c>
      <c r="CH630" s="56">
        <f>($AO630-$AO631)*100</f>
        <v/>
      </c>
      <c r="CI630" s="56">
        <f>($AP630-$AP631)*100</f>
        <v/>
      </c>
      <c r="CJ630" s="56">
        <f>($AQ630-$AQ631)*100</f>
        <v/>
      </c>
      <c r="CK630" s="56">
        <f>($AR630-$AR631)*100</f>
        <v/>
      </c>
      <c r="CL630" s="56">
        <f>($AS630-$AS631)*100</f>
        <v/>
      </c>
      <c r="CM630" s="56">
        <f>($AT630-$AT631)*100</f>
        <v/>
      </c>
      <c r="CN630" s="56">
        <f>($AU630-$AU631)*100</f>
        <v/>
      </c>
      <c r="CO630" s="56">
        <f>($AV630-$AV631)*100</f>
        <v/>
      </c>
      <c r="CP630" s="56">
        <f>($AW630-$AW631)*100</f>
        <v/>
      </c>
      <c r="CQ630" s="56">
        <f>($AX630-$AX631)*100</f>
        <v/>
      </c>
      <c r="CR630" s="56">
        <f>($AY630-$AY631)*100</f>
        <v/>
      </c>
      <c r="CS630" s="57">
        <f>IFERROR($L631/$L630-1,"")</f>
        <v/>
      </c>
      <c r="CT630" s="57">
        <f>IFERROR($M631/$M630-1,"")</f>
        <v/>
      </c>
      <c r="CU630" s="57">
        <f>IFERROR($N631/$N630-1,"")</f>
        <v/>
      </c>
      <c r="CV630" s="57">
        <f>IFERROR($O631/$O630-1,"")</f>
        <v/>
      </c>
      <c r="CW630" s="57">
        <f>IFERROR($P631/$P630-1,"")</f>
        <v/>
      </c>
      <c r="CX630" s="57">
        <f>IFERROR($Q631/$Q630-1,"")</f>
        <v/>
      </c>
      <c r="CY630" s="57">
        <f>IFERROR($R631/$R630-1,"")</f>
        <v/>
      </c>
      <c r="CZ630" s="57">
        <f>IFERROR($S631/$S630-1,"")</f>
        <v/>
      </c>
      <c r="DA630" s="57">
        <f>IFERROR($T631/$T630-1,"")</f>
        <v/>
      </c>
      <c r="DB630" s="57">
        <f>IFERROR($U631/$U630-1,"")</f>
        <v/>
      </c>
      <c r="DC630" s="57">
        <f>IFERROR($V631/$V630-1,"")</f>
        <v/>
      </c>
      <c r="DD630" s="57">
        <f>IFERROR($W631/$W630-1,"")</f>
        <v/>
      </c>
      <c r="DE630" s="57">
        <f>IFERROR($X631/$X630-1,"")</f>
        <v/>
      </c>
      <c r="DF630" s="57">
        <f>IFERROR($Y631/$Y630-1,"")</f>
        <v/>
      </c>
      <c r="DG630" s="57">
        <f>IFERROR($Z631/$Z630-1,"")</f>
        <v/>
      </c>
      <c r="DH630" s="57">
        <f>IFERROR($AA631/$AA630-1,"")</f>
        <v/>
      </c>
      <c r="DI630" s="57">
        <f>IFERROR($AB631/$AB630-1,"")</f>
        <v/>
      </c>
      <c r="DJ630" s="57">
        <f>IFERROR($AC631/$AC630-1,"")</f>
        <v/>
      </c>
      <c r="DK630" s="57">
        <f>IFERROR($AD631/$AD630-1,"")</f>
        <v/>
      </c>
      <c r="DL630" s="57">
        <f>IFERROR($AE631/$AE630-1,"")</f>
        <v/>
      </c>
      <c r="DM630" s="56">
        <f>$AZ630-$AZ631</f>
        <v/>
      </c>
      <c r="DN630" s="56">
        <f>$BA630-$BA631</f>
        <v/>
      </c>
      <c r="DO630" s="56">
        <f>$BB630-$BB631</f>
        <v/>
      </c>
      <c r="DP630" s="56">
        <f>$BC630-$BC631</f>
        <v/>
      </c>
      <c r="DQ630" s="56">
        <f>$BD630-$BD631</f>
        <v/>
      </c>
      <c r="DR630" s="56">
        <f>$BE630-$BE631</f>
        <v/>
      </c>
      <c r="DS630" s="56">
        <f>$BF630-$BF631</f>
        <v/>
      </c>
      <c r="DT630" s="56">
        <f>$BG630-$BG631</f>
        <v/>
      </c>
      <c r="DU630" s="56">
        <f>$BH630-$BH631</f>
        <v/>
      </c>
      <c r="DV630" s="56">
        <f>$BI630-$BI631</f>
        <v/>
      </c>
      <c r="DW630" s="56">
        <f>$BJ630-$BJ631</f>
        <v/>
      </c>
      <c r="DX630" s="56">
        <f>$BK630-$BK631</f>
        <v/>
      </c>
      <c r="DY630" s="56">
        <f>$BL630-$BL631</f>
        <v/>
      </c>
      <c r="DZ630" s="56">
        <f>$BM630-$BM631</f>
        <v/>
      </c>
      <c r="EA630" s="56">
        <f>$BN630-$BN631</f>
        <v/>
      </c>
      <c r="EB630" s="56">
        <f>$BO630-$BO631</f>
        <v/>
      </c>
      <c r="EC630" s="56">
        <f>$BP630-$BP631</f>
        <v/>
      </c>
      <c r="ED630" s="56">
        <f>$BQ630-$BQ631</f>
        <v/>
      </c>
      <c r="EE630" s="56">
        <f>$BR630-$BR631</f>
        <v/>
      </c>
      <c r="EF630" s="56">
        <f>$BS630-$BS631</f>
        <v/>
      </c>
      <c r="EG630" s="56">
        <f>$BT630-$BT631</f>
        <v/>
      </c>
      <c r="EH630" s="56">
        <f>$BU630-$BU631</f>
        <v/>
      </c>
    </row>
    <row r="631">
      <c r="BV631" s="56">
        <f>($D631-$D632)*100</f>
        <v/>
      </c>
      <c r="BW631" s="56">
        <f>($C631-$C632)*100</f>
        <v/>
      </c>
      <c r="BX631" s="57">
        <f>IFERROR($I631/$I632-1,"")</f>
        <v/>
      </c>
      <c r="BY631" s="56">
        <f>($AF631-$AF632)*100</f>
        <v/>
      </c>
      <c r="BZ631" s="56">
        <f>($AG631-$AG632)*100</f>
        <v/>
      </c>
      <c r="CA631" s="56">
        <f>($AH631-$AH632)*100</f>
        <v/>
      </c>
      <c r="CB631" s="56">
        <f>($AI631-$AI632)*100</f>
        <v/>
      </c>
      <c r="CC631" s="56">
        <f>($AJ631-$AJ632)*100</f>
        <v/>
      </c>
      <c r="CD631" s="56">
        <f>($AK631-$AK632)*100</f>
        <v/>
      </c>
      <c r="CE631" s="56">
        <f>($AL631-$AL632)*100</f>
        <v/>
      </c>
      <c r="CF631" s="56">
        <f>($AM631-$AM632)*100</f>
        <v/>
      </c>
      <c r="CG631" s="56">
        <f>($AN631-$AN632)*100</f>
        <v/>
      </c>
      <c r="CH631" s="56">
        <f>($AO631-$AO632)*100</f>
        <v/>
      </c>
      <c r="CI631" s="56">
        <f>($AP631-$AP632)*100</f>
        <v/>
      </c>
      <c r="CJ631" s="56">
        <f>($AQ631-$AQ632)*100</f>
        <v/>
      </c>
      <c r="CK631" s="56">
        <f>($AR631-$AR632)*100</f>
        <v/>
      </c>
      <c r="CL631" s="56">
        <f>($AS631-$AS632)*100</f>
        <v/>
      </c>
      <c r="CM631" s="56">
        <f>($AT631-$AT632)*100</f>
        <v/>
      </c>
      <c r="CN631" s="56">
        <f>($AU631-$AU632)*100</f>
        <v/>
      </c>
      <c r="CO631" s="56">
        <f>($AV631-$AV632)*100</f>
        <v/>
      </c>
      <c r="CP631" s="56">
        <f>($AW631-$AW632)*100</f>
        <v/>
      </c>
      <c r="CQ631" s="56">
        <f>($AX631-$AX632)*100</f>
        <v/>
      </c>
      <c r="CR631" s="56">
        <f>($AY631-$AY632)*100</f>
        <v/>
      </c>
      <c r="CS631" s="57">
        <f>IFERROR($L632/$L631-1,"")</f>
        <v/>
      </c>
      <c r="CT631" s="57">
        <f>IFERROR($M632/$M631-1,"")</f>
        <v/>
      </c>
      <c r="CU631" s="57">
        <f>IFERROR($N632/$N631-1,"")</f>
        <v/>
      </c>
      <c r="CV631" s="57">
        <f>IFERROR($O632/$O631-1,"")</f>
        <v/>
      </c>
      <c r="CW631" s="57">
        <f>IFERROR($P632/$P631-1,"")</f>
        <v/>
      </c>
      <c r="CX631" s="57">
        <f>IFERROR($Q632/$Q631-1,"")</f>
        <v/>
      </c>
      <c r="CY631" s="57">
        <f>IFERROR($R632/$R631-1,"")</f>
        <v/>
      </c>
      <c r="CZ631" s="57">
        <f>IFERROR($S632/$S631-1,"")</f>
        <v/>
      </c>
      <c r="DA631" s="57">
        <f>IFERROR($T632/$T631-1,"")</f>
        <v/>
      </c>
      <c r="DB631" s="57">
        <f>IFERROR($U632/$U631-1,"")</f>
        <v/>
      </c>
      <c r="DC631" s="57">
        <f>IFERROR($V632/$V631-1,"")</f>
        <v/>
      </c>
      <c r="DD631" s="57">
        <f>IFERROR($W632/$W631-1,"")</f>
        <v/>
      </c>
      <c r="DE631" s="57">
        <f>IFERROR($X632/$X631-1,"")</f>
        <v/>
      </c>
      <c r="DF631" s="57">
        <f>IFERROR($Y632/$Y631-1,"")</f>
        <v/>
      </c>
      <c r="DG631" s="57">
        <f>IFERROR($Z632/$Z631-1,"")</f>
        <v/>
      </c>
      <c r="DH631" s="57">
        <f>IFERROR($AA632/$AA631-1,"")</f>
        <v/>
      </c>
      <c r="DI631" s="57">
        <f>IFERROR($AB632/$AB631-1,"")</f>
        <v/>
      </c>
      <c r="DJ631" s="57">
        <f>IFERROR($AC632/$AC631-1,"")</f>
        <v/>
      </c>
      <c r="DK631" s="57">
        <f>IFERROR($AD632/$AD631-1,"")</f>
        <v/>
      </c>
      <c r="DL631" s="57">
        <f>IFERROR($AE632/$AE631-1,"")</f>
        <v/>
      </c>
      <c r="DM631" s="56">
        <f>$AZ631-$AZ632</f>
        <v/>
      </c>
      <c r="DN631" s="56">
        <f>$BA631-$BA632</f>
        <v/>
      </c>
      <c r="DO631" s="56">
        <f>$BB631-$BB632</f>
        <v/>
      </c>
      <c r="DP631" s="56">
        <f>$BC631-$BC632</f>
        <v/>
      </c>
      <c r="DQ631" s="56">
        <f>$BD631-$BD632</f>
        <v/>
      </c>
      <c r="DR631" s="56">
        <f>$BE631-$BE632</f>
        <v/>
      </c>
      <c r="DS631" s="56">
        <f>$BF631-$BF632</f>
        <v/>
      </c>
      <c r="DT631" s="56">
        <f>$BG631-$BG632</f>
        <v/>
      </c>
      <c r="DU631" s="56">
        <f>$BH631-$BH632</f>
        <v/>
      </c>
      <c r="DV631" s="56">
        <f>$BI631-$BI632</f>
        <v/>
      </c>
      <c r="DW631" s="56">
        <f>$BJ631-$BJ632</f>
        <v/>
      </c>
      <c r="DX631" s="56">
        <f>$BK631-$BK632</f>
        <v/>
      </c>
      <c r="DY631" s="56">
        <f>$BL631-$BL632</f>
        <v/>
      </c>
      <c r="DZ631" s="56">
        <f>$BM631-$BM632</f>
        <v/>
      </c>
      <c r="EA631" s="56">
        <f>$BN631-$BN632</f>
        <v/>
      </c>
      <c r="EB631" s="56">
        <f>$BO631-$BO632</f>
        <v/>
      </c>
      <c r="EC631" s="56">
        <f>$BP631-$BP632</f>
        <v/>
      </c>
      <c r="ED631" s="56">
        <f>$BQ631-$BQ632</f>
        <v/>
      </c>
      <c r="EE631" s="56">
        <f>$BR631-$BR632</f>
        <v/>
      </c>
      <c r="EF631" s="56">
        <f>$BS631-$BS632</f>
        <v/>
      </c>
      <c r="EG631" s="56">
        <f>$BT631-$BT632</f>
        <v/>
      </c>
      <c r="EH631" s="56">
        <f>$BU631-$BU632</f>
        <v/>
      </c>
    </row>
    <row r="632">
      <c r="BV632" s="56">
        <f>($D632-$D633)*100</f>
        <v/>
      </c>
      <c r="BW632" s="56">
        <f>($C632-$C633)*100</f>
        <v/>
      </c>
      <c r="BX632" s="57">
        <f>IFERROR($I632/$I633-1,"")</f>
        <v/>
      </c>
      <c r="BY632" s="56">
        <f>($AF632-$AF633)*100</f>
        <v/>
      </c>
      <c r="BZ632" s="56">
        <f>($AG632-$AG633)*100</f>
        <v/>
      </c>
      <c r="CA632" s="56">
        <f>($AH632-$AH633)*100</f>
        <v/>
      </c>
      <c r="CB632" s="56">
        <f>($AI632-$AI633)*100</f>
        <v/>
      </c>
      <c r="CC632" s="56">
        <f>($AJ632-$AJ633)*100</f>
        <v/>
      </c>
      <c r="CD632" s="56">
        <f>($AK632-$AK633)*100</f>
        <v/>
      </c>
      <c r="CE632" s="56">
        <f>($AL632-$AL633)*100</f>
        <v/>
      </c>
      <c r="CF632" s="56">
        <f>($AM632-$AM633)*100</f>
        <v/>
      </c>
      <c r="CG632" s="56">
        <f>($AN632-$AN633)*100</f>
        <v/>
      </c>
      <c r="CH632" s="56">
        <f>($AO632-$AO633)*100</f>
        <v/>
      </c>
      <c r="CI632" s="56">
        <f>($AP632-$AP633)*100</f>
        <v/>
      </c>
      <c r="CJ632" s="56">
        <f>($AQ632-$AQ633)*100</f>
        <v/>
      </c>
      <c r="CK632" s="56">
        <f>($AR632-$AR633)*100</f>
        <v/>
      </c>
      <c r="CL632" s="56">
        <f>($AS632-$AS633)*100</f>
        <v/>
      </c>
      <c r="CM632" s="56">
        <f>($AT632-$AT633)*100</f>
        <v/>
      </c>
      <c r="CN632" s="56">
        <f>($AU632-$AU633)*100</f>
        <v/>
      </c>
      <c r="CO632" s="56">
        <f>($AV632-$AV633)*100</f>
        <v/>
      </c>
      <c r="CP632" s="56">
        <f>($AW632-$AW633)*100</f>
        <v/>
      </c>
      <c r="CQ632" s="56">
        <f>($AX632-$AX633)*100</f>
        <v/>
      </c>
      <c r="CR632" s="56">
        <f>($AY632-$AY633)*100</f>
        <v/>
      </c>
      <c r="CS632" s="57">
        <f>IFERROR($L633/$L632-1,"")</f>
        <v/>
      </c>
      <c r="CT632" s="57">
        <f>IFERROR($M633/$M632-1,"")</f>
        <v/>
      </c>
      <c r="CU632" s="57">
        <f>IFERROR($N633/$N632-1,"")</f>
        <v/>
      </c>
      <c r="CV632" s="57">
        <f>IFERROR($O633/$O632-1,"")</f>
        <v/>
      </c>
      <c r="CW632" s="57">
        <f>IFERROR($P633/$P632-1,"")</f>
        <v/>
      </c>
      <c r="CX632" s="57">
        <f>IFERROR($Q633/$Q632-1,"")</f>
        <v/>
      </c>
      <c r="CY632" s="57">
        <f>IFERROR($R633/$R632-1,"")</f>
        <v/>
      </c>
      <c r="CZ632" s="57">
        <f>IFERROR($S633/$S632-1,"")</f>
        <v/>
      </c>
      <c r="DA632" s="57">
        <f>IFERROR($T633/$T632-1,"")</f>
        <v/>
      </c>
      <c r="DB632" s="57">
        <f>IFERROR($U633/$U632-1,"")</f>
        <v/>
      </c>
      <c r="DC632" s="57">
        <f>IFERROR($V633/$V632-1,"")</f>
        <v/>
      </c>
      <c r="DD632" s="57">
        <f>IFERROR($W633/$W632-1,"")</f>
        <v/>
      </c>
      <c r="DE632" s="57">
        <f>IFERROR($X633/$X632-1,"")</f>
        <v/>
      </c>
      <c r="DF632" s="57">
        <f>IFERROR($Y633/$Y632-1,"")</f>
        <v/>
      </c>
      <c r="DG632" s="57">
        <f>IFERROR($Z633/$Z632-1,"")</f>
        <v/>
      </c>
      <c r="DH632" s="57">
        <f>IFERROR($AA633/$AA632-1,"")</f>
        <v/>
      </c>
      <c r="DI632" s="57">
        <f>IFERROR($AB633/$AB632-1,"")</f>
        <v/>
      </c>
      <c r="DJ632" s="57">
        <f>IFERROR($AC633/$AC632-1,"")</f>
        <v/>
      </c>
      <c r="DK632" s="57">
        <f>IFERROR($AD633/$AD632-1,"")</f>
        <v/>
      </c>
      <c r="DL632" s="57">
        <f>IFERROR($AE633/$AE632-1,"")</f>
        <v/>
      </c>
      <c r="DM632" s="56">
        <f>$AZ632-$AZ633</f>
        <v/>
      </c>
      <c r="DN632" s="56">
        <f>$BA632-$BA633</f>
        <v/>
      </c>
      <c r="DO632" s="56">
        <f>$BB632-$BB633</f>
        <v/>
      </c>
      <c r="DP632" s="56">
        <f>$BC632-$BC633</f>
        <v/>
      </c>
      <c r="DQ632" s="56">
        <f>$BD632-$BD633</f>
        <v/>
      </c>
      <c r="DR632" s="56">
        <f>$BE632-$BE633</f>
        <v/>
      </c>
      <c r="DS632" s="56">
        <f>$BF632-$BF633</f>
        <v/>
      </c>
      <c r="DT632" s="56">
        <f>$BG632-$BG633</f>
        <v/>
      </c>
      <c r="DU632" s="56">
        <f>$BH632-$BH633</f>
        <v/>
      </c>
      <c r="DV632" s="56">
        <f>$BI632-$BI633</f>
        <v/>
      </c>
      <c r="DW632" s="56">
        <f>$BJ632-$BJ633</f>
        <v/>
      </c>
      <c r="DX632" s="56">
        <f>$BK632-$BK633</f>
        <v/>
      </c>
      <c r="DY632" s="56">
        <f>$BL632-$BL633</f>
        <v/>
      </c>
      <c r="DZ632" s="56">
        <f>$BM632-$BM633</f>
        <v/>
      </c>
      <c r="EA632" s="56">
        <f>$BN632-$BN633</f>
        <v/>
      </c>
      <c r="EB632" s="56">
        <f>$BO632-$BO633</f>
        <v/>
      </c>
      <c r="EC632" s="56">
        <f>$BP632-$BP633</f>
        <v/>
      </c>
      <c r="ED632" s="56">
        <f>$BQ632-$BQ633</f>
        <v/>
      </c>
      <c r="EE632" s="56">
        <f>$BR632-$BR633</f>
        <v/>
      </c>
      <c r="EF632" s="56">
        <f>$BS632-$BS633</f>
        <v/>
      </c>
      <c r="EG632" s="56">
        <f>$BT632-$BT633</f>
        <v/>
      </c>
      <c r="EH632" s="56">
        <f>$BU632-$BU633</f>
        <v/>
      </c>
    </row>
    <row r="633">
      <c r="BV633" s="56">
        <f>($D633-$D634)*100</f>
        <v/>
      </c>
      <c r="BW633" s="56">
        <f>($C633-$C634)*100</f>
        <v/>
      </c>
      <c r="BX633" s="57">
        <f>IFERROR($I633/$I634-1,"")</f>
        <v/>
      </c>
      <c r="BY633" s="56">
        <f>($AF633-$AF634)*100</f>
        <v/>
      </c>
      <c r="BZ633" s="56">
        <f>($AG633-$AG634)*100</f>
        <v/>
      </c>
      <c r="CA633" s="56">
        <f>($AH633-$AH634)*100</f>
        <v/>
      </c>
      <c r="CB633" s="56">
        <f>($AI633-$AI634)*100</f>
        <v/>
      </c>
      <c r="CC633" s="56">
        <f>($AJ633-$AJ634)*100</f>
        <v/>
      </c>
      <c r="CD633" s="56">
        <f>($AK633-$AK634)*100</f>
        <v/>
      </c>
      <c r="CE633" s="56">
        <f>($AL633-$AL634)*100</f>
        <v/>
      </c>
      <c r="CF633" s="56">
        <f>($AM633-$AM634)*100</f>
        <v/>
      </c>
      <c r="CG633" s="56">
        <f>($AN633-$AN634)*100</f>
        <v/>
      </c>
      <c r="CH633" s="56">
        <f>($AO633-$AO634)*100</f>
        <v/>
      </c>
      <c r="CI633" s="56">
        <f>($AP633-$AP634)*100</f>
        <v/>
      </c>
      <c r="CJ633" s="56">
        <f>($AQ633-$AQ634)*100</f>
        <v/>
      </c>
      <c r="CK633" s="56">
        <f>($AR633-$AR634)*100</f>
        <v/>
      </c>
      <c r="CL633" s="56">
        <f>($AS633-$AS634)*100</f>
        <v/>
      </c>
      <c r="CM633" s="56">
        <f>($AT633-$AT634)*100</f>
        <v/>
      </c>
      <c r="CN633" s="56">
        <f>($AU633-$AU634)*100</f>
        <v/>
      </c>
      <c r="CO633" s="56">
        <f>($AV633-$AV634)*100</f>
        <v/>
      </c>
      <c r="CP633" s="56">
        <f>($AW633-$AW634)*100</f>
        <v/>
      </c>
      <c r="CQ633" s="56">
        <f>($AX633-$AX634)*100</f>
        <v/>
      </c>
      <c r="CR633" s="56">
        <f>($AY633-$AY634)*100</f>
        <v/>
      </c>
      <c r="CS633" s="57">
        <f>IFERROR($L634/$L633-1,"")</f>
        <v/>
      </c>
      <c r="CT633" s="57">
        <f>IFERROR($M634/$M633-1,"")</f>
        <v/>
      </c>
      <c r="CU633" s="57">
        <f>IFERROR($N634/$N633-1,"")</f>
        <v/>
      </c>
      <c r="CV633" s="57">
        <f>IFERROR($O634/$O633-1,"")</f>
        <v/>
      </c>
      <c r="CW633" s="57">
        <f>IFERROR($P634/$P633-1,"")</f>
        <v/>
      </c>
      <c r="CX633" s="57">
        <f>IFERROR($Q634/$Q633-1,"")</f>
        <v/>
      </c>
      <c r="CY633" s="57">
        <f>IFERROR($R634/$R633-1,"")</f>
        <v/>
      </c>
      <c r="CZ633" s="57">
        <f>IFERROR($S634/$S633-1,"")</f>
        <v/>
      </c>
      <c r="DA633" s="57">
        <f>IFERROR($T634/$T633-1,"")</f>
        <v/>
      </c>
      <c r="DB633" s="57">
        <f>IFERROR($U634/$U633-1,"")</f>
        <v/>
      </c>
      <c r="DC633" s="57">
        <f>IFERROR($V634/$V633-1,"")</f>
        <v/>
      </c>
      <c r="DD633" s="57">
        <f>IFERROR($W634/$W633-1,"")</f>
        <v/>
      </c>
      <c r="DE633" s="57">
        <f>IFERROR($X634/$X633-1,"")</f>
        <v/>
      </c>
      <c r="DF633" s="57">
        <f>IFERROR($Y634/$Y633-1,"")</f>
        <v/>
      </c>
      <c r="DG633" s="57">
        <f>IFERROR($Z634/$Z633-1,"")</f>
        <v/>
      </c>
      <c r="DH633" s="57">
        <f>IFERROR($AA634/$AA633-1,"")</f>
        <v/>
      </c>
      <c r="DI633" s="57">
        <f>IFERROR($AB634/$AB633-1,"")</f>
        <v/>
      </c>
      <c r="DJ633" s="57">
        <f>IFERROR($AC634/$AC633-1,"")</f>
        <v/>
      </c>
      <c r="DK633" s="57">
        <f>IFERROR($AD634/$AD633-1,"")</f>
        <v/>
      </c>
      <c r="DL633" s="57">
        <f>IFERROR($AE634/$AE633-1,"")</f>
        <v/>
      </c>
      <c r="DM633" s="56">
        <f>$AZ633-$AZ634</f>
        <v/>
      </c>
      <c r="DN633" s="56">
        <f>$BA633-$BA634</f>
        <v/>
      </c>
      <c r="DO633" s="56">
        <f>$BB633-$BB634</f>
        <v/>
      </c>
      <c r="DP633" s="56">
        <f>$BC633-$BC634</f>
        <v/>
      </c>
      <c r="DQ633" s="56">
        <f>$BD633-$BD634</f>
        <v/>
      </c>
      <c r="DR633" s="56">
        <f>$BE633-$BE634</f>
        <v/>
      </c>
      <c r="DS633" s="56">
        <f>$BF633-$BF634</f>
        <v/>
      </c>
      <c r="DT633" s="56">
        <f>$BG633-$BG634</f>
        <v/>
      </c>
      <c r="DU633" s="56">
        <f>$BH633-$BH634</f>
        <v/>
      </c>
      <c r="DV633" s="56">
        <f>$BI633-$BI634</f>
        <v/>
      </c>
      <c r="DW633" s="56">
        <f>$BJ633-$BJ634</f>
        <v/>
      </c>
      <c r="DX633" s="56">
        <f>$BK633-$BK634</f>
        <v/>
      </c>
      <c r="DY633" s="56">
        <f>$BL633-$BL634</f>
        <v/>
      </c>
      <c r="DZ633" s="56">
        <f>$BM633-$BM634</f>
        <v/>
      </c>
      <c r="EA633" s="56">
        <f>$BN633-$BN634</f>
        <v/>
      </c>
      <c r="EB633" s="56">
        <f>$BO633-$BO634</f>
        <v/>
      </c>
      <c r="EC633" s="56">
        <f>$BP633-$BP634</f>
        <v/>
      </c>
      <c r="ED633" s="56">
        <f>$BQ633-$BQ634</f>
        <v/>
      </c>
      <c r="EE633" s="56">
        <f>$BR633-$BR634</f>
        <v/>
      </c>
      <c r="EF633" s="56">
        <f>$BS633-$BS634</f>
        <v/>
      </c>
      <c r="EG633" s="56">
        <f>$BT633-$BT634</f>
        <v/>
      </c>
      <c r="EH633" s="56">
        <f>$BU633-$BU634</f>
        <v/>
      </c>
    </row>
    <row r="634">
      <c r="BV634" s="56">
        <f>($D634-$D635)*100</f>
        <v/>
      </c>
      <c r="BW634" s="56">
        <f>($C634-$C635)*100</f>
        <v/>
      </c>
      <c r="BX634" s="57">
        <f>IFERROR($I634/$I635-1,"")</f>
        <v/>
      </c>
      <c r="BY634" s="56">
        <f>($AF634-$AF635)*100</f>
        <v/>
      </c>
      <c r="BZ634" s="56">
        <f>($AG634-$AG635)*100</f>
        <v/>
      </c>
      <c r="CA634" s="56">
        <f>($AH634-$AH635)*100</f>
        <v/>
      </c>
      <c r="CB634" s="56">
        <f>($AI634-$AI635)*100</f>
        <v/>
      </c>
      <c r="CC634" s="56">
        <f>($AJ634-$AJ635)*100</f>
        <v/>
      </c>
      <c r="CD634" s="56">
        <f>($AK634-$AK635)*100</f>
        <v/>
      </c>
      <c r="CE634" s="56">
        <f>($AL634-$AL635)*100</f>
        <v/>
      </c>
      <c r="CF634" s="56">
        <f>($AM634-$AM635)*100</f>
        <v/>
      </c>
      <c r="CG634" s="56">
        <f>($AN634-$AN635)*100</f>
        <v/>
      </c>
      <c r="CH634" s="56">
        <f>($AO634-$AO635)*100</f>
        <v/>
      </c>
      <c r="CI634" s="56">
        <f>($AP634-$AP635)*100</f>
        <v/>
      </c>
      <c r="CJ634" s="56">
        <f>($AQ634-$AQ635)*100</f>
        <v/>
      </c>
      <c r="CK634" s="56">
        <f>($AR634-$AR635)*100</f>
        <v/>
      </c>
      <c r="CL634" s="56">
        <f>($AS634-$AS635)*100</f>
        <v/>
      </c>
      <c r="CM634" s="56">
        <f>($AT634-$AT635)*100</f>
        <v/>
      </c>
      <c r="CN634" s="56">
        <f>($AU634-$AU635)*100</f>
        <v/>
      </c>
      <c r="CO634" s="56">
        <f>($AV634-$AV635)*100</f>
        <v/>
      </c>
      <c r="CP634" s="56">
        <f>($AW634-$AW635)*100</f>
        <v/>
      </c>
      <c r="CQ634" s="56">
        <f>($AX634-$AX635)*100</f>
        <v/>
      </c>
      <c r="CR634" s="56">
        <f>($AY634-$AY635)*100</f>
        <v/>
      </c>
      <c r="CS634" s="57">
        <f>IFERROR($L635/$L634-1,"")</f>
        <v/>
      </c>
      <c r="CT634" s="57">
        <f>IFERROR($M635/$M634-1,"")</f>
        <v/>
      </c>
      <c r="CU634" s="57">
        <f>IFERROR($N635/$N634-1,"")</f>
        <v/>
      </c>
      <c r="CV634" s="57">
        <f>IFERROR($O635/$O634-1,"")</f>
        <v/>
      </c>
      <c r="CW634" s="57">
        <f>IFERROR($P635/$P634-1,"")</f>
        <v/>
      </c>
      <c r="CX634" s="57">
        <f>IFERROR($Q635/$Q634-1,"")</f>
        <v/>
      </c>
      <c r="CY634" s="57">
        <f>IFERROR($R635/$R634-1,"")</f>
        <v/>
      </c>
      <c r="CZ634" s="57">
        <f>IFERROR($S635/$S634-1,"")</f>
        <v/>
      </c>
      <c r="DA634" s="57">
        <f>IFERROR($T635/$T634-1,"")</f>
        <v/>
      </c>
      <c r="DB634" s="57">
        <f>IFERROR($U635/$U634-1,"")</f>
        <v/>
      </c>
      <c r="DC634" s="57">
        <f>IFERROR($V635/$V634-1,"")</f>
        <v/>
      </c>
      <c r="DD634" s="57">
        <f>IFERROR($W635/$W634-1,"")</f>
        <v/>
      </c>
      <c r="DE634" s="57">
        <f>IFERROR($X635/$X634-1,"")</f>
        <v/>
      </c>
      <c r="DF634" s="57">
        <f>IFERROR($Y635/$Y634-1,"")</f>
        <v/>
      </c>
      <c r="DG634" s="57">
        <f>IFERROR($Z635/$Z634-1,"")</f>
        <v/>
      </c>
      <c r="DH634" s="57">
        <f>IFERROR($AA635/$AA634-1,"")</f>
        <v/>
      </c>
      <c r="DI634" s="57">
        <f>IFERROR($AB635/$AB634-1,"")</f>
        <v/>
      </c>
      <c r="DJ634" s="57">
        <f>IFERROR($AC635/$AC634-1,"")</f>
        <v/>
      </c>
      <c r="DK634" s="57">
        <f>IFERROR($AD635/$AD634-1,"")</f>
        <v/>
      </c>
      <c r="DL634" s="57">
        <f>IFERROR($AE635/$AE634-1,"")</f>
        <v/>
      </c>
      <c r="DM634" s="56">
        <f>$AZ634-$AZ635</f>
        <v/>
      </c>
      <c r="DN634" s="56">
        <f>$BA634-$BA635</f>
        <v/>
      </c>
      <c r="DO634" s="56">
        <f>$BB634-$BB635</f>
        <v/>
      </c>
      <c r="DP634" s="56">
        <f>$BC634-$BC635</f>
        <v/>
      </c>
      <c r="DQ634" s="56">
        <f>$BD634-$BD635</f>
        <v/>
      </c>
      <c r="DR634" s="56">
        <f>$BE634-$BE635</f>
        <v/>
      </c>
      <c r="DS634" s="56">
        <f>$BF634-$BF635</f>
        <v/>
      </c>
      <c r="DT634" s="56">
        <f>$BG634-$BG635</f>
        <v/>
      </c>
      <c r="DU634" s="56">
        <f>$BH634-$BH635</f>
        <v/>
      </c>
      <c r="DV634" s="56">
        <f>$BI634-$BI635</f>
        <v/>
      </c>
      <c r="DW634" s="56">
        <f>$BJ634-$BJ635</f>
        <v/>
      </c>
      <c r="DX634" s="56">
        <f>$BK634-$BK635</f>
        <v/>
      </c>
      <c r="DY634" s="56">
        <f>$BL634-$BL635</f>
        <v/>
      </c>
      <c r="DZ634" s="56">
        <f>$BM634-$BM635</f>
        <v/>
      </c>
      <c r="EA634" s="56">
        <f>$BN634-$BN635</f>
        <v/>
      </c>
      <c r="EB634" s="56">
        <f>$BO634-$BO635</f>
        <v/>
      </c>
      <c r="EC634" s="56">
        <f>$BP634-$BP635</f>
        <v/>
      </c>
      <c r="ED634" s="56">
        <f>$BQ634-$BQ635</f>
        <v/>
      </c>
      <c r="EE634" s="56">
        <f>$BR634-$BR635</f>
        <v/>
      </c>
      <c r="EF634" s="56">
        <f>$BS634-$BS635</f>
        <v/>
      </c>
      <c r="EG634" s="56">
        <f>$BT634-$BT635</f>
        <v/>
      </c>
      <c r="EH634" s="56">
        <f>$BU634-$BU635</f>
        <v/>
      </c>
    </row>
    <row r="635">
      <c r="BV635" s="56">
        <f>($D635-$D636)*100</f>
        <v/>
      </c>
      <c r="BW635" s="56">
        <f>($C635-$C636)*100</f>
        <v/>
      </c>
      <c r="BX635" s="57">
        <f>IFERROR($I635/$I636-1,"")</f>
        <v/>
      </c>
      <c r="BY635" s="56">
        <f>($AF635-$AF636)*100</f>
        <v/>
      </c>
      <c r="BZ635" s="56">
        <f>($AG635-$AG636)*100</f>
        <v/>
      </c>
      <c r="CA635" s="56">
        <f>($AH635-$AH636)*100</f>
        <v/>
      </c>
      <c r="CB635" s="56">
        <f>($AI635-$AI636)*100</f>
        <v/>
      </c>
      <c r="CC635" s="56">
        <f>($AJ635-$AJ636)*100</f>
        <v/>
      </c>
      <c r="CD635" s="56">
        <f>($AK635-$AK636)*100</f>
        <v/>
      </c>
      <c r="CE635" s="56">
        <f>($AL635-$AL636)*100</f>
        <v/>
      </c>
      <c r="CF635" s="56">
        <f>($AM635-$AM636)*100</f>
        <v/>
      </c>
      <c r="CG635" s="56">
        <f>($AN635-$AN636)*100</f>
        <v/>
      </c>
      <c r="CH635" s="56">
        <f>($AO635-$AO636)*100</f>
        <v/>
      </c>
      <c r="CI635" s="56">
        <f>($AP635-$AP636)*100</f>
        <v/>
      </c>
      <c r="CJ635" s="56">
        <f>($AQ635-$AQ636)*100</f>
        <v/>
      </c>
      <c r="CK635" s="56">
        <f>($AR635-$AR636)*100</f>
        <v/>
      </c>
      <c r="CL635" s="56">
        <f>($AS635-$AS636)*100</f>
        <v/>
      </c>
      <c r="CM635" s="56">
        <f>($AT635-$AT636)*100</f>
        <v/>
      </c>
      <c r="CN635" s="56">
        <f>($AU635-$AU636)*100</f>
        <v/>
      </c>
      <c r="CO635" s="56">
        <f>($AV635-$AV636)*100</f>
        <v/>
      </c>
      <c r="CP635" s="56">
        <f>($AW635-$AW636)*100</f>
        <v/>
      </c>
      <c r="CQ635" s="56">
        <f>($AX635-$AX636)*100</f>
        <v/>
      </c>
      <c r="CR635" s="56">
        <f>($AY635-$AY636)*100</f>
        <v/>
      </c>
      <c r="CS635" s="57">
        <f>IFERROR($L636/$L635-1,"")</f>
        <v/>
      </c>
      <c r="CT635" s="57">
        <f>IFERROR($M636/$M635-1,"")</f>
        <v/>
      </c>
      <c r="CU635" s="57">
        <f>IFERROR($N636/$N635-1,"")</f>
        <v/>
      </c>
      <c r="CV635" s="57">
        <f>IFERROR($O636/$O635-1,"")</f>
        <v/>
      </c>
      <c r="CW635" s="57">
        <f>IFERROR($P636/$P635-1,"")</f>
        <v/>
      </c>
      <c r="CX635" s="57">
        <f>IFERROR($Q636/$Q635-1,"")</f>
        <v/>
      </c>
      <c r="CY635" s="57">
        <f>IFERROR($R636/$R635-1,"")</f>
        <v/>
      </c>
      <c r="CZ635" s="57">
        <f>IFERROR($S636/$S635-1,"")</f>
        <v/>
      </c>
      <c r="DA635" s="57">
        <f>IFERROR($T636/$T635-1,"")</f>
        <v/>
      </c>
      <c r="DB635" s="57">
        <f>IFERROR($U636/$U635-1,"")</f>
        <v/>
      </c>
      <c r="DC635" s="57">
        <f>IFERROR($V636/$V635-1,"")</f>
        <v/>
      </c>
      <c r="DD635" s="57">
        <f>IFERROR($W636/$W635-1,"")</f>
        <v/>
      </c>
      <c r="DE635" s="57">
        <f>IFERROR($X636/$X635-1,"")</f>
        <v/>
      </c>
      <c r="DF635" s="57">
        <f>IFERROR($Y636/$Y635-1,"")</f>
        <v/>
      </c>
      <c r="DG635" s="57">
        <f>IFERROR($Z636/$Z635-1,"")</f>
        <v/>
      </c>
      <c r="DH635" s="57">
        <f>IFERROR($AA636/$AA635-1,"")</f>
        <v/>
      </c>
      <c r="DI635" s="57">
        <f>IFERROR($AB636/$AB635-1,"")</f>
        <v/>
      </c>
      <c r="DJ635" s="57">
        <f>IFERROR($AC636/$AC635-1,"")</f>
        <v/>
      </c>
      <c r="DK635" s="57">
        <f>IFERROR($AD636/$AD635-1,"")</f>
        <v/>
      </c>
      <c r="DL635" s="57">
        <f>IFERROR($AE636/$AE635-1,"")</f>
        <v/>
      </c>
      <c r="DM635" s="56">
        <f>$AZ635-$AZ636</f>
        <v/>
      </c>
      <c r="DN635" s="56">
        <f>$BA635-$BA636</f>
        <v/>
      </c>
      <c r="DO635" s="56">
        <f>$BB635-$BB636</f>
        <v/>
      </c>
      <c r="DP635" s="56">
        <f>$BC635-$BC636</f>
        <v/>
      </c>
      <c r="DQ635" s="56">
        <f>$BD635-$BD636</f>
        <v/>
      </c>
      <c r="DR635" s="56">
        <f>$BE635-$BE636</f>
        <v/>
      </c>
      <c r="DS635" s="56">
        <f>$BF635-$BF636</f>
        <v/>
      </c>
      <c r="DT635" s="56">
        <f>$BG635-$BG636</f>
        <v/>
      </c>
      <c r="DU635" s="56">
        <f>$BH635-$BH636</f>
        <v/>
      </c>
      <c r="DV635" s="56">
        <f>$BI635-$BI636</f>
        <v/>
      </c>
      <c r="DW635" s="56">
        <f>$BJ635-$BJ636</f>
        <v/>
      </c>
      <c r="DX635" s="56">
        <f>$BK635-$BK636</f>
        <v/>
      </c>
      <c r="DY635" s="56">
        <f>$BL635-$BL636</f>
        <v/>
      </c>
      <c r="DZ635" s="56">
        <f>$BM635-$BM636</f>
        <v/>
      </c>
      <c r="EA635" s="56">
        <f>$BN635-$BN636</f>
        <v/>
      </c>
      <c r="EB635" s="56">
        <f>$BO635-$BO636</f>
        <v/>
      </c>
      <c r="EC635" s="56">
        <f>$BP635-$BP636</f>
        <v/>
      </c>
      <c r="ED635" s="56">
        <f>$BQ635-$BQ636</f>
        <v/>
      </c>
      <c r="EE635" s="56">
        <f>$BR635-$BR636</f>
        <v/>
      </c>
      <c r="EF635" s="56">
        <f>$BS635-$BS636</f>
        <v/>
      </c>
      <c r="EG635" s="56">
        <f>$BT635-$BT636</f>
        <v/>
      </c>
      <c r="EH635" s="56">
        <f>$BU635-$BU636</f>
        <v/>
      </c>
    </row>
    <row r="636">
      <c r="BV636" s="56">
        <f>($D636-$D637)*100</f>
        <v/>
      </c>
      <c r="BW636" s="56">
        <f>($C636-$C637)*100</f>
        <v/>
      </c>
      <c r="BX636" s="57">
        <f>IFERROR($I636/$I637-1,"")</f>
        <v/>
      </c>
      <c r="BY636" s="56">
        <f>($AF636-$AF637)*100</f>
        <v/>
      </c>
      <c r="BZ636" s="56">
        <f>($AG636-$AG637)*100</f>
        <v/>
      </c>
      <c r="CA636" s="56">
        <f>($AH636-$AH637)*100</f>
        <v/>
      </c>
      <c r="CB636" s="56">
        <f>($AI636-$AI637)*100</f>
        <v/>
      </c>
      <c r="CC636" s="56">
        <f>($AJ636-$AJ637)*100</f>
        <v/>
      </c>
      <c r="CD636" s="56">
        <f>($AK636-$AK637)*100</f>
        <v/>
      </c>
      <c r="CE636" s="56">
        <f>($AL636-$AL637)*100</f>
        <v/>
      </c>
      <c r="CF636" s="56">
        <f>($AM636-$AM637)*100</f>
        <v/>
      </c>
      <c r="CG636" s="56">
        <f>($AN636-$AN637)*100</f>
        <v/>
      </c>
      <c r="CH636" s="56">
        <f>($AO636-$AO637)*100</f>
        <v/>
      </c>
      <c r="CI636" s="56">
        <f>($AP636-$AP637)*100</f>
        <v/>
      </c>
      <c r="CJ636" s="56">
        <f>($AQ636-$AQ637)*100</f>
        <v/>
      </c>
      <c r="CK636" s="56">
        <f>($AR636-$AR637)*100</f>
        <v/>
      </c>
      <c r="CL636" s="56">
        <f>($AS636-$AS637)*100</f>
        <v/>
      </c>
      <c r="CM636" s="56">
        <f>($AT636-$AT637)*100</f>
        <v/>
      </c>
      <c r="CN636" s="56">
        <f>($AU636-$AU637)*100</f>
        <v/>
      </c>
      <c r="CO636" s="56">
        <f>($AV636-$AV637)*100</f>
        <v/>
      </c>
      <c r="CP636" s="56">
        <f>($AW636-$AW637)*100</f>
        <v/>
      </c>
      <c r="CQ636" s="56">
        <f>($AX636-$AX637)*100</f>
        <v/>
      </c>
      <c r="CR636" s="56">
        <f>($AY636-$AY637)*100</f>
        <v/>
      </c>
      <c r="CS636" s="57">
        <f>IFERROR($L637/$L636-1,"")</f>
        <v/>
      </c>
      <c r="CT636" s="57">
        <f>IFERROR($M637/$M636-1,"")</f>
        <v/>
      </c>
      <c r="CU636" s="57">
        <f>IFERROR($N637/$N636-1,"")</f>
        <v/>
      </c>
      <c r="CV636" s="57">
        <f>IFERROR($O637/$O636-1,"")</f>
        <v/>
      </c>
      <c r="CW636" s="57">
        <f>IFERROR($P637/$P636-1,"")</f>
        <v/>
      </c>
      <c r="CX636" s="57">
        <f>IFERROR($Q637/$Q636-1,"")</f>
        <v/>
      </c>
      <c r="CY636" s="57">
        <f>IFERROR($R637/$R636-1,"")</f>
        <v/>
      </c>
      <c r="CZ636" s="57">
        <f>IFERROR($S637/$S636-1,"")</f>
        <v/>
      </c>
      <c r="DA636" s="57">
        <f>IFERROR($T637/$T636-1,"")</f>
        <v/>
      </c>
      <c r="DB636" s="57">
        <f>IFERROR($U637/$U636-1,"")</f>
        <v/>
      </c>
      <c r="DC636" s="57">
        <f>IFERROR($V637/$V636-1,"")</f>
        <v/>
      </c>
      <c r="DD636" s="57">
        <f>IFERROR($W637/$W636-1,"")</f>
        <v/>
      </c>
      <c r="DE636" s="57">
        <f>IFERROR($X637/$X636-1,"")</f>
        <v/>
      </c>
      <c r="DF636" s="57">
        <f>IFERROR($Y637/$Y636-1,"")</f>
        <v/>
      </c>
      <c r="DG636" s="57">
        <f>IFERROR($Z637/$Z636-1,"")</f>
        <v/>
      </c>
      <c r="DH636" s="57">
        <f>IFERROR($AA637/$AA636-1,"")</f>
        <v/>
      </c>
      <c r="DI636" s="57">
        <f>IFERROR($AB637/$AB636-1,"")</f>
        <v/>
      </c>
      <c r="DJ636" s="57">
        <f>IFERROR($AC637/$AC636-1,"")</f>
        <v/>
      </c>
      <c r="DK636" s="57">
        <f>IFERROR($AD637/$AD636-1,"")</f>
        <v/>
      </c>
      <c r="DL636" s="57">
        <f>IFERROR($AE637/$AE636-1,"")</f>
        <v/>
      </c>
      <c r="DM636" s="56">
        <f>$AZ636-$AZ637</f>
        <v/>
      </c>
      <c r="DN636" s="56">
        <f>$BA636-$BA637</f>
        <v/>
      </c>
      <c r="DO636" s="56">
        <f>$BB636-$BB637</f>
        <v/>
      </c>
      <c r="DP636" s="56">
        <f>$BC636-$BC637</f>
        <v/>
      </c>
      <c r="DQ636" s="56">
        <f>$BD636-$BD637</f>
        <v/>
      </c>
      <c r="DR636" s="56">
        <f>$BE636-$BE637</f>
        <v/>
      </c>
      <c r="DS636" s="56">
        <f>$BF636-$BF637</f>
        <v/>
      </c>
      <c r="DT636" s="56">
        <f>$BG636-$BG637</f>
        <v/>
      </c>
      <c r="DU636" s="56">
        <f>$BH636-$BH637</f>
        <v/>
      </c>
      <c r="DV636" s="56">
        <f>$BI636-$BI637</f>
        <v/>
      </c>
      <c r="DW636" s="56">
        <f>$BJ636-$BJ637</f>
        <v/>
      </c>
      <c r="DX636" s="56">
        <f>$BK636-$BK637</f>
        <v/>
      </c>
      <c r="DY636" s="56">
        <f>$BL636-$BL637</f>
        <v/>
      </c>
      <c r="DZ636" s="56">
        <f>$BM636-$BM637</f>
        <v/>
      </c>
      <c r="EA636" s="56">
        <f>$BN636-$BN637</f>
        <v/>
      </c>
      <c r="EB636" s="56">
        <f>$BO636-$BO637</f>
        <v/>
      </c>
      <c r="EC636" s="56">
        <f>$BP636-$BP637</f>
        <v/>
      </c>
      <c r="ED636" s="56">
        <f>$BQ636-$BQ637</f>
        <v/>
      </c>
      <c r="EE636" s="56">
        <f>$BR636-$BR637</f>
        <v/>
      </c>
      <c r="EF636" s="56">
        <f>$BS636-$BS637</f>
        <v/>
      </c>
      <c r="EG636" s="56">
        <f>$BT636-$BT637</f>
        <v/>
      </c>
      <c r="EH636" s="56">
        <f>$BU636-$BU637</f>
        <v/>
      </c>
    </row>
    <row r="637">
      <c r="BV637" s="56">
        <f>($D637-$D638)*100</f>
        <v/>
      </c>
      <c r="BW637" s="56">
        <f>($C637-$C638)*100</f>
        <v/>
      </c>
      <c r="BX637" s="57">
        <f>IFERROR($I637/$I638-1,"")</f>
        <v/>
      </c>
      <c r="BY637" s="56">
        <f>($AF637-$AF638)*100</f>
        <v/>
      </c>
      <c r="BZ637" s="56">
        <f>($AG637-$AG638)*100</f>
        <v/>
      </c>
      <c r="CA637" s="56">
        <f>($AH637-$AH638)*100</f>
        <v/>
      </c>
      <c r="CB637" s="56">
        <f>($AI637-$AI638)*100</f>
        <v/>
      </c>
      <c r="CC637" s="56">
        <f>($AJ637-$AJ638)*100</f>
        <v/>
      </c>
      <c r="CD637" s="56">
        <f>($AK637-$AK638)*100</f>
        <v/>
      </c>
      <c r="CE637" s="56">
        <f>($AL637-$AL638)*100</f>
        <v/>
      </c>
      <c r="CF637" s="56">
        <f>($AM637-$AM638)*100</f>
        <v/>
      </c>
      <c r="CG637" s="56">
        <f>($AN637-$AN638)*100</f>
        <v/>
      </c>
      <c r="CH637" s="56">
        <f>($AO637-$AO638)*100</f>
        <v/>
      </c>
      <c r="CI637" s="56">
        <f>($AP637-$AP638)*100</f>
        <v/>
      </c>
      <c r="CJ637" s="56">
        <f>($AQ637-$AQ638)*100</f>
        <v/>
      </c>
      <c r="CK637" s="56">
        <f>($AR637-$AR638)*100</f>
        <v/>
      </c>
      <c r="CL637" s="56">
        <f>($AS637-$AS638)*100</f>
        <v/>
      </c>
      <c r="CM637" s="56">
        <f>($AT637-$AT638)*100</f>
        <v/>
      </c>
      <c r="CN637" s="56">
        <f>($AU637-$AU638)*100</f>
        <v/>
      </c>
      <c r="CO637" s="56">
        <f>($AV637-$AV638)*100</f>
        <v/>
      </c>
      <c r="CP637" s="56">
        <f>($AW637-$AW638)*100</f>
        <v/>
      </c>
      <c r="CQ637" s="56">
        <f>($AX637-$AX638)*100</f>
        <v/>
      </c>
      <c r="CR637" s="56">
        <f>($AY637-$AY638)*100</f>
        <v/>
      </c>
      <c r="CS637" s="57">
        <f>IFERROR($L638/$L637-1,"")</f>
        <v/>
      </c>
      <c r="CT637" s="57">
        <f>IFERROR($M638/$M637-1,"")</f>
        <v/>
      </c>
      <c r="CU637" s="57">
        <f>IFERROR($N638/$N637-1,"")</f>
        <v/>
      </c>
      <c r="CV637" s="57">
        <f>IFERROR($O638/$O637-1,"")</f>
        <v/>
      </c>
      <c r="CW637" s="57">
        <f>IFERROR($P638/$P637-1,"")</f>
        <v/>
      </c>
      <c r="CX637" s="57">
        <f>IFERROR($Q638/$Q637-1,"")</f>
        <v/>
      </c>
      <c r="CY637" s="57">
        <f>IFERROR($R638/$R637-1,"")</f>
        <v/>
      </c>
      <c r="CZ637" s="57">
        <f>IFERROR($S638/$S637-1,"")</f>
        <v/>
      </c>
      <c r="DA637" s="57">
        <f>IFERROR($T638/$T637-1,"")</f>
        <v/>
      </c>
      <c r="DB637" s="57">
        <f>IFERROR($U638/$U637-1,"")</f>
        <v/>
      </c>
      <c r="DC637" s="57">
        <f>IFERROR($V638/$V637-1,"")</f>
        <v/>
      </c>
      <c r="DD637" s="57">
        <f>IFERROR($W638/$W637-1,"")</f>
        <v/>
      </c>
      <c r="DE637" s="57">
        <f>IFERROR($X638/$X637-1,"")</f>
        <v/>
      </c>
      <c r="DF637" s="57">
        <f>IFERROR($Y638/$Y637-1,"")</f>
        <v/>
      </c>
      <c r="DG637" s="57">
        <f>IFERROR($Z638/$Z637-1,"")</f>
        <v/>
      </c>
      <c r="DH637" s="57">
        <f>IFERROR($AA638/$AA637-1,"")</f>
        <v/>
      </c>
      <c r="DI637" s="57">
        <f>IFERROR($AB638/$AB637-1,"")</f>
        <v/>
      </c>
      <c r="DJ637" s="57">
        <f>IFERROR($AC638/$AC637-1,"")</f>
        <v/>
      </c>
      <c r="DK637" s="57">
        <f>IFERROR($AD638/$AD637-1,"")</f>
        <v/>
      </c>
      <c r="DL637" s="57">
        <f>IFERROR($AE638/$AE637-1,"")</f>
        <v/>
      </c>
      <c r="DM637" s="56">
        <f>$AZ637-$AZ638</f>
        <v/>
      </c>
      <c r="DN637" s="56">
        <f>$BA637-$BA638</f>
        <v/>
      </c>
      <c r="DO637" s="56">
        <f>$BB637-$BB638</f>
        <v/>
      </c>
      <c r="DP637" s="56">
        <f>$BC637-$BC638</f>
        <v/>
      </c>
      <c r="DQ637" s="56">
        <f>$BD637-$BD638</f>
        <v/>
      </c>
      <c r="DR637" s="56">
        <f>$BE637-$BE638</f>
        <v/>
      </c>
      <c r="DS637" s="56">
        <f>$BF637-$BF638</f>
        <v/>
      </c>
      <c r="DT637" s="56">
        <f>$BG637-$BG638</f>
        <v/>
      </c>
      <c r="DU637" s="56">
        <f>$BH637-$BH638</f>
        <v/>
      </c>
      <c r="DV637" s="56">
        <f>$BI637-$BI638</f>
        <v/>
      </c>
      <c r="DW637" s="56">
        <f>$BJ637-$BJ638</f>
        <v/>
      </c>
      <c r="DX637" s="56">
        <f>$BK637-$BK638</f>
        <v/>
      </c>
      <c r="DY637" s="56">
        <f>$BL637-$BL638</f>
        <v/>
      </c>
      <c r="DZ637" s="56">
        <f>$BM637-$BM638</f>
        <v/>
      </c>
      <c r="EA637" s="56">
        <f>$BN637-$BN638</f>
        <v/>
      </c>
      <c r="EB637" s="56">
        <f>$BO637-$BO638</f>
        <v/>
      </c>
      <c r="EC637" s="56">
        <f>$BP637-$BP638</f>
        <v/>
      </c>
      <c r="ED637" s="56">
        <f>$BQ637-$BQ638</f>
        <v/>
      </c>
      <c r="EE637" s="56">
        <f>$BR637-$BR638</f>
        <v/>
      </c>
      <c r="EF637" s="56">
        <f>$BS637-$BS638</f>
        <v/>
      </c>
      <c r="EG637" s="56">
        <f>$BT637-$BT638</f>
        <v/>
      </c>
      <c r="EH637" s="56">
        <f>$BU637-$BU638</f>
        <v/>
      </c>
    </row>
    <row r="638">
      <c r="BV638" s="56">
        <f>($D638-$D639)*100</f>
        <v/>
      </c>
      <c r="BW638" s="56">
        <f>($C638-$C639)*100</f>
        <v/>
      </c>
      <c r="BX638" s="57">
        <f>IFERROR($I638/$I639-1,"")</f>
        <v/>
      </c>
      <c r="BY638" s="56">
        <f>($AF638-$AF639)*100</f>
        <v/>
      </c>
      <c r="BZ638" s="56">
        <f>($AG638-$AG639)*100</f>
        <v/>
      </c>
      <c r="CA638" s="56">
        <f>($AH638-$AH639)*100</f>
        <v/>
      </c>
      <c r="CB638" s="56">
        <f>($AI638-$AI639)*100</f>
        <v/>
      </c>
      <c r="CC638" s="56">
        <f>($AJ638-$AJ639)*100</f>
        <v/>
      </c>
      <c r="CD638" s="56">
        <f>($AK638-$AK639)*100</f>
        <v/>
      </c>
      <c r="CE638" s="56">
        <f>($AL638-$AL639)*100</f>
        <v/>
      </c>
      <c r="CF638" s="56">
        <f>($AM638-$AM639)*100</f>
        <v/>
      </c>
      <c r="CG638" s="56">
        <f>($AN638-$AN639)*100</f>
        <v/>
      </c>
      <c r="CH638" s="56">
        <f>($AO638-$AO639)*100</f>
        <v/>
      </c>
      <c r="CI638" s="56">
        <f>($AP638-$AP639)*100</f>
        <v/>
      </c>
      <c r="CJ638" s="56">
        <f>($AQ638-$AQ639)*100</f>
        <v/>
      </c>
      <c r="CK638" s="56">
        <f>($AR638-$AR639)*100</f>
        <v/>
      </c>
      <c r="CL638" s="56">
        <f>($AS638-$AS639)*100</f>
        <v/>
      </c>
      <c r="CM638" s="56">
        <f>($AT638-$AT639)*100</f>
        <v/>
      </c>
      <c r="CN638" s="56">
        <f>($AU638-$AU639)*100</f>
        <v/>
      </c>
      <c r="CO638" s="56">
        <f>($AV638-$AV639)*100</f>
        <v/>
      </c>
      <c r="CP638" s="56">
        <f>($AW638-$AW639)*100</f>
        <v/>
      </c>
      <c r="CQ638" s="56">
        <f>($AX638-$AX639)*100</f>
        <v/>
      </c>
      <c r="CR638" s="56">
        <f>($AY638-$AY639)*100</f>
        <v/>
      </c>
      <c r="CS638" s="57">
        <f>IFERROR($L639/$L638-1,"")</f>
        <v/>
      </c>
      <c r="CT638" s="57">
        <f>IFERROR($M639/$M638-1,"")</f>
        <v/>
      </c>
      <c r="CU638" s="57">
        <f>IFERROR($N639/$N638-1,"")</f>
        <v/>
      </c>
      <c r="CV638" s="57">
        <f>IFERROR($O639/$O638-1,"")</f>
        <v/>
      </c>
      <c r="CW638" s="57">
        <f>IFERROR($P639/$P638-1,"")</f>
        <v/>
      </c>
      <c r="CX638" s="57">
        <f>IFERROR($Q639/$Q638-1,"")</f>
        <v/>
      </c>
      <c r="CY638" s="57">
        <f>IFERROR($R639/$R638-1,"")</f>
        <v/>
      </c>
      <c r="CZ638" s="57">
        <f>IFERROR($S639/$S638-1,"")</f>
        <v/>
      </c>
      <c r="DA638" s="57">
        <f>IFERROR($T639/$T638-1,"")</f>
        <v/>
      </c>
      <c r="DB638" s="57">
        <f>IFERROR($U639/$U638-1,"")</f>
        <v/>
      </c>
      <c r="DC638" s="57">
        <f>IFERROR($V639/$V638-1,"")</f>
        <v/>
      </c>
      <c r="DD638" s="57">
        <f>IFERROR($W639/$W638-1,"")</f>
        <v/>
      </c>
      <c r="DE638" s="57">
        <f>IFERROR($X639/$X638-1,"")</f>
        <v/>
      </c>
      <c r="DF638" s="57">
        <f>IFERROR($Y639/$Y638-1,"")</f>
        <v/>
      </c>
      <c r="DG638" s="57">
        <f>IFERROR($Z639/$Z638-1,"")</f>
        <v/>
      </c>
      <c r="DH638" s="57">
        <f>IFERROR($AA639/$AA638-1,"")</f>
        <v/>
      </c>
      <c r="DI638" s="57">
        <f>IFERROR($AB639/$AB638-1,"")</f>
        <v/>
      </c>
      <c r="DJ638" s="57">
        <f>IFERROR($AC639/$AC638-1,"")</f>
        <v/>
      </c>
      <c r="DK638" s="57">
        <f>IFERROR($AD639/$AD638-1,"")</f>
        <v/>
      </c>
      <c r="DL638" s="57">
        <f>IFERROR($AE639/$AE638-1,"")</f>
        <v/>
      </c>
      <c r="DM638" s="56">
        <f>$AZ638-$AZ639</f>
        <v/>
      </c>
      <c r="DN638" s="56">
        <f>$BA638-$BA639</f>
        <v/>
      </c>
      <c r="DO638" s="56">
        <f>$BB638-$BB639</f>
        <v/>
      </c>
      <c r="DP638" s="56">
        <f>$BC638-$BC639</f>
        <v/>
      </c>
      <c r="DQ638" s="56">
        <f>$BD638-$BD639</f>
        <v/>
      </c>
      <c r="DR638" s="56">
        <f>$BE638-$BE639</f>
        <v/>
      </c>
      <c r="DS638" s="56">
        <f>$BF638-$BF639</f>
        <v/>
      </c>
      <c r="DT638" s="56">
        <f>$BG638-$BG639</f>
        <v/>
      </c>
      <c r="DU638" s="56">
        <f>$BH638-$BH639</f>
        <v/>
      </c>
      <c r="DV638" s="56">
        <f>$BI638-$BI639</f>
        <v/>
      </c>
      <c r="DW638" s="56">
        <f>$BJ638-$BJ639</f>
        <v/>
      </c>
      <c r="DX638" s="56">
        <f>$BK638-$BK639</f>
        <v/>
      </c>
      <c r="DY638" s="56">
        <f>$BL638-$BL639</f>
        <v/>
      </c>
      <c r="DZ638" s="56">
        <f>$BM638-$BM639</f>
        <v/>
      </c>
      <c r="EA638" s="56">
        <f>$BN638-$BN639</f>
        <v/>
      </c>
      <c r="EB638" s="56">
        <f>$BO638-$BO639</f>
        <v/>
      </c>
      <c r="EC638" s="56">
        <f>$BP638-$BP639</f>
        <v/>
      </c>
      <c r="ED638" s="56">
        <f>$BQ638-$BQ639</f>
        <v/>
      </c>
      <c r="EE638" s="56">
        <f>$BR638-$BR639</f>
        <v/>
      </c>
      <c r="EF638" s="56">
        <f>$BS638-$BS639</f>
        <v/>
      </c>
      <c r="EG638" s="56">
        <f>$BT638-$BT639</f>
        <v/>
      </c>
      <c r="EH638" s="56">
        <f>$BU638-$BU639</f>
        <v/>
      </c>
    </row>
    <row r="639">
      <c r="BV639" s="56">
        <f>($D639-$D640)*100</f>
        <v/>
      </c>
      <c r="BW639" s="56">
        <f>($C639-$C640)*100</f>
        <v/>
      </c>
      <c r="BX639" s="57">
        <f>IFERROR($I639/$I640-1,"")</f>
        <v/>
      </c>
      <c r="BY639" s="56">
        <f>($AF639-$AF640)*100</f>
        <v/>
      </c>
      <c r="BZ639" s="56">
        <f>($AG639-$AG640)*100</f>
        <v/>
      </c>
      <c r="CA639" s="56">
        <f>($AH639-$AH640)*100</f>
        <v/>
      </c>
      <c r="CB639" s="56">
        <f>($AI639-$AI640)*100</f>
        <v/>
      </c>
      <c r="CC639" s="56">
        <f>($AJ639-$AJ640)*100</f>
        <v/>
      </c>
      <c r="CD639" s="56">
        <f>($AK639-$AK640)*100</f>
        <v/>
      </c>
      <c r="CE639" s="56">
        <f>($AL639-$AL640)*100</f>
        <v/>
      </c>
      <c r="CF639" s="56">
        <f>($AM639-$AM640)*100</f>
        <v/>
      </c>
      <c r="CG639" s="56">
        <f>($AN639-$AN640)*100</f>
        <v/>
      </c>
      <c r="CH639" s="56">
        <f>($AO639-$AO640)*100</f>
        <v/>
      </c>
      <c r="CI639" s="56">
        <f>($AP639-$AP640)*100</f>
        <v/>
      </c>
      <c r="CJ639" s="56">
        <f>($AQ639-$AQ640)*100</f>
        <v/>
      </c>
      <c r="CK639" s="56">
        <f>($AR639-$AR640)*100</f>
        <v/>
      </c>
      <c r="CL639" s="56">
        <f>($AS639-$AS640)*100</f>
        <v/>
      </c>
      <c r="CM639" s="56">
        <f>($AT639-$AT640)*100</f>
        <v/>
      </c>
      <c r="CN639" s="56">
        <f>($AU639-$AU640)*100</f>
        <v/>
      </c>
      <c r="CO639" s="56">
        <f>($AV639-$AV640)*100</f>
        <v/>
      </c>
      <c r="CP639" s="56">
        <f>($AW639-$AW640)*100</f>
        <v/>
      </c>
      <c r="CQ639" s="56">
        <f>($AX639-$AX640)*100</f>
        <v/>
      </c>
      <c r="CR639" s="56">
        <f>($AY639-$AY640)*100</f>
        <v/>
      </c>
      <c r="CS639" s="57">
        <f>IFERROR($L640/$L639-1,"")</f>
        <v/>
      </c>
      <c r="CT639" s="57">
        <f>IFERROR($M640/$M639-1,"")</f>
        <v/>
      </c>
      <c r="CU639" s="57">
        <f>IFERROR($N640/$N639-1,"")</f>
        <v/>
      </c>
      <c r="CV639" s="57">
        <f>IFERROR($O640/$O639-1,"")</f>
        <v/>
      </c>
      <c r="CW639" s="57">
        <f>IFERROR($P640/$P639-1,"")</f>
        <v/>
      </c>
      <c r="CX639" s="57">
        <f>IFERROR($Q640/$Q639-1,"")</f>
        <v/>
      </c>
      <c r="CY639" s="57">
        <f>IFERROR($R640/$R639-1,"")</f>
        <v/>
      </c>
      <c r="CZ639" s="57">
        <f>IFERROR($S640/$S639-1,"")</f>
        <v/>
      </c>
      <c r="DA639" s="57">
        <f>IFERROR($T640/$T639-1,"")</f>
        <v/>
      </c>
      <c r="DB639" s="57">
        <f>IFERROR($U640/$U639-1,"")</f>
        <v/>
      </c>
      <c r="DC639" s="57">
        <f>IFERROR($V640/$V639-1,"")</f>
        <v/>
      </c>
      <c r="DD639" s="57">
        <f>IFERROR($W640/$W639-1,"")</f>
        <v/>
      </c>
      <c r="DE639" s="57">
        <f>IFERROR($X640/$X639-1,"")</f>
        <v/>
      </c>
      <c r="DF639" s="57">
        <f>IFERROR($Y640/$Y639-1,"")</f>
        <v/>
      </c>
      <c r="DG639" s="57">
        <f>IFERROR($Z640/$Z639-1,"")</f>
        <v/>
      </c>
      <c r="DH639" s="57">
        <f>IFERROR($AA640/$AA639-1,"")</f>
        <v/>
      </c>
      <c r="DI639" s="57">
        <f>IFERROR($AB640/$AB639-1,"")</f>
        <v/>
      </c>
      <c r="DJ639" s="57">
        <f>IFERROR($AC640/$AC639-1,"")</f>
        <v/>
      </c>
      <c r="DK639" s="57">
        <f>IFERROR($AD640/$AD639-1,"")</f>
        <v/>
      </c>
      <c r="DL639" s="57">
        <f>IFERROR($AE640/$AE639-1,"")</f>
        <v/>
      </c>
      <c r="DM639" s="56">
        <f>$AZ639-$AZ640</f>
        <v/>
      </c>
      <c r="DN639" s="56">
        <f>$BA639-$BA640</f>
        <v/>
      </c>
      <c r="DO639" s="56">
        <f>$BB639-$BB640</f>
        <v/>
      </c>
      <c r="DP639" s="56">
        <f>$BC639-$BC640</f>
        <v/>
      </c>
      <c r="DQ639" s="56">
        <f>$BD639-$BD640</f>
        <v/>
      </c>
      <c r="DR639" s="56">
        <f>$BE639-$BE640</f>
        <v/>
      </c>
      <c r="DS639" s="56">
        <f>$BF639-$BF640</f>
        <v/>
      </c>
      <c r="DT639" s="56">
        <f>$BG639-$BG640</f>
        <v/>
      </c>
      <c r="DU639" s="56">
        <f>$BH639-$BH640</f>
        <v/>
      </c>
      <c r="DV639" s="56">
        <f>$BI639-$BI640</f>
        <v/>
      </c>
      <c r="DW639" s="56">
        <f>$BJ639-$BJ640</f>
        <v/>
      </c>
      <c r="DX639" s="56">
        <f>$BK639-$BK640</f>
        <v/>
      </c>
      <c r="DY639" s="56">
        <f>$BL639-$BL640</f>
        <v/>
      </c>
      <c r="DZ639" s="56">
        <f>$BM639-$BM640</f>
        <v/>
      </c>
      <c r="EA639" s="56">
        <f>$BN639-$BN640</f>
        <v/>
      </c>
      <c r="EB639" s="56">
        <f>$BO639-$BO640</f>
        <v/>
      </c>
      <c r="EC639" s="56">
        <f>$BP639-$BP640</f>
        <v/>
      </c>
      <c r="ED639" s="56">
        <f>$BQ639-$BQ640</f>
        <v/>
      </c>
      <c r="EE639" s="56">
        <f>$BR639-$BR640</f>
        <v/>
      </c>
      <c r="EF639" s="56">
        <f>$BS639-$BS640</f>
        <v/>
      </c>
      <c r="EG639" s="56">
        <f>$BT639-$BT640</f>
        <v/>
      </c>
      <c r="EH639" s="56">
        <f>$BU639-$BU640</f>
        <v/>
      </c>
    </row>
    <row r="640">
      <c r="BV640" s="56">
        <f>($D640-$D641)*100</f>
        <v/>
      </c>
      <c r="BW640" s="56">
        <f>($C640-$C641)*100</f>
        <v/>
      </c>
      <c r="BX640" s="57">
        <f>IFERROR($I640/$I641-1,"")</f>
        <v/>
      </c>
      <c r="BY640" s="56">
        <f>($AF640-$AF641)*100</f>
        <v/>
      </c>
      <c r="BZ640" s="56">
        <f>($AG640-$AG641)*100</f>
        <v/>
      </c>
      <c r="CA640" s="56">
        <f>($AH640-$AH641)*100</f>
        <v/>
      </c>
      <c r="CB640" s="56">
        <f>($AI640-$AI641)*100</f>
        <v/>
      </c>
      <c r="CC640" s="56">
        <f>($AJ640-$AJ641)*100</f>
        <v/>
      </c>
      <c r="CD640" s="56">
        <f>($AK640-$AK641)*100</f>
        <v/>
      </c>
      <c r="CE640" s="56">
        <f>($AL640-$AL641)*100</f>
        <v/>
      </c>
      <c r="CF640" s="56">
        <f>($AM640-$AM641)*100</f>
        <v/>
      </c>
      <c r="CG640" s="56">
        <f>($AN640-$AN641)*100</f>
        <v/>
      </c>
      <c r="CH640" s="56">
        <f>($AO640-$AO641)*100</f>
        <v/>
      </c>
      <c r="CI640" s="56">
        <f>($AP640-$AP641)*100</f>
        <v/>
      </c>
      <c r="CJ640" s="56">
        <f>($AQ640-$AQ641)*100</f>
        <v/>
      </c>
      <c r="CK640" s="56">
        <f>($AR640-$AR641)*100</f>
        <v/>
      </c>
      <c r="CL640" s="56">
        <f>($AS640-$AS641)*100</f>
        <v/>
      </c>
      <c r="CM640" s="56">
        <f>($AT640-$AT641)*100</f>
        <v/>
      </c>
      <c r="CN640" s="56">
        <f>($AU640-$AU641)*100</f>
        <v/>
      </c>
      <c r="CO640" s="56">
        <f>($AV640-$AV641)*100</f>
        <v/>
      </c>
      <c r="CP640" s="56">
        <f>($AW640-$AW641)*100</f>
        <v/>
      </c>
      <c r="CQ640" s="56">
        <f>($AX640-$AX641)*100</f>
        <v/>
      </c>
      <c r="CR640" s="56">
        <f>($AY640-$AY641)*100</f>
        <v/>
      </c>
      <c r="CS640" s="57">
        <f>IFERROR($L641/$L640-1,"")</f>
        <v/>
      </c>
      <c r="CT640" s="57">
        <f>IFERROR($M641/$M640-1,"")</f>
        <v/>
      </c>
      <c r="CU640" s="57">
        <f>IFERROR($N641/$N640-1,"")</f>
        <v/>
      </c>
      <c r="CV640" s="57">
        <f>IFERROR($O641/$O640-1,"")</f>
        <v/>
      </c>
      <c r="CW640" s="57">
        <f>IFERROR($P641/$P640-1,"")</f>
        <v/>
      </c>
      <c r="CX640" s="57">
        <f>IFERROR($Q641/$Q640-1,"")</f>
        <v/>
      </c>
      <c r="CY640" s="57">
        <f>IFERROR($R641/$R640-1,"")</f>
        <v/>
      </c>
      <c r="CZ640" s="57">
        <f>IFERROR($S641/$S640-1,"")</f>
        <v/>
      </c>
      <c r="DA640" s="57">
        <f>IFERROR($T641/$T640-1,"")</f>
        <v/>
      </c>
      <c r="DB640" s="57">
        <f>IFERROR($U641/$U640-1,"")</f>
        <v/>
      </c>
      <c r="DC640" s="57">
        <f>IFERROR($V641/$V640-1,"")</f>
        <v/>
      </c>
      <c r="DD640" s="57">
        <f>IFERROR($W641/$W640-1,"")</f>
        <v/>
      </c>
      <c r="DE640" s="57">
        <f>IFERROR($X641/$X640-1,"")</f>
        <v/>
      </c>
      <c r="DF640" s="57">
        <f>IFERROR($Y641/$Y640-1,"")</f>
        <v/>
      </c>
      <c r="DG640" s="57">
        <f>IFERROR($Z641/$Z640-1,"")</f>
        <v/>
      </c>
      <c r="DH640" s="57">
        <f>IFERROR($AA641/$AA640-1,"")</f>
        <v/>
      </c>
      <c r="DI640" s="57">
        <f>IFERROR($AB641/$AB640-1,"")</f>
        <v/>
      </c>
      <c r="DJ640" s="57">
        <f>IFERROR($AC641/$AC640-1,"")</f>
        <v/>
      </c>
      <c r="DK640" s="57">
        <f>IFERROR($AD641/$AD640-1,"")</f>
        <v/>
      </c>
      <c r="DL640" s="57">
        <f>IFERROR($AE641/$AE640-1,"")</f>
        <v/>
      </c>
      <c r="DM640" s="56">
        <f>$AZ640-$AZ641</f>
        <v/>
      </c>
      <c r="DN640" s="56">
        <f>$BA640-$BA641</f>
        <v/>
      </c>
      <c r="DO640" s="56">
        <f>$BB640-$BB641</f>
        <v/>
      </c>
      <c r="DP640" s="56">
        <f>$BC640-$BC641</f>
        <v/>
      </c>
      <c r="DQ640" s="56">
        <f>$BD640-$BD641</f>
        <v/>
      </c>
      <c r="DR640" s="56">
        <f>$BE640-$BE641</f>
        <v/>
      </c>
      <c r="DS640" s="56">
        <f>$BF640-$BF641</f>
        <v/>
      </c>
      <c r="DT640" s="56">
        <f>$BG640-$BG641</f>
        <v/>
      </c>
      <c r="DU640" s="56">
        <f>$BH640-$BH641</f>
        <v/>
      </c>
      <c r="DV640" s="56">
        <f>$BI640-$BI641</f>
        <v/>
      </c>
      <c r="DW640" s="56">
        <f>$BJ640-$BJ641</f>
        <v/>
      </c>
      <c r="DX640" s="56">
        <f>$BK640-$BK641</f>
        <v/>
      </c>
      <c r="DY640" s="56">
        <f>$BL640-$BL641</f>
        <v/>
      </c>
      <c r="DZ640" s="56">
        <f>$BM640-$BM641</f>
        <v/>
      </c>
      <c r="EA640" s="56">
        <f>$BN640-$BN641</f>
        <v/>
      </c>
      <c r="EB640" s="56">
        <f>$BO640-$BO641</f>
        <v/>
      </c>
      <c r="EC640" s="56">
        <f>$BP640-$BP641</f>
        <v/>
      </c>
      <c r="ED640" s="56">
        <f>$BQ640-$BQ641</f>
        <v/>
      </c>
      <c r="EE640" s="56">
        <f>$BR640-$BR641</f>
        <v/>
      </c>
      <c r="EF640" s="56">
        <f>$BS640-$BS641</f>
        <v/>
      </c>
      <c r="EG640" s="56">
        <f>$BT640-$BT641</f>
        <v/>
      </c>
      <c r="EH640" s="56">
        <f>$BU640-$BU641</f>
        <v/>
      </c>
    </row>
    <row r="641">
      <c r="BV641" s="56">
        <f>($D641-$D642)*100</f>
        <v/>
      </c>
      <c r="BW641" s="56">
        <f>($C641-$C642)*100</f>
        <v/>
      </c>
      <c r="BX641" s="57">
        <f>IFERROR($I641/$I642-1,"")</f>
        <v/>
      </c>
      <c r="BY641" s="56">
        <f>($AF641-$AF642)*100</f>
        <v/>
      </c>
      <c r="BZ641" s="56">
        <f>($AG641-$AG642)*100</f>
        <v/>
      </c>
      <c r="CA641" s="56">
        <f>($AH641-$AH642)*100</f>
        <v/>
      </c>
      <c r="CB641" s="56">
        <f>($AI641-$AI642)*100</f>
        <v/>
      </c>
      <c r="CC641" s="56">
        <f>($AJ641-$AJ642)*100</f>
        <v/>
      </c>
      <c r="CD641" s="56">
        <f>($AK641-$AK642)*100</f>
        <v/>
      </c>
      <c r="CE641" s="56">
        <f>($AL641-$AL642)*100</f>
        <v/>
      </c>
      <c r="CF641" s="56">
        <f>($AM641-$AM642)*100</f>
        <v/>
      </c>
      <c r="CG641" s="56">
        <f>($AN641-$AN642)*100</f>
        <v/>
      </c>
      <c r="CH641" s="56">
        <f>($AO641-$AO642)*100</f>
        <v/>
      </c>
      <c r="CI641" s="56">
        <f>($AP641-$AP642)*100</f>
        <v/>
      </c>
      <c r="CJ641" s="56">
        <f>($AQ641-$AQ642)*100</f>
        <v/>
      </c>
      <c r="CK641" s="56">
        <f>($AR641-$AR642)*100</f>
        <v/>
      </c>
      <c r="CL641" s="56">
        <f>($AS641-$AS642)*100</f>
        <v/>
      </c>
      <c r="CM641" s="56">
        <f>($AT641-$AT642)*100</f>
        <v/>
      </c>
      <c r="CN641" s="56">
        <f>($AU641-$AU642)*100</f>
        <v/>
      </c>
      <c r="CO641" s="56">
        <f>($AV641-$AV642)*100</f>
        <v/>
      </c>
      <c r="CP641" s="56">
        <f>($AW641-$AW642)*100</f>
        <v/>
      </c>
      <c r="CQ641" s="56">
        <f>($AX641-$AX642)*100</f>
        <v/>
      </c>
      <c r="CR641" s="56">
        <f>($AY641-$AY642)*100</f>
        <v/>
      </c>
      <c r="CS641" s="57">
        <f>IFERROR($L642/$L641-1,"")</f>
        <v/>
      </c>
      <c r="CT641" s="57">
        <f>IFERROR($M642/$M641-1,"")</f>
        <v/>
      </c>
      <c r="CU641" s="57">
        <f>IFERROR($N642/$N641-1,"")</f>
        <v/>
      </c>
      <c r="CV641" s="57">
        <f>IFERROR($O642/$O641-1,"")</f>
        <v/>
      </c>
      <c r="CW641" s="57">
        <f>IFERROR($P642/$P641-1,"")</f>
        <v/>
      </c>
      <c r="CX641" s="57">
        <f>IFERROR($Q642/$Q641-1,"")</f>
        <v/>
      </c>
      <c r="CY641" s="57">
        <f>IFERROR($R642/$R641-1,"")</f>
        <v/>
      </c>
      <c r="CZ641" s="57">
        <f>IFERROR($S642/$S641-1,"")</f>
        <v/>
      </c>
      <c r="DA641" s="57">
        <f>IFERROR($T642/$T641-1,"")</f>
        <v/>
      </c>
      <c r="DB641" s="57">
        <f>IFERROR($U642/$U641-1,"")</f>
        <v/>
      </c>
      <c r="DC641" s="57">
        <f>IFERROR($V642/$V641-1,"")</f>
        <v/>
      </c>
      <c r="DD641" s="57">
        <f>IFERROR($W642/$W641-1,"")</f>
        <v/>
      </c>
      <c r="DE641" s="57">
        <f>IFERROR($X642/$X641-1,"")</f>
        <v/>
      </c>
      <c r="DF641" s="57">
        <f>IFERROR($Y642/$Y641-1,"")</f>
        <v/>
      </c>
      <c r="DG641" s="57">
        <f>IFERROR($Z642/$Z641-1,"")</f>
        <v/>
      </c>
      <c r="DH641" s="57">
        <f>IFERROR($AA642/$AA641-1,"")</f>
        <v/>
      </c>
      <c r="DI641" s="57">
        <f>IFERROR($AB642/$AB641-1,"")</f>
        <v/>
      </c>
      <c r="DJ641" s="57">
        <f>IFERROR($AC642/$AC641-1,"")</f>
        <v/>
      </c>
      <c r="DK641" s="57">
        <f>IFERROR($AD642/$AD641-1,"")</f>
        <v/>
      </c>
      <c r="DL641" s="57">
        <f>IFERROR($AE642/$AE641-1,"")</f>
        <v/>
      </c>
      <c r="DM641" s="56">
        <f>$AZ641-$AZ642</f>
        <v/>
      </c>
      <c r="DN641" s="56">
        <f>$BA641-$BA642</f>
        <v/>
      </c>
      <c r="DO641" s="56">
        <f>$BB641-$BB642</f>
        <v/>
      </c>
      <c r="DP641" s="56">
        <f>$BC641-$BC642</f>
        <v/>
      </c>
      <c r="DQ641" s="56">
        <f>$BD641-$BD642</f>
        <v/>
      </c>
      <c r="DR641" s="56">
        <f>$BE641-$BE642</f>
        <v/>
      </c>
      <c r="DS641" s="56">
        <f>$BF641-$BF642</f>
        <v/>
      </c>
      <c r="DT641" s="56">
        <f>$BG641-$BG642</f>
        <v/>
      </c>
      <c r="DU641" s="56">
        <f>$BH641-$BH642</f>
        <v/>
      </c>
      <c r="DV641" s="56">
        <f>$BI641-$BI642</f>
        <v/>
      </c>
      <c r="DW641" s="56">
        <f>$BJ641-$BJ642</f>
        <v/>
      </c>
      <c r="DX641" s="56">
        <f>$BK641-$BK642</f>
        <v/>
      </c>
      <c r="DY641" s="56">
        <f>$BL641-$BL642</f>
        <v/>
      </c>
      <c r="DZ641" s="56">
        <f>$BM641-$BM642</f>
        <v/>
      </c>
      <c r="EA641" s="56">
        <f>$BN641-$BN642</f>
        <v/>
      </c>
      <c r="EB641" s="56">
        <f>$BO641-$BO642</f>
        <v/>
      </c>
      <c r="EC641" s="56">
        <f>$BP641-$BP642</f>
        <v/>
      </c>
      <c r="ED641" s="56">
        <f>$BQ641-$BQ642</f>
        <v/>
      </c>
      <c r="EE641" s="56">
        <f>$BR641-$BR642</f>
        <v/>
      </c>
      <c r="EF641" s="56">
        <f>$BS641-$BS642</f>
        <v/>
      </c>
      <c r="EG641" s="56">
        <f>$BT641-$BT642</f>
        <v/>
      </c>
      <c r="EH641" s="56">
        <f>$BU641-$BU642</f>
        <v/>
      </c>
    </row>
    <row r="642">
      <c r="BV642" s="56">
        <f>($D642-$D643)*100</f>
        <v/>
      </c>
      <c r="BW642" s="56">
        <f>($C642-$C643)*100</f>
        <v/>
      </c>
      <c r="BX642" s="57">
        <f>IFERROR($I642/$I643-1,"")</f>
        <v/>
      </c>
      <c r="BY642" s="56">
        <f>($AF642-$AF643)*100</f>
        <v/>
      </c>
      <c r="BZ642" s="56">
        <f>($AG642-$AG643)*100</f>
        <v/>
      </c>
      <c r="CA642" s="56">
        <f>($AH642-$AH643)*100</f>
        <v/>
      </c>
      <c r="CB642" s="56">
        <f>($AI642-$AI643)*100</f>
        <v/>
      </c>
      <c r="CC642" s="56">
        <f>($AJ642-$AJ643)*100</f>
        <v/>
      </c>
      <c r="CD642" s="56">
        <f>($AK642-$AK643)*100</f>
        <v/>
      </c>
      <c r="CE642" s="56">
        <f>($AL642-$AL643)*100</f>
        <v/>
      </c>
      <c r="CF642" s="56">
        <f>($AM642-$AM643)*100</f>
        <v/>
      </c>
      <c r="CG642" s="56">
        <f>($AN642-$AN643)*100</f>
        <v/>
      </c>
      <c r="CH642" s="56">
        <f>($AO642-$AO643)*100</f>
        <v/>
      </c>
      <c r="CI642" s="56">
        <f>($AP642-$AP643)*100</f>
        <v/>
      </c>
      <c r="CJ642" s="56">
        <f>($AQ642-$AQ643)*100</f>
        <v/>
      </c>
      <c r="CK642" s="56">
        <f>($AR642-$AR643)*100</f>
        <v/>
      </c>
      <c r="CL642" s="56">
        <f>($AS642-$AS643)*100</f>
        <v/>
      </c>
      <c r="CM642" s="56">
        <f>($AT642-$AT643)*100</f>
        <v/>
      </c>
      <c r="CN642" s="56">
        <f>($AU642-$AU643)*100</f>
        <v/>
      </c>
      <c r="CO642" s="56">
        <f>($AV642-$AV643)*100</f>
        <v/>
      </c>
      <c r="CP642" s="56">
        <f>($AW642-$AW643)*100</f>
        <v/>
      </c>
      <c r="CQ642" s="56">
        <f>($AX642-$AX643)*100</f>
        <v/>
      </c>
      <c r="CR642" s="56">
        <f>($AY642-$AY643)*100</f>
        <v/>
      </c>
      <c r="CS642" s="57">
        <f>IFERROR($L643/$L642-1,"")</f>
        <v/>
      </c>
      <c r="CT642" s="57">
        <f>IFERROR($M643/$M642-1,"")</f>
        <v/>
      </c>
      <c r="CU642" s="57">
        <f>IFERROR($N643/$N642-1,"")</f>
        <v/>
      </c>
      <c r="CV642" s="57">
        <f>IFERROR($O643/$O642-1,"")</f>
        <v/>
      </c>
      <c r="CW642" s="57">
        <f>IFERROR($P643/$P642-1,"")</f>
        <v/>
      </c>
      <c r="CX642" s="57">
        <f>IFERROR($Q643/$Q642-1,"")</f>
        <v/>
      </c>
      <c r="CY642" s="57">
        <f>IFERROR($R643/$R642-1,"")</f>
        <v/>
      </c>
      <c r="CZ642" s="57">
        <f>IFERROR($S643/$S642-1,"")</f>
        <v/>
      </c>
      <c r="DA642" s="57">
        <f>IFERROR($T643/$T642-1,"")</f>
        <v/>
      </c>
      <c r="DB642" s="57">
        <f>IFERROR($U643/$U642-1,"")</f>
        <v/>
      </c>
      <c r="DC642" s="57">
        <f>IFERROR($V643/$V642-1,"")</f>
        <v/>
      </c>
      <c r="DD642" s="57">
        <f>IFERROR($W643/$W642-1,"")</f>
        <v/>
      </c>
      <c r="DE642" s="57">
        <f>IFERROR($X643/$X642-1,"")</f>
        <v/>
      </c>
      <c r="DF642" s="57">
        <f>IFERROR($Y643/$Y642-1,"")</f>
        <v/>
      </c>
      <c r="DG642" s="57">
        <f>IFERROR($Z643/$Z642-1,"")</f>
        <v/>
      </c>
      <c r="DH642" s="57">
        <f>IFERROR($AA643/$AA642-1,"")</f>
        <v/>
      </c>
      <c r="DI642" s="57">
        <f>IFERROR($AB643/$AB642-1,"")</f>
        <v/>
      </c>
      <c r="DJ642" s="57">
        <f>IFERROR($AC643/$AC642-1,"")</f>
        <v/>
      </c>
      <c r="DK642" s="57">
        <f>IFERROR($AD643/$AD642-1,"")</f>
        <v/>
      </c>
      <c r="DL642" s="57">
        <f>IFERROR($AE643/$AE642-1,"")</f>
        <v/>
      </c>
      <c r="DM642" s="56">
        <f>$AZ642-$AZ643</f>
        <v/>
      </c>
      <c r="DN642" s="56">
        <f>$BA642-$BA643</f>
        <v/>
      </c>
      <c r="DO642" s="56">
        <f>$BB642-$BB643</f>
        <v/>
      </c>
      <c r="DP642" s="56">
        <f>$BC642-$BC643</f>
        <v/>
      </c>
      <c r="DQ642" s="56">
        <f>$BD642-$BD643</f>
        <v/>
      </c>
      <c r="DR642" s="56">
        <f>$BE642-$BE643</f>
        <v/>
      </c>
      <c r="DS642" s="56">
        <f>$BF642-$BF643</f>
        <v/>
      </c>
      <c r="DT642" s="56">
        <f>$BG642-$BG643</f>
        <v/>
      </c>
      <c r="DU642" s="56">
        <f>$BH642-$BH643</f>
        <v/>
      </c>
      <c r="DV642" s="56">
        <f>$BI642-$BI643</f>
        <v/>
      </c>
      <c r="DW642" s="56">
        <f>$BJ642-$BJ643</f>
        <v/>
      </c>
      <c r="DX642" s="56">
        <f>$BK642-$BK643</f>
        <v/>
      </c>
      <c r="DY642" s="56">
        <f>$BL642-$BL643</f>
        <v/>
      </c>
      <c r="DZ642" s="56">
        <f>$BM642-$BM643</f>
        <v/>
      </c>
      <c r="EA642" s="56">
        <f>$BN642-$BN643</f>
        <v/>
      </c>
      <c r="EB642" s="56">
        <f>$BO642-$BO643</f>
        <v/>
      </c>
      <c r="EC642" s="56">
        <f>$BP642-$BP643</f>
        <v/>
      </c>
      <c r="ED642" s="56">
        <f>$BQ642-$BQ643</f>
        <v/>
      </c>
      <c r="EE642" s="56">
        <f>$BR642-$BR643</f>
        <v/>
      </c>
      <c r="EF642" s="56">
        <f>$BS642-$BS643</f>
        <v/>
      </c>
      <c r="EG642" s="56">
        <f>$BT642-$BT643</f>
        <v/>
      </c>
      <c r="EH642" s="56">
        <f>$BU642-$BU643</f>
        <v/>
      </c>
    </row>
    <row r="643">
      <c r="BV643" s="56">
        <f>($D643-$D644)*100</f>
        <v/>
      </c>
      <c r="BW643" s="56">
        <f>($C643-$C644)*100</f>
        <v/>
      </c>
      <c r="BX643" s="57">
        <f>IFERROR($I643/$I644-1,"")</f>
        <v/>
      </c>
      <c r="BY643" s="56">
        <f>($AF643-$AF644)*100</f>
        <v/>
      </c>
      <c r="BZ643" s="56">
        <f>($AG643-$AG644)*100</f>
        <v/>
      </c>
      <c r="CA643" s="56">
        <f>($AH643-$AH644)*100</f>
        <v/>
      </c>
      <c r="CB643" s="56">
        <f>($AI643-$AI644)*100</f>
        <v/>
      </c>
      <c r="CC643" s="56">
        <f>($AJ643-$AJ644)*100</f>
        <v/>
      </c>
      <c r="CD643" s="56">
        <f>($AK643-$AK644)*100</f>
        <v/>
      </c>
      <c r="CE643" s="56">
        <f>($AL643-$AL644)*100</f>
        <v/>
      </c>
      <c r="CF643" s="56">
        <f>($AM643-$AM644)*100</f>
        <v/>
      </c>
      <c r="CG643" s="56">
        <f>($AN643-$AN644)*100</f>
        <v/>
      </c>
      <c r="CH643" s="56">
        <f>($AO643-$AO644)*100</f>
        <v/>
      </c>
      <c r="CI643" s="56">
        <f>($AP643-$AP644)*100</f>
        <v/>
      </c>
      <c r="CJ643" s="56">
        <f>($AQ643-$AQ644)*100</f>
        <v/>
      </c>
      <c r="CK643" s="56">
        <f>($AR643-$AR644)*100</f>
        <v/>
      </c>
      <c r="CL643" s="56">
        <f>($AS643-$AS644)*100</f>
        <v/>
      </c>
      <c r="CM643" s="56">
        <f>($AT643-$AT644)*100</f>
        <v/>
      </c>
      <c r="CN643" s="56">
        <f>($AU643-$AU644)*100</f>
        <v/>
      </c>
      <c r="CO643" s="56">
        <f>($AV643-$AV644)*100</f>
        <v/>
      </c>
      <c r="CP643" s="56">
        <f>($AW643-$AW644)*100</f>
        <v/>
      </c>
      <c r="CQ643" s="56">
        <f>($AX643-$AX644)*100</f>
        <v/>
      </c>
      <c r="CR643" s="56">
        <f>($AY643-$AY644)*100</f>
        <v/>
      </c>
      <c r="CS643" s="57">
        <f>IFERROR($L644/$L643-1,"")</f>
        <v/>
      </c>
      <c r="CT643" s="57">
        <f>IFERROR($M644/$M643-1,"")</f>
        <v/>
      </c>
      <c r="CU643" s="57">
        <f>IFERROR($N644/$N643-1,"")</f>
        <v/>
      </c>
      <c r="CV643" s="57">
        <f>IFERROR($O644/$O643-1,"")</f>
        <v/>
      </c>
      <c r="CW643" s="57">
        <f>IFERROR($P644/$P643-1,"")</f>
        <v/>
      </c>
      <c r="CX643" s="57">
        <f>IFERROR($Q644/$Q643-1,"")</f>
        <v/>
      </c>
      <c r="CY643" s="57">
        <f>IFERROR($R644/$R643-1,"")</f>
        <v/>
      </c>
      <c r="CZ643" s="57">
        <f>IFERROR($S644/$S643-1,"")</f>
        <v/>
      </c>
      <c r="DA643" s="57">
        <f>IFERROR($T644/$T643-1,"")</f>
        <v/>
      </c>
      <c r="DB643" s="57">
        <f>IFERROR($U644/$U643-1,"")</f>
        <v/>
      </c>
      <c r="DC643" s="57">
        <f>IFERROR($V644/$V643-1,"")</f>
        <v/>
      </c>
      <c r="DD643" s="57">
        <f>IFERROR($W644/$W643-1,"")</f>
        <v/>
      </c>
      <c r="DE643" s="57">
        <f>IFERROR($X644/$X643-1,"")</f>
        <v/>
      </c>
      <c r="DF643" s="57">
        <f>IFERROR($Y644/$Y643-1,"")</f>
        <v/>
      </c>
      <c r="DG643" s="57">
        <f>IFERROR($Z644/$Z643-1,"")</f>
        <v/>
      </c>
      <c r="DH643" s="57">
        <f>IFERROR($AA644/$AA643-1,"")</f>
        <v/>
      </c>
      <c r="DI643" s="57">
        <f>IFERROR($AB644/$AB643-1,"")</f>
        <v/>
      </c>
      <c r="DJ643" s="57">
        <f>IFERROR($AC644/$AC643-1,"")</f>
        <v/>
      </c>
      <c r="DK643" s="57">
        <f>IFERROR($AD644/$AD643-1,"")</f>
        <v/>
      </c>
      <c r="DL643" s="57">
        <f>IFERROR($AE644/$AE643-1,"")</f>
        <v/>
      </c>
      <c r="DM643" s="56">
        <f>$AZ643-$AZ644</f>
        <v/>
      </c>
      <c r="DN643" s="56">
        <f>$BA643-$BA644</f>
        <v/>
      </c>
      <c r="DO643" s="56">
        <f>$BB643-$BB644</f>
        <v/>
      </c>
      <c r="DP643" s="56">
        <f>$BC643-$BC644</f>
        <v/>
      </c>
      <c r="DQ643" s="56">
        <f>$BD643-$BD644</f>
        <v/>
      </c>
      <c r="DR643" s="56">
        <f>$BE643-$BE644</f>
        <v/>
      </c>
      <c r="DS643" s="56">
        <f>$BF643-$BF644</f>
        <v/>
      </c>
      <c r="DT643" s="56">
        <f>$BG643-$BG644</f>
        <v/>
      </c>
      <c r="DU643" s="56">
        <f>$BH643-$BH644</f>
        <v/>
      </c>
      <c r="DV643" s="56">
        <f>$BI643-$BI644</f>
        <v/>
      </c>
      <c r="DW643" s="56">
        <f>$BJ643-$BJ644</f>
        <v/>
      </c>
      <c r="DX643" s="56">
        <f>$BK643-$BK644</f>
        <v/>
      </c>
      <c r="DY643" s="56">
        <f>$BL643-$BL644</f>
        <v/>
      </c>
      <c r="DZ643" s="56">
        <f>$BM643-$BM644</f>
        <v/>
      </c>
      <c r="EA643" s="56">
        <f>$BN643-$BN644</f>
        <v/>
      </c>
      <c r="EB643" s="56">
        <f>$BO643-$BO644</f>
        <v/>
      </c>
      <c r="EC643" s="56">
        <f>$BP643-$BP644</f>
        <v/>
      </c>
      <c r="ED643" s="56">
        <f>$BQ643-$BQ644</f>
        <v/>
      </c>
      <c r="EE643" s="56">
        <f>$BR643-$BR644</f>
        <v/>
      </c>
      <c r="EF643" s="56">
        <f>$BS643-$BS644</f>
        <v/>
      </c>
      <c r="EG643" s="56">
        <f>$BT643-$BT644</f>
        <v/>
      </c>
      <c r="EH643" s="56">
        <f>$BU643-$BU644</f>
        <v/>
      </c>
    </row>
    <row r="644">
      <c r="BV644" s="56">
        <f>($D644-$D645)*100</f>
        <v/>
      </c>
      <c r="BW644" s="56">
        <f>($C644-$C645)*100</f>
        <v/>
      </c>
      <c r="BX644" s="57">
        <f>IFERROR($I644/$I645-1,"")</f>
        <v/>
      </c>
      <c r="BY644" s="56">
        <f>($AF644-$AF645)*100</f>
        <v/>
      </c>
      <c r="BZ644" s="56">
        <f>($AG644-$AG645)*100</f>
        <v/>
      </c>
      <c r="CA644" s="56">
        <f>($AH644-$AH645)*100</f>
        <v/>
      </c>
      <c r="CB644" s="56">
        <f>($AI644-$AI645)*100</f>
        <v/>
      </c>
      <c r="CC644" s="56">
        <f>($AJ644-$AJ645)*100</f>
        <v/>
      </c>
      <c r="CD644" s="56">
        <f>($AK644-$AK645)*100</f>
        <v/>
      </c>
      <c r="CE644" s="56">
        <f>($AL644-$AL645)*100</f>
        <v/>
      </c>
      <c r="CF644" s="56">
        <f>($AM644-$AM645)*100</f>
        <v/>
      </c>
      <c r="CG644" s="56">
        <f>($AN644-$AN645)*100</f>
        <v/>
      </c>
      <c r="CH644" s="56">
        <f>($AO644-$AO645)*100</f>
        <v/>
      </c>
      <c r="CI644" s="56">
        <f>($AP644-$AP645)*100</f>
        <v/>
      </c>
      <c r="CJ644" s="56">
        <f>($AQ644-$AQ645)*100</f>
        <v/>
      </c>
      <c r="CK644" s="56">
        <f>($AR644-$AR645)*100</f>
        <v/>
      </c>
      <c r="CL644" s="56">
        <f>($AS644-$AS645)*100</f>
        <v/>
      </c>
      <c r="CM644" s="56">
        <f>($AT644-$AT645)*100</f>
        <v/>
      </c>
      <c r="CN644" s="56">
        <f>($AU644-$AU645)*100</f>
        <v/>
      </c>
      <c r="CO644" s="56">
        <f>($AV644-$AV645)*100</f>
        <v/>
      </c>
      <c r="CP644" s="56">
        <f>($AW644-$AW645)*100</f>
        <v/>
      </c>
      <c r="CQ644" s="56">
        <f>($AX644-$AX645)*100</f>
        <v/>
      </c>
      <c r="CR644" s="56">
        <f>($AY644-$AY645)*100</f>
        <v/>
      </c>
      <c r="CS644" s="57">
        <f>IFERROR($L645/$L644-1,"")</f>
        <v/>
      </c>
      <c r="CT644" s="57">
        <f>IFERROR($M645/$M644-1,"")</f>
        <v/>
      </c>
      <c r="CU644" s="57">
        <f>IFERROR($N645/$N644-1,"")</f>
        <v/>
      </c>
      <c r="CV644" s="57">
        <f>IFERROR($O645/$O644-1,"")</f>
        <v/>
      </c>
      <c r="CW644" s="57">
        <f>IFERROR($P645/$P644-1,"")</f>
        <v/>
      </c>
      <c r="CX644" s="57">
        <f>IFERROR($Q645/$Q644-1,"")</f>
        <v/>
      </c>
      <c r="CY644" s="57">
        <f>IFERROR($R645/$R644-1,"")</f>
        <v/>
      </c>
      <c r="CZ644" s="57">
        <f>IFERROR($S645/$S644-1,"")</f>
        <v/>
      </c>
      <c r="DA644" s="57">
        <f>IFERROR($T645/$T644-1,"")</f>
        <v/>
      </c>
      <c r="DB644" s="57">
        <f>IFERROR($U645/$U644-1,"")</f>
        <v/>
      </c>
      <c r="DC644" s="57">
        <f>IFERROR($V645/$V644-1,"")</f>
        <v/>
      </c>
      <c r="DD644" s="57">
        <f>IFERROR($W645/$W644-1,"")</f>
        <v/>
      </c>
      <c r="DE644" s="57">
        <f>IFERROR($X645/$X644-1,"")</f>
        <v/>
      </c>
      <c r="DF644" s="57">
        <f>IFERROR($Y645/$Y644-1,"")</f>
        <v/>
      </c>
      <c r="DG644" s="57">
        <f>IFERROR($Z645/$Z644-1,"")</f>
        <v/>
      </c>
      <c r="DH644" s="57">
        <f>IFERROR($AA645/$AA644-1,"")</f>
        <v/>
      </c>
      <c r="DI644" s="57">
        <f>IFERROR($AB645/$AB644-1,"")</f>
        <v/>
      </c>
      <c r="DJ644" s="57">
        <f>IFERROR($AC645/$AC644-1,"")</f>
        <v/>
      </c>
      <c r="DK644" s="57">
        <f>IFERROR($AD645/$AD644-1,"")</f>
        <v/>
      </c>
      <c r="DL644" s="57">
        <f>IFERROR($AE645/$AE644-1,"")</f>
        <v/>
      </c>
      <c r="DM644" s="56">
        <f>$AZ644-$AZ645</f>
        <v/>
      </c>
      <c r="DN644" s="56">
        <f>$BA644-$BA645</f>
        <v/>
      </c>
      <c r="DO644" s="56">
        <f>$BB644-$BB645</f>
        <v/>
      </c>
      <c r="DP644" s="56">
        <f>$BC644-$BC645</f>
        <v/>
      </c>
      <c r="DQ644" s="56">
        <f>$BD644-$BD645</f>
        <v/>
      </c>
      <c r="DR644" s="56">
        <f>$BE644-$BE645</f>
        <v/>
      </c>
      <c r="DS644" s="56">
        <f>$BF644-$BF645</f>
        <v/>
      </c>
      <c r="DT644" s="56">
        <f>$BG644-$BG645</f>
        <v/>
      </c>
      <c r="DU644" s="56">
        <f>$BH644-$BH645</f>
        <v/>
      </c>
      <c r="DV644" s="56">
        <f>$BI644-$BI645</f>
        <v/>
      </c>
      <c r="DW644" s="56">
        <f>$BJ644-$BJ645</f>
        <v/>
      </c>
      <c r="DX644" s="56">
        <f>$BK644-$BK645</f>
        <v/>
      </c>
      <c r="DY644" s="56">
        <f>$BL644-$BL645</f>
        <v/>
      </c>
      <c r="DZ644" s="56">
        <f>$BM644-$BM645</f>
        <v/>
      </c>
      <c r="EA644" s="56">
        <f>$BN644-$BN645</f>
        <v/>
      </c>
      <c r="EB644" s="56">
        <f>$BO644-$BO645</f>
        <v/>
      </c>
      <c r="EC644" s="56">
        <f>$BP644-$BP645</f>
        <v/>
      </c>
      <c r="ED644" s="56">
        <f>$BQ644-$BQ645</f>
        <v/>
      </c>
      <c r="EE644" s="56">
        <f>$BR644-$BR645</f>
        <v/>
      </c>
      <c r="EF644" s="56">
        <f>$BS644-$BS645</f>
        <v/>
      </c>
      <c r="EG644" s="56">
        <f>$BT644-$BT645</f>
        <v/>
      </c>
      <c r="EH644" s="56">
        <f>$BU644-$BU645</f>
        <v/>
      </c>
    </row>
    <row r="645">
      <c r="BV645" s="56">
        <f>($D645-$D646)*100</f>
        <v/>
      </c>
      <c r="BW645" s="56">
        <f>($C645-$C646)*100</f>
        <v/>
      </c>
      <c r="BX645" s="57">
        <f>IFERROR($I645/$I646-1,"")</f>
        <v/>
      </c>
      <c r="BY645" s="56">
        <f>($AF645-$AF646)*100</f>
        <v/>
      </c>
      <c r="BZ645" s="56">
        <f>($AG645-$AG646)*100</f>
        <v/>
      </c>
      <c r="CA645" s="56">
        <f>($AH645-$AH646)*100</f>
        <v/>
      </c>
      <c r="CB645" s="56">
        <f>($AI645-$AI646)*100</f>
        <v/>
      </c>
      <c r="CC645" s="56">
        <f>($AJ645-$AJ646)*100</f>
        <v/>
      </c>
      <c r="CD645" s="56">
        <f>($AK645-$AK646)*100</f>
        <v/>
      </c>
      <c r="CE645" s="56">
        <f>($AL645-$AL646)*100</f>
        <v/>
      </c>
      <c r="CF645" s="56">
        <f>($AM645-$AM646)*100</f>
        <v/>
      </c>
      <c r="CG645" s="56">
        <f>($AN645-$AN646)*100</f>
        <v/>
      </c>
      <c r="CH645" s="56">
        <f>($AO645-$AO646)*100</f>
        <v/>
      </c>
      <c r="CI645" s="56">
        <f>($AP645-$AP646)*100</f>
        <v/>
      </c>
      <c r="CJ645" s="56">
        <f>($AQ645-$AQ646)*100</f>
        <v/>
      </c>
      <c r="CK645" s="56">
        <f>($AR645-$AR646)*100</f>
        <v/>
      </c>
      <c r="CL645" s="56">
        <f>($AS645-$AS646)*100</f>
        <v/>
      </c>
      <c r="CM645" s="56">
        <f>($AT645-$AT646)*100</f>
        <v/>
      </c>
      <c r="CN645" s="56">
        <f>($AU645-$AU646)*100</f>
        <v/>
      </c>
      <c r="CO645" s="56">
        <f>($AV645-$AV646)*100</f>
        <v/>
      </c>
      <c r="CP645" s="56">
        <f>($AW645-$AW646)*100</f>
        <v/>
      </c>
      <c r="CQ645" s="56">
        <f>($AX645-$AX646)*100</f>
        <v/>
      </c>
      <c r="CR645" s="56">
        <f>($AY645-$AY646)*100</f>
        <v/>
      </c>
      <c r="CS645" s="57">
        <f>IFERROR($L646/$L645-1,"")</f>
        <v/>
      </c>
      <c r="CT645" s="57">
        <f>IFERROR($M646/$M645-1,"")</f>
        <v/>
      </c>
      <c r="CU645" s="57">
        <f>IFERROR($N646/$N645-1,"")</f>
        <v/>
      </c>
      <c r="CV645" s="57">
        <f>IFERROR($O646/$O645-1,"")</f>
        <v/>
      </c>
      <c r="CW645" s="57">
        <f>IFERROR($P646/$P645-1,"")</f>
        <v/>
      </c>
      <c r="CX645" s="57">
        <f>IFERROR($Q646/$Q645-1,"")</f>
        <v/>
      </c>
      <c r="CY645" s="57">
        <f>IFERROR($R646/$R645-1,"")</f>
        <v/>
      </c>
      <c r="CZ645" s="57">
        <f>IFERROR($S646/$S645-1,"")</f>
        <v/>
      </c>
      <c r="DA645" s="57">
        <f>IFERROR($T646/$T645-1,"")</f>
        <v/>
      </c>
      <c r="DB645" s="57">
        <f>IFERROR($U646/$U645-1,"")</f>
        <v/>
      </c>
      <c r="DC645" s="57">
        <f>IFERROR($V646/$V645-1,"")</f>
        <v/>
      </c>
      <c r="DD645" s="57">
        <f>IFERROR($W646/$W645-1,"")</f>
        <v/>
      </c>
      <c r="DE645" s="57">
        <f>IFERROR($X646/$X645-1,"")</f>
        <v/>
      </c>
      <c r="DF645" s="57">
        <f>IFERROR($Y646/$Y645-1,"")</f>
        <v/>
      </c>
      <c r="DG645" s="57">
        <f>IFERROR($Z646/$Z645-1,"")</f>
        <v/>
      </c>
      <c r="DH645" s="57">
        <f>IFERROR($AA646/$AA645-1,"")</f>
        <v/>
      </c>
      <c r="DI645" s="57">
        <f>IFERROR($AB646/$AB645-1,"")</f>
        <v/>
      </c>
      <c r="DJ645" s="57">
        <f>IFERROR($AC646/$AC645-1,"")</f>
        <v/>
      </c>
      <c r="DK645" s="57">
        <f>IFERROR($AD646/$AD645-1,"")</f>
        <v/>
      </c>
      <c r="DL645" s="57">
        <f>IFERROR($AE646/$AE645-1,"")</f>
        <v/>
      </c>
      <c r="DM645" s="56">
        <f>$AZ645-$AZ646</f>
        <v/>
      </c>
      <c r="DN645" s="56">
        <f>$BA645-$BA646</f>
        <v/>
      </c>
      <c r="DO645" s="56">
        <f>$BB645-$BB646</f>
        <v/>
      </c>
      <c r="DP645" s="56">
        <f>$BC645-$BC646</f>
        <v/>
      </c>
      <c r="DQ645" s="56">
        <f>$BD645-$BD646</f>
        <v/>
      </c>
      <c r="DR645" s="56">
        <f>$BE645-$BE646</f>
        <v/>
      </c>
      <c r="DS645" s="56">
        <f>$BF645-$BF646</f>
        <v/>
      </c>
      <c r="DT645" s="56">
        <f>$BG645-$BG646</f>
        <v/>
      </c>
      <c r="DU645" s="56">
        <f>$BH645-$BH646</f>
        <v/>
      </c>
      <c r="DV645" s="56">
        <f>$BI645-$BI646</f>
        <v/>
      </c>
      <c r="DW645" s="56">
        <f>$BJ645-$BJ646</f>
        <v/>
      </c>
      <c r="DX645" s="56">
        <f>$BK645-$BK646</f>
        <v/>
      </c>
      <c r="DY645" s="56">
        <f>$BL645-$BL646</f>
        <v/>
      </c>
      <c r="DZ645" s="56">
        <f>$BM645-$BM646</f>
        <v/>
      </c>
      <c r="EA645" s="56">
        <f>$BN645-$BN646</f>
        <v/>
      </c>
      <c r="EB645" s="56">
        <f>$BO645-$BO646</f>
        <v/>
      </c>
      <c r="EC645" s="56">
        <f>$BP645-$BP646</f>
        <v/>
      </c>
      <c r="ED645" s="56">
        <f>$BQ645-$BQ646</f>
        <v/>
      </c>
      <c r="EE645" s="56">
        <f>$BR645-$BR646</f>
        <v/>
      </c>
      <c r="EF645" s="56">
        <f>$BS645-$BS646</f>
        <v/>
      </c>
      <c r="EG645" s="56">
        <f>$BT645-$BT646</f>
        <v/>
      </c>
      <c r="EH645" s="56">
        <f>$BU645-$BU646</f>
        <v/>
      </c>
    </row>
    <row r="646">
      <c r="BV646" s="56">
        <f>($D646-$D647)*100</f>
        <v/>
      </c>
      <c r="BW646" s="56">
        <f>($C646-$C647)*100</f>
        <v/>
      </c>
      <c r="BX646" s="57">
        <f>IFERROR($I646/$I647-1,"")</f>
        <v/>
      </c>
      <c r="BY646" s="56">
        <f>($AF646-$AF647)*100</f>
        <v/>
      </c>
      <c r="BZ646" s="56">
        <f>($AG646-$AG647)*100</f>
        <v/>
      </c>
      <c r="CA646" s="56">
        <f>($AH646-$AH647)*100</f>
        <v/>
      </c>
      <c r="CB646" s="56">
        <f>($AI646-$AI647)*100</f>
        <v/>
      </c>
      <c r="CC646" s="56">
        <f>($AJ646-$AJ647)*100</f>
        <v/>
      </c>
      <c r="CD646" s="56">
        <f>($AK646-$AK647)*100</f>
        <v/>
      </c>
      <c r="CE646" s="56">
        <f>($AL646-$AL647)*100</f>
        <v/>
      </c>
      <c r="CF646" s="56">
        <f>($AM646-$AM647)*100</f>
        <v/>
      </c>
      <c r="CG646" s="56">
        <f>($AN646-$AN647)*100</f>
        <v/>
      </c>
      <c r="CH646" s="56">
        <f>($AO646-$AO647)*100</f>
        <v/>
      </c>
      <c r="CI646" s="56">
        <f>($AP646-$AP647)*100</f>
        <v/>
      </c>
      <c r="CJ646" s="56">
        <f>($AQ646-$AQ647)*100</f>
        <v/>
      </c>
      <c r="CK646" s="56">
        <f>($AR646-$AR647)*100</f>
        <v/>
      </c>
      <c r="CL646" s="56">
        <f>($AS646-$AS647)*100</f>
        <v/>
      </c>
      <c r="CM646" s="56">
        <f>($AT646-$AT647)*100</f>
        <v/>
      </c>
      <c r="CN646" s="56">
        <f>($AU646-$AU647)*100</f>
        <v/>
      </c>
      <c r="CO646" s="56">
        <f>($AV646-$AV647)*100</f>
        <v/>
      </c>
      <c r="CP646" s="56">
        <f>($AW646-$AW647)*100</f>
        <v/>
      </c>
      <c r="CQ646" s="56">
        <f>($AX646-$AX647)*100</f>
        <v/>
      </c>
      <c r="CR646" s="56">
        <f>($AY646-$AY647)*100</f>
        <v/>
      </c>
      <c r="CS646" s="57">
        <f>IFERROR($L647/$L646-1,"")</f>
        <v/>
      </c>
      <c r="CT646" s="57">
        <f>IFERROR($M647/$M646-1,"")</f>
        <v/>
      </c>
      <c r="CU646" s="57">
        <f>IFERROR($N647/$N646-1,"")</f>
        <v/>
      </c>
      <c r="CV646" s="57">
        <f>IFERROR($O647/$O646-1,"")</f>
        <v/>
      </c>
      <c r="CW646" s="57">
        <f>IFERROR($P647/$P646-1,"")</f>
        <v/>
      </c>
      <c r="CX646" s="57">
        <f>IFERROR($Q647/$Q646-1,"")</f>
        <v/>
      </c>
      <c r="CY646" s="57">
        <f>IFERROR($R647/$R646-1,"")</f>
        <v/>
      </c>
      <c r="CZ646" s="57">
        <f>IFERROR($S647/$S646-1,"")</f>
        <v/>
      </c>
      <c r="DA646" s="57">
        <f>IFERROR($T647/$T646-1,"")</f>
        <v/>
      </c>
      <c r="DB646" s="57">
        <f>IFERROR($U647/$U646-1,"")</f>
        <v/>
      </c>
      <c r="DC646" s="57">
        <f>IFERROR($V647/$V646-1,"")</f>
        <v/>
      </c>
      <c r="DD646" s="57">
        <f>IFERROR($W647/$W646-1,"")</f>
        <v/>
      </c>
      <c r="DE646" s="57">
        <f>IFERROR($X647/$X646-1,"")</f>
        <v/>
      </c>
      <c r="DF646" s="57">
        <f>IFERROR($Y647/$Y646-1,"")</f>
        <v/>
      </c>
      <c r="DG646" s="57">
        <f>IFERROR($Z647/$Z646-1,"")</f>
        <v/>
      </c>
      <c r="DH646" s="57">
        <f>IFERROR($AA647/$AA646-1,"")</f>
        <v/>
      </c>
      <c r="DI646" s="57">
        <f>IFERROR($AB647/$AB646-1,"")</f>
        <v/>
      </c>
      <c r="DJ646" s="57">
        <f>IFERROR($AC647/$AC646-1,"")</f>
        <v/>
      </c>
      <c r="DK646" s="57">
        <f>IFERROR($AD647/$AD646-1,"")</f>
        <v/>
      </c>
      <c r="DL646" s="57">
        <f>IFERROR($AE647/$AE646-1,"")</f>
        <v/>
      </c>
      <c r="DM646" s="56">
        <f>$AZ646-$AZ647</f>
        <v/>
      </c>
      <c r="DN646" s="56">
        <f>$BA646-$BA647</f>
        <v/>
      </c>
      <c r="DO646" s="56">
        <f>$BB646-$BB647</f>
        <v/>
      </c>
      <c r="DP646" s="56">
        <f>$BC646-$BC647</f>
        <v/>
      </c>
      <c r="DQ646" s="56">
        <f>$BD646-$BD647</f>
        <v/>
      </c>
      <c r="DR646" s="56">
        <f>$BE646-$BE647</f>
        <v/>
      </c>
      <c r="DS646" s="56">
        <f>$BF646-$BF647</f>
        <v/>
      </c>
      <c r="DT646" s="56">
        <f>$BG646-$BG647</f>
        <v/>
      </c>
      <c r="DU646" s="56">
        <f>$BH646-$BH647</f>
        <v/>
      </c>
      <c r="DV646" s="56">
        <f>$BI646-$BI647</f>
        <v/>
      </c>
      <c r="DW646" s="56">
        <f>$BJ646-$BJ647</f>
        <v/>
      </c>
      <c r="DX646" s="56">
        <f>$BK646-$BK647</f>
        <v/>
      </c>
      <c r="DY646" s="56">
        <f>$BL646-$BL647</f>
        <v/>
      </c>
      <c r="DZ646" s="56">
        <f>$BM646-$BM647</f>
        <v/>
      </c>
      <c r="EA646" s="56">
        <f>$BN646-$BN647</f>
        <v/>
      </c>
      <c r="EB646" s="56">
        <f>$BO646-$BO647</f>
        <v/>
      </c>
      <c r="EC646" s="56">
        <f>$BP646-$BP647</f>
        <v/>
      </c>
      <c r="ED646" s="56">
        <f>$BQ646-$BQ647</f>
        <v/>
      </c>
      <c r="EE646" s="56">
        <f>$BR646-$BR647</f>
        <v/>
      </c>
      <c r="EF646" s="56">
        <f>$BS646-$BS647</f>
        <v/>
      </c>
      <c r="EG646" s="56">
        <f>$BT646-$BT647</f>
        <v/>
      </c>
      <c r="EH646" s="56">
        <f>$BU646-$BU647</f>
        <v/>
      </c>
    </row>
    <row r="647">
      <c r="BV647" s="56">
        <f>($D647-$D648)*100</f>
        <v/>
      </c>
      <c r="BW647" s="56">
        <f>($C647-$C648)*100</f>
        <v/>
      </c>
      <c r="BX647" s="57">
        <f>IFERROR($I647/$I648-1,"")</f>
        <v/>
      </c>
      <c r="BY647" s="56">
        <f>($AF647-$AF648)*100</f>
        <v/>
      </c>
      <c r="BZ647" s="56">
        <f>($AG647-$AG648)*100</f>
        <v/>
      </c>
      <c r="CA647" s="56">
        <f>($AH647-$AH648)*100</f>
        <v/>
      </c>
      <c r="CB647" s="56">
        <f>($AI647-$AI648)*100</f>
        <v/>
      </c>
      <c r="CC647" s="56">
        <f>($AJ647-$AJ648)*100</f>
        <v/>
      </c>
      <c r="CD647" s="56">
        <f>($AK647-$AK648)*100</f>
        <v/>
      </c>
      <c r="CE647" s="56">
        <f>($AL647-$AL648)*100</f>
        <v/>
      </c>
      <c r="CF647" s="56">
        <f>($AM647-$AM648)*100</f>
        <v/>
      </c>
      <c r="CG647" s="56">
        <f>($AN647-$AN648)*100</f>
        <v/>
      </c>
      <c r="CH647" s="56">
        <f>($AO647-$AO648)*100</f>
        <v/>
      </c>
      <c r="CI647" s="56">
        <f>($AP647-$AP648)*100</f>
        <v/>
      </c>
      <c r="CJ647" s="56">
        <f>($AQ647-$AQ648)*100</f>
        <v/>
      </c>
      <c r="CK647" s="56">
        <f>($AR647-$AR648)*100</f>
        <v/>
      </c>
      <c r="CL647" s="56">
        <f>($AS647-$AS648)*100</f>
        <v/>
      </c>
      <c r="CM647" s="56">
        <f>($AT647-$AT648)*100</f>
        <v/>
      </c>
      <c r="CN647" s="56">
        <f>($AU647-$AU648)*100</f>
        <v/>
      </c>
      <c r="CO647" s="56">
        <f>($AV647-$AV648)*100</f>
        <v/>
      </c>
      <c r="CP647" s="56">
        <f>($AW647-$AW648)*100</f>
        <v/>
      </c>
      <c r="CQ647" s="56">
        <f>($AX647-$AX648)*100</f>
        <v/>
      </c>
      <c r="CR647" s="56">
        <f>($AY647-$AY648)*100</f>
        <v/>
      </c>
      <c r="CS647" s="57">
        <f>IFERROR($L648/$L647-1,"")</f>
        <v/>
      </c>
      <c r="CT647" s="57">
        <f>IFERROR($M648/$M647-1,"")</f>
        <v/>
      </c>
      <c r="CU647" s="57">
        <f>IFERROR($N648/$N647-1,"")</f>
        <v/>
      </c>
      <c r="CV647" s="57">
        <f>IFERROR($O648/$O647-1,"")</f>
        <v/>
      </c>
      <c r="CW647" s="57">
        <f>IFERROR($P648/$P647-1,"")</f>
        <v/>
      </c>
      <c r="CX647" s="57">
        <f>IFERROR($Q648/$Q647-1,"")</f>
        <v/>
      </c>
      <c r="CY647" s="57">
        <f>IFERROR($R648/$R647-1,"")</f>
        <v/>
      </c>
      <c r="CZ647" s="57">
        <f>IFERROR($S648/$S647-1,"")</f>
        <v/>
      </c>
      <c r="DA647" s="57">
        <f>IFERROR($T648/$T647-1,"")</f>
        <v/>
      </c>
      <c r="DB647" s="57">
        <f>IFERROR($U648/$U647-1,"")</f>
        <v/>
      </c>
      <c r="DC647" s="57">
        <f>IFERROR($V648/$V647-1,"")</f>
        <v/>
      </c>
      <c r="DD647" s="57">
        <f>IFERROR($W648/$W647-1,"")</f>
        <v/>
      </c>
      <c r="DE647" s="57">
        <f>IFERROR($X648/$X647-1,"")</f>
        <v/>
      </c>
      <c r="DF647" s="57">
        <f>IFERROR($Y648/$Y647-1,"")</f>
        <v/>
      </c>
      <c r="DG647" s="57">
        <f>IFERROR($Z648/$Z647-1,"")</f>
        <v/>
      </c>
      <c r="DH647" s="57">
        <f>IFERROR($AA648/$AA647-1,"")</f>
        <v/>
      </c>
      <c r="DI647" s="57">
        <f>IFERROR($AB648/$AB647-1,"")</f>
        <v/>
      </c>
      <c r="DJ647" s="57">
        <f>IFERROR($AC648/$AC647-1,"")</f>
        <v/>
      </c>
      <c r="DK647" s="57">
        <f>IFERROR($AD648/$AD647-1,"")</f>
        <v/>
      </c>
      <c r="DL647" s="57">
        <f>IFERROR($AE648/$AE647-1,"")</f>
        <v/>
      </c>
      <c r="DM647" s="56">
        <f>$AZ647-$AZ648</f>
        <v/>
      </c>
      <c r="DN647" s="56">
        <f>$BA647-$BA648</f>
        <v/>
      </c>
      <c r="DO647" s="56">
        <f>$BB647-$BB648</f>
        <v/>
      </c>
      <c r="DP647" s="56">
        <f>$BC647-$BC648</f>
        <v/>
      </c>
      <c r="DQ647" s="56">
        <f>$BD647-$BD648</f>
        <v/>
      </c>
      <c r="DR647" s="56">
        <f>$BE647-$BE648</f>
        <v/>
      </c>
      <c r="DS647" s="56">
        <f>$BF647-$BF648</f>
        <v/>
      </c>
      <c r="DT647" s="56">
        <f>$BG647-$BG648</f>
        <v/>
      </c>
      <c r="DU647" s="56">
        <f>$BH647-$BH648</f>
        <v/>
      </c>
      <c r="DV647" s="56">
        <f>$BI647-$BI648</f>
        <v/>
      </c>
      <c r="DW647" s="56">
        <f>$BJ647-$BJ648</f>
        <v/>
      </c>
      <c r="DX647" s="56">
        <f>$BK647-$BK648</f>
        <v/>
      </c>
      <c r="DY647" s="56">
        <f>$BL647-$BL648</f>
        <v/>
      </c>
      <c r="DZ647" s="56">
        <f>$BM647-$BM648</f>
        <v/>
      </c>
      <c r="EA647" s="56">
        <f>$BN647-$BN648</f>
        <v/>
      </c>
      <c r="EB647" s="56">
        <f>$BO647-$BO648</f>
        <v/>
      </c>
      <c r="EC647" s="56">
        <f>$BP647-$BP648</f>
        <v/>
      </c>
      <c r="ED647" s="56">
        <f>$BQ647-$BQ648</f>
        <v/>
      </c>
      <c r="EE647" s="56">
        <f>$BR647-$BR648</f>
        <v/>
      </c>
      <c r="EF647" s="56">
        <f>$BS647-$BS648</f>
        <v/>
      </c>
      <c r="EG647" s="56">
        <f>$BT647-$BT648</f>
        <v/>
      </c>
      <c r="EH647" s="56">
        <f>$BU647-$BU648</f>
        <v/>
      </c>
    </row>
    <row r="648">
      <c r="BV648" s="56">
        <f>($D648-$D649)*100</f>
        <v/>
      </c>
      <c r="BW648" s="56">
        <f>($C648-$C649)*100</f>
        <v/>
      </c>
      <c r="BX648" s="57">
        <f>IFERROR($I648/$I649-1,"")</f>
        <v/>
      </c>
      <c r="BY648" s="56">
        <f>($AF648-$AF649)*100</f>
        <v/>
      </c>
      <c r="BZ648" s="56">
        <f>($AG648-$AG649)*100</f>
        <v/>
      </c>
      <c r="CA648" s="56">
        <f>($AH648-$AH649)*100</f>
        <v/>
      </c>
      <c r="CB648" s="56">
        <f>($AI648-$AI649)*100</f>
        <v/>
      </c>
      <c r="CC648" s="56">
        <f>($AJ648-$AJ649)*100</f>
        <v/>
      </c>
      <c r="CD648" s="56">
        <f>($AK648-$AK649)*100</f>
        <v/>
      </c>
      <c r="CE648" s="56">
        <f>($AL648-$AL649)*100</f>
        <v/>
      </c>
      <c r="CF648" s="56">
        <f>($AM648-$AM649)*100</f>
        <v/>
      </c>
      <c r="CG648" s="56">
        <f>($AN648-$AN649)*100</f>
        <v/>
      </c>
      <c r="CH648" s="56">
        <f>($AO648-$AO649)*100</f>
        <v/>
      </c>
      <c r="CI648" s="56">
        <f>($AP648-$AP649)*100</f>
        <v/>
      </c>
      <c r="CJ648" s="56">
        <f>($AQ648-$AQ649)*100</f>
        <v/>
      </c>
      <c r="CK648" s="56">
        <f>($AR648-$AR649)*100</f>
        <v/>
      </c>
      <c r="CL648" s="56">
        <f>($AS648-$AS649)*100</f>
        <v/>
      </c>
      <c r="CM648" s="56">
        <f>($AT648-$AT649)*100</f>
        <v/>
      </c>
      <c r="CN648" s="56">
        <f>($AU648-$AU649)*100</f>
        <v/>
      </c>
      <c r="CO648" s="56">
        <f>($AV648-$AV649)*100</f>
        <v/>
      </c>
      <c r="CP648" s="56">
        <f>($AW648-$AW649)*100</f>
        <v/>
      </c>
      <c r="CQ648" s="56">
        <f>($AX648-$AX649)*100</f>
        <v/>
      </c>
      <c r="CR648" s="56">
        <f>($AY648-$AY649)*100</f>
        <v/>
      </c>
      <c r="CS648" s="57">
        <f>IFERROR($L649/$L648-1,"")</f>
        <v/>
      </c>
      <c r="CT648" s="57">
        <f>IFERROR($M649/$M648-1,"")</f>
        <v/>
      </c>
      <c r="CU648" s="57">
        <f>IFERROR($N649/$N648-1,"")</f>
        <v/>
      </c>
      <c r="CV648" s="57">
        <f>IFERROR($O649/$O648-1,"")</f>
        <v/>
      </c>
      <c r="CW648" s="57">
        <f>IFERROR($P649/$P648-1,"")</f>
        <v/>
      </c>
      <c r="CX648" s="57">
        <f>IFERROR($Q649/$Q648-1,"")</f>
        <v/>
      </c>
      <c r="CY648" s="57">
        <f>IFERROR($R649/$R648-1,"")</f>
        <v/>
      </c>
      <c r="CZ648" s="57">
        <f>IFERROR($S649/$S648-1,"")</f>
        <v/>
      </c>
      <c r="DA648" s="57">
        <f>IFERROR($T649/$T648-1,"")</f>
        <v/>
      </c>
      <c r="DB648" s="57">
        <f>IFERROR($U649/$U648-1,"")</f>
        <v/>
      </c>
      <c r="DC648" s="57">
        <f>IFERROR($V649/$V648-1,"")</f>
        <v/>
      </c>
      <c r="DD648" s="57">
        <f>IFERROR($W649/$W648-1,"")</f>
        <v/>
      </c>
      <c r="DE648" s="57">
        <f>IFERROR($X649/$X648-1,"")</f>
        <v/>
      </c>
      <c r="DF648" s="57">
        <f>IFERROR($Y649/$Y648-1,"")</f>
        <v/>
      </c>
      <c r="DG648" s="57">
        <f>IFERROR($Z649/$Z648-1,"")</f>
        <v/>
      </c>
      <c r="DH648" s="57">
        <f>IFERROR($AA649/$AA648-1,"")</f>
        <v/>
      </c>
      <c r="DI648" s="57">
        <f>IFERROR($AB649/$AB648-1,"")</f>
        <v/>
      </c>
      <c r="DJ648" s="57">
        <f>IFERROR($AC649/$AC648-1,"")</f>
        <v/>
      </c>
      <c r="DK648" s="57">
        <f>IFERROR($AD649/$AD648-1,"")</f>
        <v/>
      </c>
      <c r="DL648" s="57">
        <f>IFERROR($AE649/$AE648-1,"")</f>
        <v/>
      </c>
      <c r="DM648" s="56">
        <f>$AZ648-$AZ649</f>
        <v/>
      </c>
      <c r="DN648" s="56">
        <f>$BA648-$BA649</f>
        <v/>
      </c>
      <c r="DO648" s="56">
        <f>$BB648-$BB649</f>
        <v/>
      </c>
      <c r="DP648" s="56">
        <f>$BC648-$BC649</f>
        <v/>
      </c>
      <c r="DQ648" s="56">
        <f>$BD648-$BD649</f>
        <v/>
      </c>
      <c r="DR648" s="56">
        <f>$BE648-$BE649</f>
        <v/>
      </c>
      <c r="DS648" s="56">
        <f>$BF648-$BF649</f>
        <v/>
      </c>
      <c r="DT648" s="56">
        <f>$BG648-$BG649</f>
        <v/>
      </c>
      <c r="DU648" s="56">
        <f>$BH648-$BH649</f>
        <v/>
      </c>
      <c r="DV648" s="56">
        <f>$BI648-$BI649</f>
        <v/>
      </c>
      <c r="DW648" s="56">
        <f>$BJ648-$BJ649</f>
        <v/>
      </c>
      <c r="DX648" s="56">
        <f>$BK648-$BK649</f>
        <v/>
      </c>
      <c r="DY648" s="56">
        <f>$BL648-$BL649</f>
        <v/>
      </c>
      <c r="DZ648" s="56">
        <f>$BM648-$BM649</f>
        <v/>
      </c>
      <c r="EA648" s="56">
        <f>$BN648-$BN649</f>
        <v/>
      </c>
      <c r="EB648" s="56">
        <f>$BO648-$BO649</f>
        <v/>
      </c>
      <c r="EC648" s="56">
        <f>$BP648-$BP649</f>
        <v/>
      </c>
      <c r="ED648" s="56">
        <f>$BQ648-$BQ649</f>
        <v/>
      </c>
      <c r="EE648" s="56">
        <f>$BR648-$BR649</f>
        <v/>
      </c>
      <c r="EF648" s="56">
        <f>$BS648-$BS649</f>
        <v/>
      </c>
      <c r="EG648" s="56">
        <f>$BT648-$BT649</f>
        <v/>
      </c>
      <c r="EH648" s="56">
        <f>$BU648-$BU649</f>
        <v/>
      </c>
    </row>
    <row r="649">
      <c r="BV649" s="56">
        <f>($D649-$D650)*100</f>
        <v/>
      </c>
      <c r="BW649" s="56">
        <f>($C649-$C650)*100</f>
        <v/>
      </c>
      <c r="BX649" s="57">
        <f>IFERROR($I649/$I650-1,"")</f>
        <v/>
      </c>
      <c r="BY649" s="56">
        <f>($AF649-$AF650)*100</f>
        <v/>
      </c>
      <c r="BZ649" s="56">
        <f>($AG649-$AG650)*100</f>
        <v/>
      </c>
      <c r="CA649" s="56">
        <f>($AH649-$AH650)*100</f>
        <v/>
      </c>
      <c r="CB649" s="56">
        <f>($AI649-$AI650)*100</f>
        <v/>
      </c>
      <c r="CC649" s="56">
        <f>($AJ649-$AJ650)*100</f>
        <v/>
      </c>
      <c r="CD649" s="56">
        <f>($AK649-$AK650)*100</f>
        <v/>
      </c>
      <c r="CE649" s="56">
        <f>($AL649-$AL650)*100</f>
        <v/>
      </c>
      <c r="CF649" s="56">
        <f>($AM649-$AM650)*100</f>
        <v/>
      </c>
      <c r="CG649" s="56">
        <f>($AN649-$AN650)*100</f>
        <v/>
      </c>
      <c r="CH649" s="56">
        <f>($AO649-$AO650)*100</f>
        <v/>
      </c>
      <c r="CI649" s="56">
        <f>($AP649-$AP650)*100</f>
        <v/>
      </c>
      <c r="CJ649" s="56">
        <f>($AQ649-$AQ650)*100</f>
        <v/>
      </c>
      <c r="CK649" s="56">
        <f>($AR649-$AR650)*100</f>
        <v/>
      </c>
      <c r="CL649" s="56">
        <f>($AS649-$AS650)*100</f>
        <v/>
      </c>
      <c r="CM649" s="56">
        <f>($AT649-$AT650)*100</f>
        <v/>
      </c>
      <c r="CN649" s="56">
        <f>($AU649-$AU650)*100</f>
        <v/>
      </c>
      <c r="CO649" s="56">
        <f>($AV649-$AV650)*100</f>
        <v/>
      </c>
      <c r="CP649" s="56">
        <f>($AW649-$AW650)*100</f>
        <v/>
      </c>
      <c r="CQ649" s="56">
        <f>($AX649-$AX650)*100</f>
        <v/>
      </c>
      <c r="CR649" s="56">
        <f>($AY649-$AY650)*100</f>
        <v/>
      </c>
      <c r="CS649" s="57">
        <f>IFERROR($L650/$L649-1,"")</f>
        <v/>
      </c>
      <c r="CT649" s="57">
        <f>IFERROR($M650/$M649-1,"")</f>
        <v/>
      </c>
      <c r="CU649" s="57">
        <f>IFERROR($N650/$N649-1,"")</f>
        <v/>
      </c>
      <c r="CV649" s="57">
        <f>IFERROR($O650/$O649-1,"")</f>
        <v/>
      </c>
      <c r="CW649" s="57">
        <f>IFERROR($P650/$P649-1,"")</f>
        <v/>
      </c>
      <c r="CX649" s="57">
        <f>IFERROR($Q650/$Q649-1,"")</f>
        <v/>
      </c>
      <c r="CY649" s="57">
        <f>IFERROR($R650/$R649-1,"")</f>
        <v/>
      </c>
      <c r="CZ649" s="57">
        <f>IFERROR($S650/$S649-1,"")</f>
        <v/>
      </c>
      <c r="DA649" s="57">
        <f>IFERROR($T650/$T649-1,"")</f>
        <v/>
      </c>
      <c r="DB649" s="57">
        <f>IFERROR($U650/$U649-1,"")</f>
        <v/>
      </c>
      <c r="DC649" s="57">
        <f>IFERROR($V650/$V649-1,"")</f>
        <v/>
      </c>
      <c r="DD649" s="57">
        <f>IFERROR($W650/$W649-1,"")</f>
        <v/>
      </c>
      <c r="DE649" s="57">
        <f>IFERROR($X650/$X649-1,"")</f>
        <v/>
      </c>
      <c r="DF649" s="57">
        <f>IFERROR($Y650/$Y649-1,"")</f>
        <v/>
      </c>
      <c r="DG649" s="57">
        <f>IFERROR($Z650/$Z649-1,"")</f>
        <v/>
      </c>
      <c r="DH649" s="57">
        <f>IFERROR($AA650/$AA649-1,"")</f>
        <v/>
      </c>
      <c r="DI649" s="57">
        <f>IFERROR($AB650/$AB649-1,"")</f>
        <v/>
      </c>
      <c r="DJ649" s="57">
        <f>IFERROR($AC650/$AC649-1,"")</f>
        <v/>
      </c>
      <c r="DK649" s="57">
        <f>IFERROR($AD650/$AD649-1,"")</f>
        <v/>
      </c>
      <c r="DL649" s="57">
        <f>IFERROR($AE650/$AE649-1,"")</f>
        <v/>
      </c>
      <c r="DM649" s="56">
        <f>$AZ649-$AZ650</f>
        <v/>
      </c>
      <c r="DN649" s="56">
        <f>$BA649-$BA650</f>
        <v/>
      </c>
      <c r="DO649" s="56">
        <f>$BB649-$BB650</f>
        <v/>
      </c>
      <c r="DP649" s="56">
        <f>$BC649-$BC650</f>
        <v/>
      </c>
      <c r="DQ649" s="56">
        <f>$BD649-$BD650</f>
        <v/>
      </c>
      <c r="DR649" s="56">
        <f>$BE649-$BE650</f>
        <v/>
      </c>
      <c r="DS649" s="56">
        <f>$BF649-$BF650</f>
        <v/>
      </c>
      <c r="DT649" s="56">
        <f>$BG649-$BG650</f>
        <v/>
      </c>
      <c r="DU649" s="56">
        <f>$BH649-$BH650</f>
        <v/>
      </c>
      <c r="DV649" s="56">
        <f>$BI649-$BI650</f>
        <v/>
      </c>
      <c r="DW649" s="56">
        <f>$BJ649-$BJ650</f>
        <v/>
      </c>
      <c r="DX649" s="56">
        <f>$BK649-$BK650</f>
        <v/>
      </c>
      <c r="DY649" s="56">
        <f>$BL649-$BL650</f>
        <v/>
      </c>
      <c r="DZ649" s="56">
        <f>$BM649-$BM650</f>
        <v/>
      </c>
      <c r="EA649" s="56">
        <f>$BN649-$BN650</f>
        <v/>
      </c>
      <c r="EB649" s="56">
        <f>$BO649-$BO650</f>
        <v/>
      </c>
      <c r="EC649" s="56">
        <f>$BP649-$BP650</f>
        <v/>
      </c>
      <c r="ED649" s="56">
        <f>$BQ649-$BQ650</f>
        <v/>
      </c>
      <c r="EE649" s="56">
        <f>$BR649-$BR650</f>
        <v/>
      </c>
      <c r="EF649" s="56">
        <f>$BS649-$BS650</f>
        <v/>
      </c>
      <c r="EG649" s="56">
        <f>$BT649-$BT650</f>
        <v/>
      </c>
      <c r="EH649" s="56">
        <f>$BU649-$BU650</f>
        <v/>
      </c>
    </row>
    <row r="650">
      <c r="BV650" s="56">
        <f>($D650-$D651)*100</f>
        <v/>
      </c>
      <c r="BW650" s="56">
        <f>($C650-$C651)*100</f>
        <v/>
      </c>
      <c r="BX650" s="57">
        <f>IFERROR($I650/$I651-1,"")</f>
        <v/>
      </c>
      <c r="BY650" s="56">
        <f>($AF650-$AF651)*100</f>
        <v/>
      </c>
      <c r="BZ650" s="56">
        <f>($AG650-$AG651)*100</f>
        <v/>
      </c>
      <c r="CA650" s="56">
        <f>($AH650-$AH651)*100</f>
        <v/>
      </c>
      <c r="CB650" s="56">
        <f>($AI650-$AI651)*100</f>
        <v/>
      </c>
      <c r="CC650" s="56">
        <f>($AJ650-$AJ651)*100</f>
        <v/>
      </c>
      <c r="CD650" s="56">
        <f>($AK650-$AK651)*100</f>
        <v/>
      </c>
      <c r="CE650" s="56">
        <f>($AL650-$AL651)*100</f>
        <v/>
      </c>
      <c r="CF650" s="56">
        <f>($AM650-$AM651)*100</f>
        <v/>
      </c>
      <c r="CG650" s="56">
        <f>($AN650-$AN651)*100</f>
        <v/>
      </c>
      <c r="CH650" s="56">
        <f>($AO650-$AO651)*100</f>
        <v/>
      </c>
      <c r="CI650" s="56">
        <f>($AP650-$AP651)*100</f>
        <v/>
      </c>
      <c r="CJ650" s="56">
        <f>($AQ650-$AQ651)*100</f>
        <v/>
      </c>
      <c r="CK650" s="56">
        <f>($AR650-$AR651)*100</f>
        <v/>
      </c>
      <c r="CL650" s="56">
        <f>($AS650-$AS651)*100</f>
        <v/>
      </c>
      <c r="CM650" s="56">
        <f>($AT650-$AT651)*100</f>
        <v/>
      </c>
      <c r="CN650" s="56">
        <f>($AU650-$AU651)*100</f>
        <v/>
      </c>
      <c r="CO650" s="56">
        <f>($AV650-$AV651)*100</f>
        <v/>
      </c>
      <c r="CP650" s="56">
        <f>($AW650-$AW651)*100</f>
        <v/>
      </c>
      <c r="CQ650" s="56">
        <f>($AX650-$AX651)*100</f>
        <v/>
      </c>
      <c r="CR650" s="56">
        <f>($AY650-$AY651)*100</f>
        <v/>
      </c>
      <c r="CS650" s="57">
        <f>IFERROR($L651/$L650-1,"")</f>
        <v/>
      </c>
      <c r="CT650" s="57">
        <f>IFERROR($M651/$M650-1,"")</f>
        <v/>
      </c>
      <c r="CU650" s="57">
        <f>IFERROR($N651/$N650-1,"")</f>
        <v/>
      </c>
      <c r="CV650" s="57">
        <f>IFERROR($O651/$O650-1,"")</f>
        <v/>
      </c>
      <c r="CW650" s="57">
        <f>IFERROR($P651/$P650-1,"")</f>
        <v/>
      </c>
      <c r="CX650" s="57">
        <f>IFERROR($Q651/$Q650-1,"")</f>
        <v/>
      </c>
      <c r="CY650" s="57">
        <f>IFERROR($R651/$R650-1,"")</f>
        <v/>
      </c>
      <c r="CZ650" s="57">
        <f>IFERROR($S651/$S650-1,"")</f>
        <v/>
      </c>
      <c r="DA650" s="57">
        <f>IFERROR($T651/$T650-1,"")</f>
        <v/>
      </c>
      <c r="DB650" s="57">
        <f>IFERROR($U651/$U650-1,"")</f>
        <v/>
      </c>
      <c r="DC650" s="57">
        <f>IFERROR($V651/$V650-1,"")</f>
        <v/>
      </c>
      <c r="DD650" s="57">
        <f>IFERROR($W651/$W650-1,"")</f>
        <v/>
      </c>
      <c r="DE650" s="57">
        <f>IFERROR($X651/$X650-1,"")</f>
        <v/>
      </c>
      <c r="DF650" s="57">
        <f>IFERROR($Y651/$Y650-1,"")</f>
        <v/>
      </c>
      <c r="DG650" s="57">
        <f>IFERROR($Z651/$Z650-1,"")</f>
        <v/>
      </c>
      <c r="DH650" s="57">
        <f>IFERROR($AA651/$AA650-1,"")</f>
        <v/>
      </c>
      <c r="DI650" s="57">
        <f>IFERROR($AB651/$AB650-1,"")</f>
        <v/>
      </c>
      <c r="DJ650" s="57">
        <f>IFERROR($AC651/$AC650-1,"")</f>
        <v/>
      </c>
      <c r="DK650" s="57">
        <f>IFERROR($AD651/$AD650-1,"")</f>
        <v/>
      </c>
      <c r="DL650" s="57">
        <f>IFERROR($AE651/$AE650-1,"")</f>
        <v/>
      </c>
      <c r="DM650" s="56">
        <f>$AZ650-$AZ651</f>
        <v/>
      </c>
      <c r="DN650" s="56">
        <f>$BA650-$BA651</f>
        <v/>
      </c>
      <c r="DO650" s="56">
        <f>$BB650-$BB651</f>
        <v/>
      </c>
      <c r="DP650" s="56">
        <f>$BC650-$BC651</f>
        <v/>
      </c>
      <c r="DQ650" s="56">
        <f>$BD650-$BD651</f>
        <v/>
      </c>
      <c r="DR650" s="56">
        <f>$BE650-$BE651</f>
        <v/>
      </c>
      <c r="DS650" s="56">
        <f>$BF650-$BF651</f>
        <v/>
      </c>
      <c r="DT650" s="56">
        <f>$BG650-$BG651</f>
        <v/>
      </c>
      <c r="DU650" s="56">
        <f>$BH650-$BH651</f>
        <v/>
      </c>
      <c r="DV650" s="56">
        <f>$BI650-$BI651</f>
        <v/>
      </c>
      <c r="DW650" s="56">
        <f>$BJ650-$BJ651</f>
        <v/>
      </c>
      <c r="DX650" s="56">
        <f>$BK650-$BK651</f>
        <v/>
      </c>
      <c r="DY650" s="56">
        <f>$BL650-$BL651</f>
        <v/>
      </c>
      <c r="DZ650" s="56">
        <f>$BM650-$BM651</f>
        <v/>
      </c>
      <c r="EA650" s="56">
        <f>$BN650-$BN651</f>
        <v/>
      </c>
      <c r="EB650" s="56">
        <f>$BO650-$BO651</f>
        <v/>
      </c>
      <c r="EC650" s="56">
        <f>$BP650-$BP651</f>
        <v/>
      </c>
      <c r="ED650" s="56">
        <f>$BQ650-$BQ651</f>
        <v/>
      </c>
      <c r="EE650" s="56">
        <f>$BR650-$BR651</f>
        <v/>
      </c>
      <c r="EF650" s="56">
        <f>$BS650-$BS651</f>
        <v/>
      </c>
      <c r="EG650" s="56">
        <f>$BT650-$BT651</f>
        <v/>
      </c>
      <c r="EH650" s="56">
        <f>$BU650-$BU651</f>
        <v/>
      </c>
    </row>
    <row r="651">
      <c r="BV651" s="56">
        <f>($D651-$D652)*100</f>
        <v/>
      </c>
      <c r="BW651" s="56">
        <f>($C651-$C652)*100</f>
        <v/>
      </c>
      <c r="BX651" s="57">
        <f>IFERROR($I651/$I652-1,"")</f>
        <v/>
      </c>
      <c r="BY651" s="56">
        <f>($AF651-$AF652)*100</f>
        <v/>
      </c>
      <c r="BZ651" s="56">
        <f>($AG651-$AG652)*100</f>
        <v/>
      </c>
      <c r="CA651" s="56">
        <f>($AH651-$AH652)*100</f>
        <v/>
      </c>
      <c r="CB651" s="56">
        <f>($AI651-$AI652)*100</f>
        <v/>
      </c>
      <c r="CC651" s="56">
        <f>($AJ651-$AJ652)*100</f>
        <v/>
      </c>
      <c r="CD651" s="56">
        <f>($AK651-$AK652)*100</f>
        <v/>
      </c>
      <c r="CE651" s="56">
        <f>($AL651-$AL652)*100</f>
        <v/>
      </c>
      <c r="CF651" s="56">
        <f>($AM651-$AM652)*100</f>
        <v/>
      </c>
      <c r="CG651" s="56">
        <f>($AN651-$AN652)*100</f>
        <v/>
      </c>
      <c r="CH651" s="56">
        <f>($AO651-$AO652)*100</f>
        <v/>
      </c>
      <c r="CI651" s="56">
        <f>($AP651-$AP652)*100</f>
        <v/>
      </c>
      <c r="CJ651" s="56">
        <f>($AQ651-$AQ652)*100</f>
        <v/>
      </c>
      <c r="CK651" s="56">
        <f>($AR651-$AR652)*100</f>
        <v/>
      </c>
      <c r="CL651" s="56">
        <f>($AS651-$AS652)*100</f>
        <v/>
      </c>
      <c r="CM651" s="56">
        <f>($AT651-$AT652)*100</f>
        <v/>
      </c>
      <c r="CN651" s="56">
        <f>($AU651-$AU652)*100</f>
        <v/>
      </c>
      <c r="CO651" s="56">
        <f>($AV651-$AV652)*100</f>
        <v/>
      </c>
      <c r="CP651" s="56">
        <f>($AW651-$AW652)*100</f>
        <v/>
      </c>
      <c r="CQ651" s="56">
        <f>($AX651-$AX652)*100</f>
        <v/>
      </c>
      <c r="CR651" s="56">
        <f>($AY651-$AY652)*100</f>
        <v/>
      </c>
      <c r="CS651" s="57">
        <f>IFERROR($L652/$L651-1,"")</f>
        <v/>
      </c>
      <c r="CT651" s="57">
        <f>IFERROR($M652/$M651-1,"")</f>
        <v/>
      </c>
      <c r="CU651" s="57">
        <f>IFERROR($N652/$N651-1,"")</f>
        <v/>
      </c>
      <c r="CV651" s="57">
        <f>IFERROR($O652/$O651-1,"")</f>
        <v/>
      </c>
      <c r="CW651" s="57">
        <f>IFERROR($P652/$P651-1,"")</f>
        <v/>
      </c>
      <c r="CX651" s="57">
        <f>IFERROR($Q652/$Q651-1,"")</f>
        <v/>
      </c>
      <c r="CY651" s="57">
        <f>IFERROR($R652/$R651-1,"")</f>
        <v/>
      </c>
      <c r="CZ651" s="57">
        <f>IFERROR($S652/$S651-1,"")</f>
        <v/>
      </c>
      <c r="DA651" s="57">
        <f>IFERROR($T652/$T651-1,"")</f>
        <v/>
      </c>
      <c r="DB651" s="57">
        <f>IFERROR($U652/$U651-1,"")</f>
        <v/>
      </c>
      <c r="DC651" s="57">
        <f>IFERROR($V652/$V651-1,"")</f>
        <v/>
      </c>
      <c r="DD651" s="57">
        <f>IFERROR($W652/$W651-1,"")</f>
        <v/>
      </c>
      <c r="DE651" s="57">
        <f>IFERROR($X652/$X651-1,"")</f>
        <v/>
      </c>
      <c r="DF651" s="57">
        <f>IFERROR($Y652/$Y651-1,"")</f>
        <v/>
      </c>
      <c r="DG651" s="57">
        <f>IFERROR($Z652/$Z651-1,"")</f>
        <v/>
      </c>
      <c r="DH651" s="57">
        <f>IFERROR($AA652/$AA651-1,"")</f>
        <v/>
      </c>
      <c r="DI651" s="57">
        <f>IFERROR($AB652/$AB651-1,"")</f>
        <v/>
      </c>
      <c r="DJ651" s="57">
        <f>IFERROR($AC652/$AC651-1,"")</f>
        <v/>
      </c>
      <c r="DK651" s="57">
        <f>IFERROR($AD652/$AD651-1,"")</f>
        <v/>
      </c>
      <c r="DL651" s="57">
        <f>IFERROR($AE652/$AE651-1,"")</f>
        <v/>
      </c>
      <c r="DM651" s="56">
        <f>$AZ651-$AZ652</f>
        <v/>
      </c>
      <c r="DN651" s="56">
        <f>$BA651-$BA652</f>
        <v/>
      </c>
      <c r="DO651" s="56">
        <f>$BB651-$BB652</f>
        <v/>
      </c>
      <c r="DP651" s="56">
        <f>$BC651-$BC652</f>
        <v/>
      </c>
      <c r="DQ651" s="56">
        <f>$BD651-$BD652</f>
        <v/>
      </c>
      <c r="DR651" s="56">
        <f>$BE651-$BE652</f>
        <v/>
      </c>
      <c r="DS651" s="56">
        <f>$BF651-$BF652</f>
        <v/>
      </c>
      <c r="DT651" s="56">
        <f>$BG651-$BG652</f>
        <v/>
      </c>
      <c r="DU651" s="56">
        <f>$BH651-$BH652</f>
        <v/>
      </c>
      <c r="DV651" s="56">
        <f>$BI651-$BI652</f>
        <v/>
      </c>
      <c r="DW651" s="56">
        <f>$BJ651-$BJ652</f>
        <v/>
      </c>
      <c r="DX651" s="56">
        <f>$BK651-$BK652</f>
        <v/>
      </c>
      <c r="DY651" s="56">
        <f>$BL651-$BL652</f>
        <v/>
      </c>
      <c r="DZ651" s="56">
        <f>$BM651-$BM652</f>
        <v/>
      </c>
      <c r="EA651" s="56">
        <f>$BN651-$BN652</f>
        <v/>
      </c>
      <c r="EB651" s="56">
        <f>$BO651-$BO652</f>
        <v/>
      </c>
      <c r="EC651" s="56">
        <f>$BP651-$BP652</f>
        <v/>
      </c>
      <c r="ED651" s="56">
        <f>$BQ651-$BQ652</f>
        <v/>
      </c>
      <c r="EE651" s="56">
        <f>$BR651-$BR652</f>
        <v/>
      </c>
      <c r="EF651" s="56">
        <f>$BS651-$BS652</f>
        <v/>
      </c>
      <c r="EG651" s="56">
        <f>$BT651-$BT652</f>
        <v/>
      </c>
      <c r="EH651" s="56">
        <f>$BU651-$BU652</f>
        <v/>
      </c>
    </row>
    <row r="652">
      <c r="BV652" s="56">
        <f>($D652-$D653)*100</f>
        <v/>
      </c>
      <c r="BW652" s="56">
        <f>($C652-$C653)*100</f>
        <v/>
      </c>
      <c r="BX652" s="57">
        <f>IFERROR($I652/$I653-1,"")</f>
        <v/>
      </c>
      <c r="BY652" s="56">
        <f>($AF652-$AF653)*100</f>
        <v/>
      </c>
      <c r="BZ652" s="56">
        <f>($AG652-$AG653)*100</f>
        <v/>
      </c>
      <c r="CA652" s="56">
        <f>($AH652-$AH653)*100</f>
        <v/>
      </c>
      <c r="CB652" s="56">
        <f>($AI652-$AI653)*100</f>
        <v/>
      </c>
      <c r="CC652" s="56">
        <f>($AJ652-$AJ653)*100</f>
        <v/>
      </c>
      <c r="CD652" s="56">
        <f>($AK652-$AK653)*100</f>
        <v/>
      </c>
      <c r="CE652" s="56">
        <f>($AL652-$AL653)*100</f>
        <v/>
      </c>
      <c r="CF652" s="56">
        <f>($AM652-$AM653)*100</f>
        <v/>
      </c>
      <c r="CG652" s="56">
        <f>($AN652-$AN653)*100</f>
        <v/>
      </c>
      <c r="CH652" s="56">
        <f>($AO652-$AO653)*100</f>
        <v/>
      </c>
      <c r="CI652" s="56">
        <f>($AP652-$AP653)*100</f>
        <v/>
      </c>
      <c r="CJ652" s="56">
        <f>($AQ652-$AQ653)*100</f>
        <v/>
      </c>
      <c r="CK652" s="56">
        <f>($AR652-$AR653)*100</f>
        <v/>
      </c>
      <c r="CL652" s="56">
        <f>($AS652-$AS653)*100</f>
        <v/>
      </c>
      <c r="CM652" s="56">
        <f>($AT652-$AT653)*100</f>
        <v/>
      </c>
      <c r="CN652" s="56">
        <f>($AU652-$AU653)*100</f>
        <v/>
      </c>
      <c r="CO652" s="56">
        <f>($AV652-$AV653)*100</f>
        <v/>
      </c>
      <c r="CP652" s="56">
        <f>($AW652-$AW653)*100</f>
        <v/>
      </c>
      <c r="CQ652" s="56">
        <f>($AX652-$AX653)*100</f>
        <v/>
      </c>
      <c r="CR652" s="56">
        <f>($AY652-$AY653)*100</f>
        <v/>
      </c>
      <c r="CS652" s="57">
        <f>IFERROR($L653/$L652-1,"")</f>
        <v/>
      </c>
      <c r="CT652" s="57">
        <f>IFERROR($M653/$M652-1,"")</f>
        <v/>
      </c>
      <c r="CU652" s="57">
        <f>IFERROR($N653/$N652-1,"")</f>
        <v/>
      </c>
      <c r="CV652" s="57">
        <f>IFERROR($O653/$O652-1,"")</f>
        <v/>
      </c>
      <c r="CW652" s="57">
        <f>IFERROR($P653/$P652-1,"")</f>
        <v/>
      </c>
      <c r="CX652" s="57">
        <f>IFERROR($Q653/$Q652-1,"")</f>
        <v/>
      </c>
      <c r="CY652" s="57">
        <f>IFERROR($R653/$R652-1,"")</f>
        <v/>
      </c>
      <c r="CZ652" s="57">
        <f>IFERROR($S653/$S652-1,"")</f>
        <v/>
      </c>
      <c r="DA652" s="57">
        <f>IFERROR($T653/$T652-1,"")</f>
        <v/>
      </c>
      <c r="DB652" s="57">
        <f>IFERROR($U653/$U652-1,"")</f>
        <v/>
      </c>
      <c r="DC652" s="57">
        <f>IFERROR($V653/$V652-1,"")</f>
        <v/>
      </c>
      <c r="DD652" s="57">
        <f>IFERROR($W653/$W652-1,"")</f>
        <v/>
      </c>
      <c r="DE652" s="57">
        <f>IFERROR($X653/$X652-1,"")</f>
        <v/>
      </c>
      <c r="DF652" s="57">
        <f>IFERROR($Y653/$Y652-1,"")</f>
        <v/>
      </c>
      <c r="DG652" s="57">
        <f>IFERROR($Z653/$Z652-1,"")</f>
        <v/>
      </c>
      <c r="DH652" s="57">
        <f>IFERROR($AA653/$AA652-1,"")</f>
        <v/>
      </c>
      <c r="DI652" s="57">
        <f>IFERROR($AB653/$AB652-1,"")</f>
        <v/>
      </c>
      <c r="DJ652" s="57">
        <f>IFERROR($AC653/$AC652-1,"")</f>
        <v/>
      </c>
      <c r="DK652" s="57">
        <f>IFERROR($AD653/$AD652-1,"")</f>
        <v/>
      </c>
      <c r="DL652" s="57">
        <f>IFERROR($AE653/$AE652-1,"")</f>
        <v/>
      </c>
      <c r="DM652" s="56">
        <f>$AZ652-$AZ653</f>
        <v/>
      </c>
      <c r="DN652" s="56">
        <f>$BA652-$BA653</f>
        <v/>
      </c>
      <c r="DO652" s="56">
        <f>$BB652-$BB653</f>
        <v/>
      </c>
      <c r="DP652" s="56">
        <f>$BC652-$BC653</f>
        <v/>
      </c>
      <c r="DQ652" s="56">
        <f>$BD652-$BD653</f>
        <v/>
      </c>
      <c r="DR652" s="56">
        <f>$BE652-$BE653</f>
        <v/>
      </c>
      <c r="DS652" s="56">
        <f>$BF652-$BF653</f>
        <v/>
      </c>
      <c r="DT652" s="56">
        <f>$BG652-$BG653</f>
        <v/>
      </c>
      <c r="DU652" s="56">
        <f>$BH652-$BH653</f>
        <v/>
      </c>
      <c r="DV652" s="56">
        <f>$BI652-$BI653</f>
        <v/>
      </c>
      <c r="DW652" s="56">
        <f>$BJ652-$BJ653</f>
        <v/>
      </c>
      <c r="DX652" s="56">
        <f>$BK652-$BK653</f>
        <v/>
      </c>
      <c r="DY652" s="56">
        <f>$BL652-$BL653</f>
        <v/>
      </c>
      <c r="DZ652" s="56">
        <f>$BM652-$BM653</f>
        <v/>
      </c>
      <c r="EA652" s="56">
        <f>$BN652-$BN653</f>
        <v/>
      </c>
      <c r="EB652" s="56">
        <f>$BO652-$BO653</f>
        <v/>
      </c>
      <c r="EC652" s="56">
        <f>$BP652-$BP653</f>
        <v/>
      </c>
      <c r="ED652" s="56">
        <f>$BQ652-$BQ653</f>
        <v/>
      </c>
      <c r="EE652" s="56">
        <f>$BR652-$BR653</f>
        <v/>
      </c>
      <c r="EF652" s="56">
        <f>$BS652-$BS653</f>
        <v/>
      </c>
      <c r="EG652" s="56">
        <f>$BT652-$BT653</f>
        <v/>
      </c>
      <c r="EH652" s="56">
        <f>$BU652-$BU653</f>
        <v/>
      </c>
    </row>
    <row r="653">
      <c r="BV653" s="56">
        <f>($D653-$D654)*100</f>
        <v/>
      </c>
      <c r="BW653" s="56">
        <f>($C653-$C654)*100</f>
        <v/>
      </c>
      <c r="BX653" s="57">
        <f>IFERROR($I653/$I654-1,"")</f>
        <v/>
      </c>
      <c r="BY653" s="56">
        <f>($AF653-$AF654)*100</f>
        <v/>
      </c>
      <c r="BZ653" s="56">
        <f>($AG653-$AG654)*100</f>
        <v/>
      </c>
      <c r="CA653" s="56">
        <f>($AH653-$AH654)*100</f>
        <v/>
      </c>
      <c r="CB653" s="56">
        <f>($AI653-$AI654)*100</f>
        <v/>
      </c>
      <c r="CC653" s="56">
        <f>($AJ653-$AJ654)*100</f>
        <v/>
      </c>
      <c r="CD653" s="56">
        <f>($AK653-$AK654)*100</f>
        <v/>
      </c>
      <c r="CE653" s="56">
        <f>($AL653-$AL654)*100</f>
        <v/>
      </c>
      <c r="CF653" s="56">
        <f>($AM653-$AM654)*100</f>
        <v/>
      </c>
      <c r="CG653" s="56">
        <f>($AN653-$AN654)*100</f>
        <v/>
      </c>
      <c r="CH653" s="56">
        <f>($AO653-$AO654)*100</f>
        <v/>
      </c>
      <c r="CI653" s="56">
        <f>($AP653-$AP654)*100</f>
        <v/>
      </c>
      <c r="CJ653" s="56">
        <f>($AQ653-$AQ654)*100</f>
        <v/>
      </c>
      <c r="CK653" s="56">
        <f>($AR653-$AR654)*100</f>
        <v/>
      </c>
      <c r="CL653" s="56">
        <f>($AS653-$AS654)*100</f>
        <v/>
      </c>
      <c r="CM653" s="56">
        <f>($AT653-$AT654)*100</f>
        <v/>
      </c>
      <c r="CN653" s="56">
        <f>($AU653-$AU654)*100</f>
        <v/>
      </c>
      <c r="CO653" s="56">
        <f>($AV653-$AV654)*100</f>
        <v/>
      </c>
      <c r="CP653" s="56">
        <f>($AW653-$AW654)*100</f>
        <v/>
      </c>
      <c r="CQ653" s="56">
        <f>($AX653-$AX654)*100</f>
        <v/>
      </c>
      <c r="CR653" s="56">
        <f>($AY653-$AY654)*100</f>
        <v/>
      </c>
      <c r="CS653" s="57">
        <f>IFERROR($L654/$L653-1,"")</f>
        <v/>
      </c>
      <c r="CT653" s="57">
        <f>IFERROR($M654/$M653-1,"")</f>
        <v/>
      </c>
      <c r="CU653" s="57">
        <f>IFERROR($N654/$N653-1,"")</f>
        <v/>
      </c>
      <c r="CV653" s="57">
        <f>IFERROR($O654/$O653-1,"")</f>
        <v/>
      </c>
      <c r="CW653" s="57">
        <f>IFERROR($P654/$P653-1,"")</f>
        <v/>
      </c>
      <c r="CX653" s="57">
        <f>IFERROR($Q654/$Q653-1,"")</f>
        <v/>
      </c>
      <c r="CY653" s="57">
        <f>IFERROR($R654/$R653-1,"")</f>
        <v/>
      </c>
      <c r="CZ653" s="57">
        <f>IFERROR($S654/$S653-1,"")</f>
        <v/>
      </c>
      <c r="DA653" s="57">
        <f>IFERROR($T654/$T653-1,"")</f>
        <v/>
      </c>
      <c r="DB653" s="57">
        <f>IFERROR($U654/$U653-1,"")</f>
        <v/>
      </c>
      <c r="DC653" s="57">
        <f>IFERROR($V654/$V653-1,"")</f>
        <v/>
      </c>
      <c r="DD653" s="57">
        <f>IFERROR($W654/$W653-1,"")</f>
        <v/>
      </c>
      <c r="DE653" s="57">
        <f>IFERROR($X654/$X653-1,"")</f>
        <v/>
      </c>
      <c r="DF653" s="57">
        <f>IFERROR($Y654/$Y653-1,"")</f>
        <v/>
      </c>
      <c r="DG653" s="57">
        <f>IFERROR($Z654/$Z653-1,"")</f>
        <v/>
      </c>
      <c r="DH653" s="57">
        <f>IFERROR($AA654/$AA653-1,"")</f>
        <v/>
      </c>
      <c r="DI653" s="57">
        <f>IFERROR($AB654/$AB653-1,"")</f>
        <v/>
      </c>
      <c r="DJ653" s="57">
        <f>IFERROR($AC654/$AC653-1,"")</f>
        <v/>
      </c>
      <c r="DK653" s="57">
        <f>IFERROR($AD654/$AD653-1,"")</f>
        <v/>
      </c>
      <c r="DL653" s="57">
        <f>IFERROR($AE654/$AE653-1,"")</f>
        <v/>
      </c>
      <c r="DM653" s="56">
        <f>$AZ653-$AZ654</f>
        <v/>
      </c>
      <c r="DN653" s="56">
        <f>$BA653-$BA654</f>
        <v/>
      </c>
      <c r="DO653" s="56">
        <f>$BB653-$BB654</f>
        <v/>
      </c>
      <c r="DP653" s="56">
        <f>$BC653-$BC654</f>
        <v/>
      </c>
      <c r="DQ653" s="56">
        <f>$BD653-$BD654</f>
        <v/>
      </c>
      <c r="DR653" s="56">
        <f>$BE653-$BE654</f>
        <v/>
      </c>
      <c r="DS653" s="56">
        <f>$BF653-$BF654</f>
        <v/>
      </c>
      <c r="DT653" s="56">
        <f>$BG653-$BG654</f>
        <v/>
      </c>
      <c r="DU653" s="56">
        <f>$BH653-$BH654</f>
        <v/>
      </c>
      <c r="DV653" s="56">
        <f>$BI653-$BI654</f>
        <v/>
      </c>
      <c r="DW653" s="56">
        <f>$BJ653-$BJ654</f>
        <v/>
      </c>
      <c r="DX653" s="56">
        <f>$BK653-$BK654</f>
        <v/>
      </c>
      <c r="DY653" s="56">
        <f>$BL653-$BL654</f>
        <v/>
      </c>
      <c r="DZ653" s="56">
        <f>$BM653-$BM654</f>
        <v/>
      </c>
      <c r="EA653" s="56">
        <f>$BN653-$BN654</f>
        <v/>
      </c>
      <c r="EB653" s="56">
        <f>$BO653-$BO654</f>
        <v/>
      </c>
      <c r="EC653" s="56">
        <f>$BP653-$BP654</f>
        <v/>
      </c>
      <c r="ED653" s="56">
        <f>$BQ653-$BQ654</f>
        <v/>
      </c>
      <c r="EE653" s="56">
        <f>$BR653-$BR654</f>
        <v/>
      </c>
      <c r="EF653" s="56">
        <f>$BS653-$BS654</f>
        <v/>
      </c>
      <c r="EG653" s="56">
        <f>$BT653-$BT654</f>
        <v/>
      </c>
      <c r="EH653" s="56">
        <f>$BU653-$BU654</f>
        <v/>
      </c>
    </row>
    <row r="654">
      <c r="BV654" s="56">
        <f>($D654-$D655)*100</f>
        <v/>
      </c>
      <c r="BW654" s="56">
        <f>($C654-$C655)*100</f>
        <v/>
      </c>
      <c r="BX654" s="57">
        <f>IFERROR($I654/$I655-1,"")</f>
        <v/>
      </c>
      <c r="BY654" s="56">
        <f>($AF654-$AF655)*100</f>
        <v/>
      </c>
      <c r="BZ654" s="56">
        <f>($AG654-$AG655)*100</f>
        <v/>
      </c>
      <c r="CA654" s="56">
        <f>($AH654-$AH655)*100</f>
        <v/>
      </c>
      <c r="CB654" s="56">
        <f>($AI654-$AI655)*100</f>
        <v/>
      </c>
      <c r="CC654" s="56">
        <f>($AJ654-$AJ655)*100</f>
        <v/>
      </c>
      <c r="CD654" s="56">
        <f>($AK654-$AK655)*100</f>
        <v/>
      </c>
      <c r="CE654" s="56">
        <f>($AL654-$AL655)*100</f>
        <v/>
      </c>
      <c r="CF654" s="56">
        <f>($AM654-$AM655)*100</f>
        <v/>
      </c>
      <c r="CG654" s="56">
        <f>($AN654-$AN655)*100</f>
        <v/>
      </c>
      <c r="CH654" s="56">
        <f>($AO654-$AO655)*100</f>
        <v/>
      </c>
      <c r="CI654" s="56">
        <f>($AP654-$AP655)*100</f>
        <v/>
      </c>
      <c r="CJ654" s="56">
        <f>($AQ654-$AQ655)*100</f>
        <v/>
      </c>
      <c r="CK654" s="56">
        <f>($AR654-$AR655)*100</f>
        <v/>
      </c>
      <c r="CL654" s="56">
        <f>($AS654-$AS655)*100</f>
        <v/>
      </c>
      <c r="CM654" s="56">
        <f>($AT654-$AT655)*100</f>
        <v/>
      </c>
      <c r="CN654" s="56">
        <f>($AU654-$AU655)*100</f>
        <v/>
      </c>
      <c r="CO654" s="56">
        <f>($AV654-$AV655)*100</f>
        <v/>
      </c>
      <c r="CP654" s="56">
        <f>($AW654-$AW655)*100</f>
        <v/>
      </c>
      <c r="CQ654" s="56">
        <f>($AX654-$AX655)*100</f>
        <v/>
      </c>
      <c r="CR654" s="56">
        <f>($AY654-$AY655)*100</f>
        <v/>
      </c>
      <c r="CS654" s="57">
        <f>IFERROR($L655/$L654-1,"")</f>
        <v/>
      </c>
      <c r="CT654" s="57">
        <f>IFERROR($M655/$M654-1,"")</f>
        <v/>
      </c>
      <c r="CU654" s="57">
        <f>IFERROR($N655/$N654-1,"")</f>
        <v/>
      </c>
      <c r="CV654" s="57">
        <f>IFERROR($O655/$O654-1,"")</f>
        <v/>
      </c>
      <c r="CW654" s="57">
        <f>IFERROR($P655/$P654-1,"")</f>
        <v/>
      </c>
      <c r="CX654" s="57">
        <f>IFERROR($Q655/$Q654-1,"")</f>
        <v/>
      </c>
      <c r="CY654" s="57">
        <f>IFERROR($R655/$R654-1,"")</f>
        <v/>
      </c>
      <c r="CZ654" s="57">
        <f>IFERROR($S655/$S654-1,"")</f>
        <v/>
      </c>
      <c r="DA654" s="57">
        <f>IFERROR($T655/$T654-1,"")</f>
        <v/>
      </c>
      <c r="DB654" s="57">
        <f>IFERROR($U655/$U654-1,"")</f>
        <v/>
      </c>
      <c r="DC654" s="57">
        <f>IFERROR($V655/$V654-1,"")</f>
        <v/>
      </c>
      <c r="DD654" s="57">
        <f>IFERROR($W655/$W654-1,"")</f>
        <v/>
      </c>
      <c r="DE654" s="57">
        <f>IFERROR($X655/$X654-1,"")</f>
        <v/>
      </c>
      <c r="DF654" s="57">
        <f>IFERROR($Y655/$Y654-1,"")</f>
        <v/>
      </c>
      <c r="DG654" s="57">
        <f>IFERROR($Z655/$Z654-1,"")</f>
        <v/>
      </c>
      <c r="DH654" s="57">
        <f>IFERROR($AA655/$AA654-1,"")</f>
        <v/>
      </c>
      <c r="DI654" s="57">
        <f>IFERROR($AB655/$AB654-1,"")</f>
        <v/>
      </c>
      <c r="DJ654" s="57">
        <f>IFERROR($AC655/$AC654-1,"")</f>
        <v/>
      </c>
      <c r="DK654" s="57">
        <f>IFERROR($AD655/$AD654-1,"")</f>
        <v/>
      </c>
      <c r="DL654" s="57">
        <f>IFERROR($AE655/$AE654-1,"")</f>
        <v/>
      </c>
      <c r="DM654" s="56">
        <f>$AZ654-$AZ655</f>
        <v/>
      </c>
      <c r="DN654" s="56">
        <f>$BA654-$BA655</f>
        <v/>
      </c>
      <c r="DO654" s="56">
        <f>$BB654-$BB655</f>
        <v/>
      </c>
      <c r="DP654" s="56">
        <f>$BC654-$BC655</f>
        <v/>
      </c>
      <c r="DQ654" s="56">
        <f>$BD654-$BD655</f>
        <v/>
      </c>
      <c r="DR654" s="56">
        <f>$BE654-$BE655</f>
        <v/>
      </c>
      <c r="DS654" s="56">
        <f>$BF654-$BF655</f>
        <v/>
      </c>
      <c r="DT654" s="56">
        <f>$BG654-$BG655</f>
        <v/>
      </c>
      <c r="DU654" s="56">
        <f>$BH654-$BH655</f>
        <v/>
      </c>
      <c r="DV654" s="56">
        <f>$BI654-$BI655</f>
        <v/>
      </c>
      <c r="DW654" s="56">
        <f>$BJ654-$BJ655</f>
        <v/>
      </c>
      <c r="DX654" s="56">
        <f>$BK654-$BK655</f>
        <v/>
      </c>
      <c r="DY654" s="56">
        <f>$BL654-$BL655</f>
        <v/>
      </c>
      <c r="DZ654" s="56">
        <f>$BM654-$BM655</f>
        <v/>
      </c>
      <c r="EA654" s="56">
        <f>$BN654-$BN655</f>
        <v/>
      </c>
      <c r="EB654" s="56">
        <f>$BO654-$BO655</f>
        <v/>
      </c>
      <c r="EC654" s="56">
        <f>$BP654-$BP655</f>
        <v/>
      </c>
      <c r="ED654" s="56">
        <f>$BQ654-$BQ655</f>
        <v/>
      </c>
      <c r="EE654" s="56">
        <f>$BR654-$BR655</f>
        <v/>
      </c>
      <c r="EF654" s="56">
        <f>$BS654-$BS655</f>
        <v/>
      </c>
      <c r="EG654" s="56">
        <f>$BT654-$BT655</f>
        <v/>
      </c>
      <c r="EH654" s="56">
        <f>$BU654-$BU655</f>
        <v/>
      </c>
    </row>
    <row r="655">
      <c r="BV655" s="56">
        <f>($D655-$D656)*100</f>
        <v/>
      </c>
      <c r="BW655" s="56">
        <f>($C655-$C656)*100</f>
        <v/>
      </c>
      <c r="BX655" s="57">
        <f>IFERROR($I655/$I656-1,"")</f>
        <v/>
      </c>
      <c r="BY655" s="56">
        <f>($AF655-$AF656)*100</f>
        <v/>
      </c>
      <c r="BZ655" s="56">
        <f>($AG655-$AG656)*100</f>
        <v/>
      </c>
      <c r="CA655" s="56">
        <f>($AH655-$AH656)*100</f>
        <v/>
      </c>
      <c r="CB655" s="56">
        <f>($AI655-$AI656)*100</f>
        <v/>
      </c>
      <c r="CC655" s="56">
        <f>($AJ655-$AJ656)*100</f>
        <v/>
      </c>
      <c r="CD655" s="56">
        <f>($AK655-$AK656)*100</f>
        <v/>
      </c>
      <c r="CE655" s="56">
        <f>($AL655-$AL656)*100</f>
        <v/>
      </c>
      <c r="CF655" s="56">
        <f>($AM655-$AM656)*100</f>
        <v/>
      </c>
      <c r="CG655" s="56">
        <f>($AN655-$AN656)*100</f>
        <v/>
      </c>
      <c r="CH655" s="56">
        <f>($AO655-$AO656)*100</f>
        <v/>
      </c>
      <c r="CI655" s="56">
        <f>($AP655-$AP656)*100</f>
        <v/>
      </c>
      <c r="CJ655" s="56">
        <f>($AQ655-$AQ656)*100</f>
        <v/>
      </c>
      <c r="CK655" s="56">
        <f>($AR655-$AR656)*100</f>
        <v/>
      </c>
      <c r="CL655" s="56">
        <f>($AS655-$AS656)*100</f>
        <v/>
      </c>
      <c r="CM655" s="56">
        <f>($AT655-$AT656)*100</f>
        <v/>
      </c>
      <c r="CN655" s="56">
        <f>($AU655-$AU656)*100</f>
        <v/>
      </c>
      <c r="CO655" s="56">
        <f>($AV655-$AV656)*100</f>
        <v/>
      </c>
      <c r="CP655" s="56">
        <f>($AW655-$AW656)*100</f>
        <v/>
      </c>
      <c r="CQ655" s="56">
        <f>($AX655-$AX656)*100</f>
        <v/>
      </c>
      <c r="CR655" s="56">
        <f>($AY655-$AY656)*100</f>
        <v/>
      </c>
      <c r="CS655" s="57">
        <f>IFERROR($L656/$L655-1,"")</f>
        <v/>
      </c>
      <c r="CT655" s="57">
        <f>IFERROR($M656/$M655-1,"")</f>
        <v/>
      </c>
      <c r="CU655" s="57">
        <f>IFERROR($N656/$N655-1,"")</f>
        <v/>
      </c>
      <c r="CV655" s="57">
        <f>IFERROR($O656/$O655-1,"")</f>
        <v/>
      </c>
      <c r="CW655" s="57">
        <f>IFERROR($P656/$P655-1,"")</f>
        <v/>
      </c>
      <c r="CX655" s="57">
        <f>IFERROR($Q656/$Q655-1,"")</f>
        <v/>
      </c>
      <c r="CY655" s="57">
        <f>IFERROR($R656/$R655-1,"")</f>
        <v/>
      </c>
      <c r="CZ655" s="57">
        <f>IFERROR($S656/$S655-1,"")</f>
        <v/>
      </c>
      <c r="DA655" s="57">
        <f>IFERROR($T656/$T655-1,"")</f>
        <v/>
      </c>
      <c r="DB655" s="57">
        <f>IFERROR($U656/$U655-1,"")</f>
        <v/>
      </c>
      <c r="DC655" s="57">
        <f>IFERROR($V656/$V655-1,"")</f>
        <v/>
      </c>
      <c r="DD655" s="57">
        <f>IFERROR($W656/$W655-1,"")</f>
        <v/>
      </c>
      <c r="DE655" s="57">
        <f>IFERROR($X656/$X655-1,"")</f>
        <v/>
      </c>
      <c r="DF655" s="57">
        <f>IFERROR($Y656/$Y655-1,"")</f>
        <v/>
      </c>
      <c r="DG655" s="57">
        <f>IFERROR($Z656/$Z655-1,"")</f>
        <v/>
      </c>
      <c r="DH655" s="57">
        <f>IFERROR($AA656/$AA655-1,"")</f>
        <v/>
      </c>
      <c r="DI655" s="57">
        <f>IFERROR($AB656/$AB655-1,"")</f>
        <v/>
      </c>
      <c r="DJ655" s="57">
        <f>IFERROR($AC656/$AC655-1,"")</f>
        <v/>
      </c>
      <c r="DK655" s="57">
        <f>IFERROR($AD656/$AD655-1,"")</f>
        <v/>
      </c>
      <c r="DL655" s="57">
        <f>IFERROR($AE656/$AE655-1,"")</f>
        <v/>
      </c>
      <c r="DM655" s="56">
        <f>$AZ655-$AZ656</f>
        <v/>
      </c>
      <c r="DN655" s="56">
        <f>$BA655-$BA656</f>
        <v/>
      </c>
      <c r="DO655" s="56">
        <f>$BB655-$BB656</f>
        <v/>
      </c>
      <c r="DP655" s="56">
        <f>$BC655-$BC656</f>
        <v/>
      </c>
      <c r="DQ655" s="56">
        <f>$BD655-$BD656</f>
        <v/>
      </c>
      <c r="DR655" s="56">
        <f>$BE655-$BE656</f>
        <v/>
      </c>
      <c r="DS655" s="56">
        <f>$BF655-$BF656</f>
        <v/>
      </c>
      <c r="DT655" s="56">
        <f>$BG655-$BG656</f>
        <v/>
      </c>
      <c r="DU655" s="56">
        <f>$BH655-$BH656</f>
        <v/>
      </c>
      <c r="DV655" s="56">
        <f>$BI655-$BI656</f>
        <v/>
      </c>
      <c r="DW655" s="56">
        <f>$BJ655-$BJ656</f>
        <v/>
      </c>
      <c r="DX655" s="56">
        <f>$BK655-$BK656</f>
        <v/>
      </c>
      <c r="DY655" s="56">
        <f>$BL655-$BL656</f>
        <v/>
      </c>
      <c r="DZ655" s="56">
        <f>$BM655-$BM656</f>
        <v/>
      </c>
      <c r="EA655" s="56">
        <f>$BN655-$BN656</f>
        <v/>
      </c>
      <c r="EB655" s="56">
        <f>$BO655-$BO656</f>
        <v/>
      </c>
      <c r="EC655" s="56">
        <f>$BP655-$BP656</f>
        <v/>
      </c>
      <c r="ED655" s="56">
        <f>$BQ655-$BQ656</f>
        <v/>
      </c>
      <c r="EE655" s="56">
        <f>$BR655-$BR656</f>
        <v/>
      </c>
      <c r="EF655" s="56">
        <f>$BS655-$BS656</f>
        <v/>
      </c>
      <c r="EG655" s="56">
        <f>$BT655-$BT656</f>
        <v/>
      </c>
      <c r="EH655" s="56">
        <f>$BU655-$BU656</f>
        <v/>
      </c>
    </row>
    <row r="656">
      <c r="BV656" s="56">
        <f>($D656-$D657)*100</f>
        <v/>
      </c>
      <c r="BW656" s="56">
        <f>($C656-$C657)*100</f>
        <v/>
      </c>
      <c r="BX656" s="57">
        <f>IFERROR($I656/$I657-1,"")</f>
        <v/>
      </c>
      <c r="BY656" s="56">
        <f>($AF656-$AF657)*100</f>
        <v/>
      </c>
      <c r="BZ656" s="56">
        <f>($AG656-$AG657)*100</f>
        <v/>
      </c>
      <c r="CA656" s="56">
        <f>($AH656-$AH657)*100</f>
        <v/>
      </c>
      <c r="CB656" s="56">
        <f>($AI656-$AI657)*100</f>
        <v/>
      </c>
      <c r="CC656" s="56">
        <f>($AJ656-$AJ657)*100</f>
        <v/>
      </c>
      <c r="CD656" s="56">
        <f>($AK656-$AK657)*100</f>
        <v/>
      </c>
      <c r="CE656" s="56">
        <f>($AL656-$AL657)*100</f>
        <v/>
      </c>
      <c r="CF656" s="56">
        <f>($AM656-$AM657)*100</f>
        <v/>
      </c>
      <c r="CG656" s="56">
        <f>($AN656-$AN657)*100</f>
        <v/>
      </c>
      <c r="CH656" s="56">
        <f>($AO656-$AO657)*100</f>
        <v/>
      </c>
      <c r="CI656" s="56">
        <f>($AP656-$AP657)*100</f>
        <v/>
      </c>
      <c r="CJ656" s="56">
        <f>($AQ656-$AQ657)*100</f>
        <v/>
      </c>
      <c r="CK656" s="56">
        <f>($AR656-$AR657)*100</f>
        <v/>
      </c>
      <c r="CL656" s="56">
        <f>($AS656-$AS657)*100</f>
        <v/>
      </c>
      <c r="CM656" s="56">
        <f>($AT656-$AT657)*100</f>
        <v/>
      </c>
      <c r="CN656" s="56">
        <f>($AU656-$AU657)*100</f>
        <v/>
      </c>
      <c r="CO656" s="56">
        <f>($AV656-$AV657)*100</f>
        <v/>
      </c>
      <c r="CP656" s="56">
        <f>($AW656-$AW657)*100</f>
        <v/>
      </c>
      <c r="CQ656" s="56">
        <f>($AX656-$AX657)*100</f>
        <v/>
      </c>
      <c r="CR656" s="56">
        <f>($AY656-$AY657)*100</f>
        <v/>
      </c>
      <c r="CS656" s="57">
        <f>IFERROR($L657/$L656-1,"")</f>
        <v/>
      </c>
      <c r="CT656" s="57">
        <f>IFERROR($M657/$M656-1,"")</f>
        <v/>
      </c>
      <c r="CU656" s="57">
        <f>IFERROR($N657/$N656-1,"")</f>
        <v/>
      </c>
      <c r="CV656" s="57">
        <f>IFERROR($O657/$O656-1,"")</f>
        <v/>
      </c>
      <c r="CW656" s="57">
        <f>IFERROR($P657/$P656-1,"")</f>
        <v/>
      </c>
      <c r="CX656" s="57">
        <f>IFERROR($Q657/$Q656-1,"")</f>
        <v/>
      </c>
      <c r="CY656" s="57">
        <f>IFERROR($R657/$R656-1,"")</f>
        <v/>
      </c>
      <c r="CZ656" s="57">
        <f>IFERROR($S657/$S656-1,"")</f>
        <v/>
      </c>
      <c r="DA656" s="57">
        <f>IFERROR($T657/$T656-1,"")</f>
        <v/>
      </c>
      <c r="DB656" s="57">
        <f>IFERROR($U657/$U656-1,"")</f>
        <v/>
      </c>
      <c r="DC656" s="57">
        <f>IFERROR($V657/$V656-1,"")</f>
        <v/>
      </c>
      <c r="DD656" s="57">
        <f>IFERROR($W657/$W656-1,"")</f>
        <v/>
      </c>
      <c r="DE656" s="57">
        <f>IFERROR($X657/$X656-1,"")</f>
        <v/>
      </c>
      <c r="DF656" s="57">
        <f>IFERROR($Y657/$Y656-1,"")</f>
        <v/>
      </c>
      <c r="DG656" s="57">
        <f>IFERROR($Z657/$Z656-1,"")</f>
        <v/>
      </c>
      <c r="DH656" s="57">
        <f>IFERROR($AA657/$AA656-1,"")</f>
        <v/>
      </c>
      <c r="DI656" s="57">
        <f>IFERROR($AB657/$AB656-1,"")</f>
        <v/>
      </c>
      <c r="DJ656" s="57">
        <f>IFERROR($AC657/$AC656-1,"")</f>
        <v/>
      </c>
      <c r="DK656" s="57">
        <f>IFERROR($AD657/$AD656-1,"")</f>
        <v/>
      </c>
      <c r="DL656" s="57">
        <f>IFERROR($AE657/$AE656-1,"")</f>
        <v/>
      </c>
      <c r="DM656" s="56">
        <f>$AZ656-$AZ657</f>
        <v/>
      </c>
      <c r="DN656" s="56">
        <f>$BA656-$BA657</f>
        <v/>
      </c>
      <c r="DO656" s="56">
        <f>$BB656-$BB657</f>
        <v/>
      </c>
      <c r="DP656" s="56">
        <f>$BC656-$BC657</f>
        <v/>
      </c>
      <c r="DQ656" s="56">
        <f>$BD656-$BD657</f>
        <v/>
      </c>
      <c r="DR656" s="56">
        <f>$BE656-$BE657</f>
        <v/>
      </c>
      <c r="DS656" s="56">
        <f>$BF656-$BF657</f>
        <v/>
      </c>
      <c r="DT656" s="56">
        <f>$BG656-$BG657</f>
        <v/>
      </c>
      <c r="DU656" s="56">
        <f>$BH656-$BH657</f>
        <v/>
      </c>
      <c r="DV656" s="56">
        <f>$BI656-$BI657</f>
        <v/>
      </c>
      <c r="DW656" s="56">
        <f>$BJ656-$BJ657</f>
        <v/>
      </c>
      <c r="DX656" s="56">
        <f>$BK656-$BK657</f>
        <v/>
      </c>
      <c r="DY656" s="56">
        <f>$BL656-$BL657</f>
        <v/>
      </c>
      <c r="DZ656" s="56">
        <f>$BM656-$BM657</f>
        <v/>
      </c>
      <c r="EA656" s="56">
        <f>$BN656-$BN657</f>
        <v/>
      </c>
      <c r="EB656" s="56">
        <f>$BO656-$BO657</f>
        <v/>
      </c>
      <c r="EC656" s="56">
        <f>$BP656-$BP657</f>
        <v/>
      </c>
      <c r="ED656" s="56">
        <f>$BQ656-$BQ657</f>
        <v/>
      </c>
      <c r="EE656" s="56">
        <f>$BR656-$BR657</f>
        <v/>
      </c>
      <c r="EF656" s="56">
        <f>$BS656-$BS657</f>
        <v/>
      </c>
      <c r="EG656" s="56">
        <f>$BT656-$BT657</f>
        <v/>
      </c>
      <c r="EH656" s="56">
        <f>$BU656-$BU657</f>
        <v/>
      </c>
    </row>
    <row r="657">
      <c r="BV657" s="56">
        <f>($D657-$D658)*100</f>
        <v/>
      </c>
      <c r="BW657" s="56">
        <f>($C657-$C658)*100</f>
        <v/>
      </c>
      <c r="BX657" s="57">
        <f>IFERROR($I657/$I658-1,"")</f>
        <v/>
      </c>
      <c r="BY657" s="56">
        <f>($AF657-$AF658)*100</f>
        <v/>
      </c>
      <c r="BZ657" s="56">
        <f>($AG657-$AG658)*100</f>
        <v/>
      </c>
      <c r="CA657" s="56">
        <f>($AH657-$AH658)*100</f>
        <v/>
      </c>
      <c r="CB657" s="56">
        <f>($AI657-$AI658)*100</f>
        <v/>
      </c>
      <c r="CC657" s="56">
        <f>($AJ657-$AJ658)*100</f>
        <v/>
      </c>
      <c r="CD657" s="56">
        <f>($AK657-$AK658)*100</f>
        <v/>
      </c>
      <c r="CE657" s="56">
        <f>($AL657-$AL658)*100</f>
        <v/>
      </c>
      <c r="CF657" s="56">
        <f>($AM657-$AM658)*100</f>
        <v/>
      </c>
      <c r="CG657" s="56">
        <f>($AN657-$AN658)*100</f>
        <v/>
      </c>
      <c r="CH657" s="56">
        <f>($AO657-$AO658)*100</f>
        <v/>
      </c>
      <c r="CI657" s="56">
        <f>($AP657-$AP658)*100</f>
        <v/>
      </c>
      <c r="CJ657" s="56">
        <f>($AQ657-$AQ658)*100</f>
        <v/>
      </c>
      <c r="CK657" s="56">
        <f>($AR657-$AR658)*100</f>
        <v/>
      </c>
      <c r="CL657" s="56">
        <f>($AS657-$AS658)*100</f>
        <v/>
      </c>
      <c r="CM657" s="56">
        <f>($AT657-$AT658)*100</f>
        <v/>
      </c>
      <c r="CN657" s="56">
        <f>($AU657-$AU658)*100</f>
        <v/>
      </c>
      <c r="CO657" s="56">
        <f>($AV657-$AV658)*100</f>
        <v/>
      </c>
      <c r="CP657" s="56">
        <f>($AW657-$AW658)*100</f>
        <v/>
      </c>
      <c r="CQ657" s="56">
        <f>($AX657-$AX658)*100</f>
        <v/>
      </c>
      <c r="CR657" s="56">
        <f>($AY657-$AY658)*100</f>
        <v/>
      </c>
      <c r="CS657" s="57">
        <f>IFERROR($L658/$L657-1,"")</f>
        <v/>
      </c>
      <c r="CT657" s="57">
        <f>IFERROR($M658/$M657-1,"")</f>
        <v/>
      </c>
      <c r="CU657" s="57">
        <f>IFERROR($N658/$N657-1,"")</f>
        <v/>
      </c>
      <c r="CV657" s="57">
        <f>IFERROR($O658/$O657-1,"")</f>
        <v/>
      </c>
      <c r="CW657" s="57">
        <f>IFERROR($P658/$P657-1,"")</f>
        <v/>
      </c>
      <c r="CX657" s="57">
        <f>IFERROR($Q658/$Q657-1,"")</f>
        <v/>
      </c>
      <c r="CY657" s="57">
        <f>IFERROR($R658/$R657-1,"")</f>
        <v/>
      </c>
      <c r="CZ657" s="57">
        <f>IFERROR($S658/$S657-1,"")</f>
        <v/>
      </c>
      <c r="DA657" s="57">
        <f>IFERROR($T658/$T657-1,"")</f>
        <v/>
      </c>
      <c r="DB657" s="57">
        <f>IFERROR($U658/$U657-1,"")</f>
        <v/>
      </c>
      <c r="DC657" s="57">
        <f>IFERROR($V658/$V657-1,"")</f>
        <v/>
      </c>
      <c r="DD657" s="57">
        <f>IFERROR($W658/$W657-1,"")</f>
        <v/>
      </c>
      <c r="DE657" s="57">
        <f>IFERROR($X658/$X657-1,"")</f>
        <v/>
      </c>
      <c r="DF657" s="57">
        <f>IFERROR($Y658/$Y657-1,"")</f>
        <v/>
      </c>
      <c r="DG657" s="57">
        <f>IFERROR($Z658/$Z657-1,"")</f>
        <v/>
      </c>
      <c r="DH657" s="57">
        <f>IFERROR($AA658/$AA657-1,"")</f>
        <v/>
      </c>
      <c r="DI657" s="57">
        <f>IFERROR($AB658/$AB657-1,"")</f>
        <v/>
      </c>
      <c r="DJ657" s="57">
        <f>IFERROR($AC658/$AC657-1,"")</f>
        <v/>
      </c>
      <c r="DK657" s="57">
        <f>IFERROR($AD658/$AD657-1,"")</f>
        <v/>
      </c>
      <c r="DL657" s="57">
        <f>IFERROR($AE658/$AE657-1,"")</f>
        <v/>
      </c>
      <c r="DM657" s="56">
        <f>$AZ657-$AZ658</f>
        <v/>
      </c>
      <c r="DN657" s="56">
        <f>$BA657-$BA658</f>
        <v/>
      </c>
      <c r="DO657" s="56">
        <f>$BB657-$BB658</f>
        <v/>
      </c>
      <c r="DP657" s="56">
        <f>$BC657-$BC658</f>
        <v/>
      </c>
      <c r="DQ657" s="56">
        <f>$BD657-$BD658</f>
        <v/>
      </c>
      <c r="DR657" s="56">
        <f>$BE657-$BE658</f>
        <v/>
      </c>
      <c r="DS657" s="56">
        <f>$BF657-$BF658</f>
        <v/>
      </c>
      <c r="DT657" s="56">
        <f>$BG657-$BG658</f>
        <v/>
      </c>
      <c r="DU657" s="56">
        <f>$BH657-$BH658</f>
        <v/>
      </c>
      <c r="DV657" s="56">
        <f>$BI657-$BI658</f>
        <v/>
      </c>
      <c r="DW657" s="56">
        <f>$BJ657-$BJ658</f>
        <v/>
      </c>
      <c r="DX657" s="56">
        <f>$BK657-$BK658</f>
        <v/>
      </c>
      <c r="DY657" s="56">
        <f>$BL657-$BL658</f>
        <v/>
      </c>
      <c r="DZ657" s="56">
        <f>$BM657-$BM658</f>
        <v/>
      </c>
      <c r="EA657" s="56">
        <f>$BN657-$BN658</f>
        <v/>
      </c>
      <c r="EB657" s="56">
        <f>$BO657-$BO658</f>
        <v/>
      </c>
      <c r="EC657" s="56">
        <f>$BP657-$BP658</f>
        <v/>
      </c>
      <c r="ED657" s="56">
        <f>$BQ657-$BQ658</f>
        <v/>
      </c>
      <c r="EE657" s="56">
        <f>$BR657-$BR658</f>
        <v/>
      </c>
      <c r="EF657" s="56">
        <f>$BS657-$BS658</f>
        <v/>
      </c>
      <c r="EG657" s="56">
        <f>$BT657-$BT658</f>
        <v/>
      </c>
      <c r="EH657" s="56">
        <f>$BU657-$BU658</f>
        <v/>
      </c>
    </row>
    <row r="658">
      <c r="BV658" s="56">
        <f>($D658-$D659)*100</f>
        <v/>
      </c>
      <c r="BW658" s="56">
        <f>($C658-$C659)*100</f>
        <v/>
      </c>
      <c r="BX658" s="57">
        <f>IFERROR($I658/$I659-1,"")</f>
        <v/>
      </c>
      <c r="BY658" s="56">
        <f>($AF658-$AF659)*100</f>
        <v/>
      </c>
      <c r="BZ658" s="56">
        <f>($AG658-$AG659)*100</f>
        <v/>
      </c>
      <c r="CA658" s="56">
        <f>($AH658-$AH659)*100</f>
        <v/>
      </c>
      <c r="CB658" s="56">
        <f>($AI658-$AI659)*100</f>
        <v/>
      </c>
      <c r="CC658" s="56">
        <f>($AJ658-$AJ659)*100</f>
        <v/>
      </c>
      <c r="CD658" s="56">
        <f>($AK658-$AK659)*100</f>
        <v/>
      </c>
      <c r="CE658" s="56">
        <f>($AL658-$AL659)*100</f>
        <v/>
      </c>
      <c r="CF658" s="56">
        <f>($AM658-$AM659)*100</f>
        <v/>
      </c>
      <c r="CG658" s="56">
        <f>($AN658-$AN659)*100</f>
        <v/>
      </c>
      <c r="CH658" s="56">
        <f>($AO658-$AO659)*100</f>
        <v/>
      </c>
      <c r="CI658" s="56">
        <f>($AP658-$AP659)*100</f>
        <v/>
      </c>
      <c r="CJ658" s="56">
        <f>($AQ658-$AQ659)*100</f>
        <v/>
      </c>
      <c r="CK658" s="56">
        <f>($AR658-$AR659)*100</f>
        <v/>
      </c>
      <c r="CL658" s="56">
        <f>($AS658-$AS659)*100</f>
        <v/>
      </c>
      <c r="CM658" s="56">
        <f>($AT658-$AT659)*100</f>
        <v/>
      </c>
      <c r="CN658" s="56">
        <f>($AU658-$AU659)*100</f>
        <v/>
      </c>
      <c r="CO658" s="56">
        <f>($AV658-$AV659)*100</f>
        <v/>
      </c>
      <c r="CP658" s="56">
        <f>($AW658-$AW659)*100</f>
        <v/>
      </c>
      <c r="CQ658" s="56">
        <f>($AX658-$AX659)*100</f>
        <v/>
      </c>
      <c r="CR658" s="56">
        <f>($AY658-$AY659)*100</f>
        <v/>
      </c>
      <c r="CS658" s="57">
        <f>IFERROR($L659/$L658-1,"")</f>
        <v/>
      </c>
      <c r="CT658" s="57">
        <f>IFERROR($M659/$M658-1,"")</f>
        <v/>
      </c>
      <c r="CU658" s="57">
        <f>IFERROR($N659/$N658-1,"")</f>
        <v/>
      </c>
      <c r="CV658" s="57">
        <f>IFERROR($O659/$O658-1,"")</f>
        <v/>
      </c>
      <c r="CW658" s="57">
        <f>IFERROR($P659/$P658-1,"")</f>
        <v/>
      </c>
      <c r="CX658" s="57">
        <f>IFERROR($Q659/$Q658-1,"")</f>
        <v/>
      </c>
      <c r="CY658" s="57">
        <f>IFERROR($R659/$R658-1,"")</f>
        <v/>
      </c>
      <c r="CZ658" s="57">
        <f>IFERROR($S659/$S658-1,"")</f>
        <v/>
      </c>
      <c r="DA658" s="57">
        <f>IFERROR($T659/$T658-1,"")</f>
        <v/>
      </c>
      <c r="DB658" s="57">
        <f>IFERROR($U659/$U658-1,"")</f>
        <v/>
      </c>
      <c r="DC658" s="57">
        <f>IFERROR($V659/$V658-1,"")</f>
        <v/>
      </c>
      <c r="DD658" s="57">
        <f>IFERROR($W659/$W658-1,"")</f>
        <v/>
      </c>
      <c r="DE658" s="57">
        <f>IFERROR($X659/$X658-1,"")</f>
        <v/>
      </c>
      <c r="DF658" s="57">
        <f>IFERROR($Y659/$Y658-1,"")</f>
        <v/>
      </c>
      <c r="DG658" s="57">
        <f>IFERROR($Z659/$Z658-1,"")</f>
        <v/>
      </c>
      <c r="DH658" s="57">
        <f>IFERROR($AA659/$AA658-1,"")</f>
        <v/>
      </c>
      <c r="DI658" s="57">
        <f>IFERROR($AB659/$AB658-1,"")</f>
        <v/>
      </c>
      <c r="DJ658" s="57">
        <f>IFERROR($AC659/$AC658-1,"")</f>
        <v/>
      </c>
      <c r="DK658" s="57">
        <f>IFERROR($AD659/$AD658-1,"")</f>
        <v/>
      </c>
      <c r="DL658" s="57">
        <f>IFERROR($AE659/$AE658-1,"")</f>
        <v/>
      </c>
      <c r="DM658" s="56">
        <f>$AZ658-$AZ659</f>
        <v/>
      </c>
      <c r="DN658" s="56">
        <f>$BA658-$BA659</f>
        <v/>
      </c>
      <c r="DO658" s="56">
        <f>$BB658-$BB659</f>
        <v/>
      </c>
      <c r="DP658" s="56">
        <f>$BC658-$BC659</f>
        <v/>
      </c>
      <c r="DQ658" s="56">
        <f>$BD658-$BD659</f>
        <v/>
      </c>
      <c r="DR658" s="56">
        <f>$BE658-$BE659</f>
        <v/>
      </c>
      <c r="DS658" s="56">
        <f>$BF658-$BF659</f>
        <v/>
      </c>
      <c r="DT658" s="56">
        <f>$BG658-$BG659</f>
        <v/>
      </c>
      <c r="DU658" s="56">
        <f>$BH658-$BH659</f>
        <v/>
      </c>
      <c r="DV658" s="56">
        <f>$BI658-$BI659</f>
        <v/>
      </c>
      <c r="DW658" s="56">
        <f>$BJ658-$BJ659</f>
        <v/>
      </c>
      <c r="DX658" s="56">
        <f>$BK658-$BK659</f>
        <v/>
      </c>
      <c r="DY658" s="56">
        <f>$BL658-$BL659</f>
        <v/>
      </c>
      <c r="DZ658" s="56">
        <f>$BM658-$BM659</f>
        <v/>
      </c>
      <c r="EA658" s="56">
        <f>$BN658-$BN659</f>
        <v/>
      </c>
      <c r="EB658" s="56">
        <f>$BO658-$BO659</f>
        <v/>
      </c>
      <c r="EC658" s="56">
        <f>$BP658-$BP659</f>
        <v/>
      </c>
      <c r="ED658" s="56">
        <f>$BQ658-$BQ659</f>
        <v/>
      </c>
      <c r="EE658" s="56">
        <f>$BR658-$BR659</f>
        <v/>
      </c>
      <c r="EF658" s="56">
        <f>$BS658-$BS659</f>
        <v/>
      </c>
      <c r="EG658" s="56">
        <f>$BT658-$BT659</f>
        <v/>
      </c>
      <c r="EH658" s="56">
        <f>$BU658-$BU659</f>
        <v/>
      </c>
    </row>
    <row r="659">
      <c r="BV659" s="56">
        <f>($D659-$D660)*100</f>
        <v/>
      </c>
      <c r="BW659" s="56">
        <f>($C659-$C660)*100</f>
        <v/>
      </c>
      <c r="BX659" s="57">
        <f>IFERROR($I659/$I660-1,"")</f>
        <v/>
      </c>
      <c r="BY659" s="56">
        <f>($AF659-$AF660)*100</f>
        <v/>
      </c>
      <c r="BZ659" s="56">
        <f>($AG659-$AG660)*100</f>
        <v/>
      </c>
      <c r="CA659" s="56">
        <f>($AH659-$AH660)*100</f>
        <v/>
      </c>
      <c r="CB659" s="56">
        <f>($AI659-$AI660)*100</f>
        <v/>
      </c>
      <c r="CC659" s="56">
        <f>($AJ659-$AJ660)*100</f>
        <v/>
      </c>
      <c r="CD659" s="56">
        <f>($AK659-$AK660)*100</f>
        <v/>
      </c>
      <c r="CE659" s="56">
        <f>($AL659-$AL660)*100</f>
        <v/>
      </c>
      <c r="CF659" s="56">
        <f>($AM659-$AM660)*100</f>
        <v/>
      </c>
      <c r="CG659" s="56">
        <f>($AN659-$AN660)*100</f>
        <v/>
      </c>
      <c r="CH659" s="56">
        <f>($AO659-$AO660)*100</f>
        <v/>
      </c>
      <c r="CI659" s="56">
        <f>($AP659-$AP660)*100</f>
        <v/>
      </c>
      <c r="CJ659" s="56">
        <f>($AQ659-$AQ660)*100</f>
        <v/>
      </c>
      <c r="CK659" s="56">
        <f>($AR659-$AR660)*100</f>
        <v/>
      </c>
      <c r="CL659" s="56">
        <f>($AS659-$AS660)*100</f>
        <v/>
      </c>
      <c r="CM659" s="56">
        <f>($AT659-$AT660)*100</f>
        <v/>
      </c>
      <c r="CN659" s="56">
        <f>($AU659-$AU660)*100</f>
        <v/>
      </c>
      <c r="CO659" s="56">
        <f>($AV659-$AV660)*100</f>
        <v/>
      </c>
      <c r="CP659" s="56">
        <f>($AW659-$AW660)*100</f>
        <v/>
      </c>
      <c r="CQ659" s="56">
        <f>($AX659-$AX660)*100</f>
        <v/>
      </c>
      <c r="CR659" s="56">
        <f>($AY659-$AY660)*100</f>
        <v/>
      </c>
      <c r="CS659" s="57">
        <f>IFERROR($L660/$L659-1,"")</f>
        <v/>
      </c>
      <c r="CT659" s="57">
        <f>IFERROR($M660/$M659-1,"")</f>
        <v/>
      </c>
      <c r="CU659" s="57">
        <f>IFERROR($N660/$N659-1,"")</f>
        <v/>
      </c>
      <c r="CV659" s="57">
        <f>IFERROR($O660/$O659-1,"")</f>
        <v/>
      </c>
      <c r="CW659" s="57">
        <f>IFERROR($P660/$P659-1,"")</f>
        <v/>
      </c>
      <c r="CX659" s="57">
        <f>IFERROR($Q660/$Q659-1,"")</f>
        <v/>
      </c>
      <c r="CY659" s="57">
        <f>IFERROR($R660/$R659-1,"")</f>
        <v/>
      </c>
      <c r="CZ659" s="57">
        <f>IFERROR($S660/$S659-1,"")</f>
        <v/>
      </c>
      <c r="DA659" s="57">
        <f>IFERROR($T660/$T659-1,"")</f>
        <v/>
      </c>
      <c r="DB659" s="57">
        <f>IFERROR($U660/$U659-1,"")</f>
        <v/>
      </c>
      <c r="DC659" s="57">
        <f>IFERROR($V660/$V659-1,"")</f>
        <v/>
      </c>
      <c r="DD659" s="57">
        <f>IFERROR($W660/$W659-1,"")</f>
        <v/>
      </c>
      <c r="DE659" s="57">
        <f>IFERROR($X660/$X659-1,"")</f>
        <v/>
      </c>
      <c r="DF659" s="57">
        <f>IFERROR($Y660/$Y659-1,"")</f>
        <v/>
      </c>
      <c r="DG659" s="57">
        <f>IFERROR($Z660/$Z659-1,"")</f>
        <v/>
      </c>
      <c r="DH659" s="57">
        <f>IFERROR($AA660/$AA659-1,"")</f>
        <v/>
      </c>
      <c r="DI659" s="57">
        <f>IFERROR($AB660/$AB659-1,"")</f>
        <v/>
      </c>
      <c r="DJ659" s="57">
        <f>IFERROR($AC660/$AC659-1,"")</f>
        <v/>
      </c>
      <c r="DK659" s="57">
        <f>IFERROR($AD660/$AD659-1,"")</f>
        <v/>
      </c>
      <c r="DL659" s="57">
        <f>IFERROR($AE660/$AE659-1,"")</f>
        <v/>
      </c>
      <c r="DM659" s="56">
        <f>$AZ659-$AZ660</f>
        <v/>
      </c>
      <c r="DN659" s="56">
        <f>$BA659-$BA660</f>
        <v/>
      </c>
      <c r="DO659" s="56">
        <f>$BB659-$BB660</f>
        <v/>
      </c>
      <c r="DP659" s="56">
        <f>$BC659-$BC660</f>
        <v/>
      </c>
      <c r="DQ659" s="56">
        <f>$BD659-$BD660</f>
        <v/>
      </c>
      <c r="DR659" s="56">
        <f>$BE659-$BE660</f>
        <v/>
      </c>
      <c r="DS659" s="56">
        <f>$BF659-$BF660</f>
        <v/>
      </c>
      <c r="DT659" s="56">
        <f>$BG659-$BG660</f>
        <v/>
      </c>
      <c r="DU659" s="56">
        <f>$BH659-$BH660</f>
        <v/>
      </c>
      <c r="DV659" s="56">
        <f>$BI659-$BI660</f>
        <v/>
      </c>
      <c r="DW659" s="56">
        <f>$BJ659-$BJ660</f>
        <v/>
      </c>
      <c r="DX659" s="56">
        <f>$BK659-$BK660</f>
        <v/>
      </c>
      <c r="DY659" s="56">
        <f>$BL659-$BL660</f>
        <v/>
      </c>
      <c r="DZ659" s="56">
        <f>$BM659-$BM660</f>
        <v/>
      </c>
      <c r="EA659" s="56">
        <f>$BN659-$BN660</f>
        <v/>
      </c>
      <c r="EB659" s="56">
        <f>$BO659-$BO660</f>
        <v/>
      </c>
      <c r="EC659" s="56">
        <f>$BP659-$BP660</f>
        <v/>
      </c>
      <c r="ED659" s="56">
        <f>$BQ659-$BQ660</f>
        <v/>
      </c>
      <c r="EE659" s="56">
        <f>$BR659-$BR660</f>
        <v/>
      </c>
      <c r="EF659" s="56">
        <f>$BS659-$BS660</f>
        <v/>
      </c>
      <c r="EG659" s="56">
        <f>$BT659-$BT660</f>
        <v/>
      </c>
      <c r="EH659" s="56">
        <f>$BU659-$BU660</f>
        <v/>
      </c>
    </row>
    <row r="660">
      <c r="BV660" s="56">
        <f>($D660-$D661)*100</f>
        <v/>
      </c>
      <c r="BW660" s="56">
        <f>($C660-$C661)*100</f>
        <v/>
      </c>
      <c r="BX660" s="57">
        <f>IFERROR($I660/$I661-1,"")</f>
        <v/>
      </c>
      <c r="BY660" s="56">
        <f>($AF660-$AF661)*100</f>
        <v/>
      </c>
      <c r="BZ660" s="56">
        <f>($AG660-$AG661)*100</f>
        <v/>
      </c>
      <c r="CA660" s="56">
        <f>($AH660-$AH661)*100</f>
        <v/>
      </c>
      <c r="CB660" s="56">
        <f>($AI660-$AI661)*100</f>
        <v/>
      </c>
      <c r="CC660" s="56">
        <f>($AJ660-$AJ661)*100</f>
        <v/>
      </c>
      <c r="CD660" s="56">
        <f>($AK660-$AK661)*100</f>
        <v/>
      </c>
      <c r="CE660" s="56">
        <f>($AL660-$AL661)*100</f>
        <v/>
      </c>
      <c r="CF660" s="56">
        <f>($AM660-$AM661)*100</f>
        <v/>
      </c>
      <c r="CG660" s="56">
        <f>($AN660-$AN661)*100</f>
        <v/>
      </c>
      <c r="CH660" s="56">
        <f>($AO660-$AO661)*100</f>
        <v/>
      </c>
      <c r="CI660" s="56">
        <f>($AP660-$AP661)*100</f>
        <v/>
      </c>
      <c r="CJ660" s="56">
        <f>($AQ660-$AQ661)*100</f>
        <v/>
      </c>
      <c r="CK660" s="56">
        <f>($AR660-$AR661)*100</f>
        <v/>
      </c>
      <c r="CL660" s="56">
        <f>($AS660-$AS661)*100</f>
        <v/>
      </c>
      <c r="CM660" s="56">
        <f>($AT660-$AT661)*100</f>
        <v/>
      </c>
      <c r="CN660" s="56">
        <f>($AU660-$AU661)*100</f>
        <v/>
      </c>
      <c r="CO660" s="56">
        <f>($AV660-$AV661)*100</f>
        <v/>
      </c>
      <c r="CP660" s="56">
        <f>($AW660-$AW661)*100</f>
        <v/>
      </c>
      <c r="CQ660" s="56">
        <f>($AX660-$AX661)*100</f>
        <v/>
      </c>
      <c r="CR660" s="56">
        <f>($AY660-$AY661)*100</f>
        <v/>
      </c>
      <c r="CS660" s="57">
        <f>IFERROR($L661/$L660-1,"")</f>
        <v/>
      </c>
      <c r="CT660" s="57">
        <f>IFERROR($M661/$M660-1,"")</f>
        <v/>
      </c>
      <c r="CU660" s="57">
        <f>IFERROR($N661/$N660-1,"")</f>
        <v/>
      </c>
      <c r="CV660" s="57">
        <f>IFERROR($O661/$O660-1,"")</f>
        <v/>
      </c>
      <c r="CW660" s="57">
        <f>IFERROR($P661/$P660-1,"")</f>
        <v/>
      </c>
      <c r="CX660" s="57">
        <f>IFERROR($Q661/$Q660-1,"")</f>
        <v/>
      </c>
      <c r="CY660" s="57">
        <f>IFERROR($R661/$R660-1,"")</f>
        <v/>
      </c>
      <c r="CZ660" s="57">
        <f>IFERROR($S661/$S660-1,"")</f>
        <v/>
      </c>
      <c r="DA660" s="57">
        <f>IFERROR($T661/$T660-1,"")</f>
        <v/>
      </c>
      <c r="DB660" s="57">
        <f>IFERROR($U661/$U660-1,"")</f>
        <v/>
      </c>
      <c r="DC660" s="57">
        <f>IFERROR($V661/$V660-1,"")</f>
        <v/>
      </c>
      <c r="DD660" s="57">
        <f>IFERROR($W661/$W660-1,"")</f>
        <v/>
      </c>
      <c r="DE660" s="57">
        <f>IFERROR($X661/$X660-1,"")</f>
        <v/>
      </c>
      <c r="DF660" s="57">
        <f>IFERROR($Y661/$Y660-1,"")</f>
        <v/>
      </c>
      <c r="DG660" s="57">
        <f>IFERROR($Z661/$Z660-1,"")</f>
        <v/>
      </c>
      <c r="DH660" s="57">
        <f>IFERROR($AA661/$AA660-1,"")</f>
        <v/>
      </c>
      <c r="DI660" s="57">
        <f>IFERROR($AB661/$AB660-1,"")</f>
        <v/>
      </c>
      <c r="DJ660" s="57">
        <f>IFERROR($AC661/$AC660-1,"")</f>
        <v/>
      </c>
      <c r="DK660" s="57">
        <f>IFERROR($AD661/$AD660-1,"")</f>
        <v/>
      </c>
      <c r="DL660" s="57">
        <f>IFERROR($AE661/$AE660-1,"")</f>
        <v/>
      </c>
      <c r="DM660" s="56">
        <f>$AZ660-$AZ661</f>
        <v/>
      </c>
      <c r="DN660" s="56">
        <f>$BA660-$BA661</f>
        <v/>
      </c>
      <c r="DO660" s="56">
        <f>$BB660-$BB661</f>
        <v/>
      </c>
      <c r="DP660" s="56">
        <f>$BC660-$BC661</f>
        <v/>
      </c>
      <c r="DQ660" s="56">
        <f>$BD660-$BD661</f>
        <v/>
      </c>
      <c r="DR660" s="56">
        <f>$BE660-$BE661</f>
        <v/>
      </c>
      <c r="DS660" s="56">
        <f>$BF660-$BF661</f>
        <v/>
      </c>
      <c r="DT660" s="56">
        <f>$BG660-$BG661</f>
        <v/>
      </c>
      <c r="DU660" s="56">
        <f>$BH660-$BH661</f>
        <v/>
      </c>
      <c r="DV660" s="56">
        <f>$BI660-$BI661</f>
        <v/>
      </c>
      <c r="DW660" s="56">
        <f>$BJ660-$BJ661</f>
        <v/>
      </c>
      <c r="DX660" s="56">
        <f>$BK660-$BK661</f>
        <v/>
      </c>
      <c r="DY660" s="56">
        <f>$BL660-$BL661</f>
        <v/>
      </c>
      <c r="DZ660" s="56">
        <f>$BM660-$BM661</f>
        <v/>
      </c>
      <c r="EA660" s="56">
        <f>$BN660-$BN661</f>
        <v/>
      </c>
      <c r="EB660" s="56">
        <f>$BO660-$BO661</f>
        <v/>
      </c>
      <c r="EC660" s="56">
        <f>$BP660-$BP661</f>
        <v/>
      </c>
      <c r="ED660" s="56">
        <f>$BQ660-$BQ661</f>
        <v/>
      </c>
      <c r="EE660" s="56">
        <f>$BR660-$BR661</f>
        <v/>
      </c>
      <c r="EF660" s="56">
        <f>$BS660-$BS661</f>
        <v/>
      </c>
      <c r="EG660" s="56">
        <f>$BT660-$BT661</f>
        <v/>
      </c>
      <c r="EH660" s="56">
        <f>$BU660-$BU661</f>
        <v/>
      </c>
    </row>
    <row r="661">
      <c r="BV661" s="56">
        <f>($D661-$D662)*100</f>
        <v/>
      </c>
      <c r="BW661" s="56">
        <f>($C661-$C662)*100</f>
        <v/>
      </c>
      <c r="BX661" s="57">
        <f>IFERROR($I661/$I662-1,"")</f>
        <v/>
      </c>
      <c r="BY661" s="56">
        <f>($AF661-$AF662)*100</f>
        <v/>
      </c>
      <c r="BZ661" s="56">
        <f>($AG661-$AG662)*100</f>
        <v/>
      </c>
      <c r="CA661" s="56">
        <f>($AH661-$AH662)*100</f>
        <v/>
      </c>
      <c r="CB661" s="56">
        <f>($AI661-$AI662)*100</f>
        <v/>
      </c>
      <c r="CC661" s="56">
        <f>($AJ661-$AJ662)*100</f>
        <v/>
      </c>
      <c r="CD661" s="56">
        <f>($AK661-$AK662)*100</f>
        <v/>
      </c>
      <c r="CE661" s="56">
        <f>($AL661-$AL662)*100</f>
        <v/>
      </c>
      <c r="CF661" s="56">
        <f>($AM661-$AM662)*100</f>
        <v/>
      </c>
      <c r="CG661" s="56">
        <f>($AN661-$AN662)*100</f>
        <v/>
      </c>
      <c r="CH661" s="56">
        <f>($AO661-$AO662)*100</f>
        <v/>
      </c>
      <c r="CI661" s="56">
        <f>($AP661-$AP662)*100</f>
        <v/>
      </c>
      <c r="CJ661" s="56">
        <f>($AQ661-$AQ662)*100</f>
        <v/>
      </c>
      <c r="CK661" s="56">
        <f>($AR661-$AR662)*100</f>
        <v/>
      </c>
      <c r="CL661" s="56">
        <f>($AS661-$AS662)*100</f>
        <v/>
      </c>
      <c r="CM661" s="56">
        <f>($AT661-$AT662)*100</f>
        <v/>
      </c>
      <c r="CN661" s="56">
        <f>($AU661-$AU662)*100</f>
        <v/>
      </c>
      <c r="CO661" s="56">
        <f>($AV661-$AV662)*100</f>
        <v/>
      </c>
      <c r="CP661" s="56">
        <f>($AW661-$AW662)*100</f>
        <v/>
      </c>
      <c r="CQ661" s="56">
        <f>($AX661-$AX662)*100</f>
        <v/>
      </c>
      <c r="CR661" s="56">
        <f>($AY661-$AY662)*100</f>
        <v/>
      </c>
      <c r="CS661" s="57">
        <f>IFERROR($L662/$L661-1,"")</f>
        <v/>
      </c>
      <c r="CT661" s="57">
        <f>IFERROR($M662/$M661-1,"")</f>
        <v/>
      </c>
      <c r="CU661" s="57">
        <f>IFERROR($N662/$N661-1,"")</f>
        <v/>
      </c>
      <c r="CV661" s="57">
        <f>IFERROR($O662/$O661-1,"")</f>
        <v/>
      </c>
      <c r="CW661" s="57">
        <f>IFERROR($P662/$P661-1,"")</f>
        <v/>
      </c>
      <c r="CX661" s="57">
        <f>IFERROR($Q662/$Q661-1,"")</f>
        <v/>
      </c>
      <c r="CY661" s="57">
        <f>IFERROR($R662/$R661-1,"")</f>
        <v/>
      </c>
      <c r="CZ661" s="57">
        <f>IFERROR($S662/$S661-1,"")</f>
        <v/>
      </c>
      <c r="DA661" s="57">
        <f>IFERROR($T662/$T661-1,"")</f>
        <v/>
      </c>
      <c r="DB661" s="57">
        <f>IFERROR($U662/$U661-1,"")</f>
        <v/>
      </c>
      <c r="DC661" s="57">
        <f>IFERROR($V662/$V661-1,"")</f>
        <v/>
      </c>
      <c r="DD661" s="57">
        <f>IFERROR($W662/$W661-1,"")</f>
        <v/>
      </c>
      <c r="DE661" s="57">
        <f>IFERROR($X662/$X661-1,"")</f>
        <v/>
      </c>
      <c r="DF661" s="57">
        <f>IFERROR($Y662/$Y661-1,"")</f>
        <v/>
      </c>
      <c r="DG661" s="57">
        <f>IFERROR($Z662/$Z661-1,"")</f>
        <v/>
      </c>
      <c r="DH661" s="57">
        <f>IFERROR($AA662/$AA661-1,"")</f>
        <v/>
      </c>
      <c r="DI661" s="57">
        <f>IFERROR($AB662/$AB661-1,"")</f>
        <v/>
      </c>
      <c r="DJ661" s="57">
        <f>IFERROR($AC662/$AC661-1,"")</f>
        <v/>
      </c>
      <c r="DK661" s="57">
        <f>IFERROR($AD662/$AD661-1,"")</f>
        <v/>
      </c>
      <c r="DL661" s="57">
        <f>IFERROR($AE662/$AE661-1,"")</f>
        <v/>
      </c>
      <c r="DM661" s="56">
        <f>$AZ661-$AZ662</f>
        <v/>
      </c>
      <c r="DN661" s="56">
        <f>$BA661-$BA662</f>
        <v/>
      </c>
      <c r="DO661" s="56">
        <f>$BB661-$BB662</f>
        <v/>
      </c>
      <c r="DP661" s="56">
        <f>$BC661-$BC662</f>
        <v/>
      </c>
      <c r="DQ661" s="56">
        <f>$BD661-$BD662</f>
        <v/>
      </c>
      <c r="DR661" s="56">
        <f>$BE661-$BE662</f>
        <v/>
      </c>
      <c r="DS661" s="56">
        <f>$BF661-$BF662</f>
        <v/>
      </c>
      <c r="DT661" s="56">
        <f>$BG661-$BG662</f>
        <v/>
      </c>
      <c r="DU661" s="56">
        <f>$BH661-$BH662</f>
        <v/>
      </c>
      <c r="DV661" s="56">
        <f>$BI661-$BI662</f>
        <v/>
      </c>
      <c r="DW661" s="56">
        <f>$BJ661-$BJ662</f>
        <v/>
      </c>
      <c r="DX661" s="56">
        <f>$BK661-$BK662</f>
        <v/>
      </c>
      <c r="DY661" s="56">
        <f>$BL661-$BL662</f>
        <v/>
      </c>
      <c r="DZ661" s="56">
        <f>$BM661-$BM662</f>
        <v/>
      </c>
      <c r="EA661" s="56">
        <f>$BN661-$BN662</f>
        <v/>
      </c>
      <c r="EB661" s="56">
        <f>$BO661-$BO662</f>
        <v/>
      </c>
      <c r="EC661" s="56">
        <f>$BP661-$BP662</f>
        <v/>
      </c>
      <c r="ED661" s="56">
        <f>$BQ661-$BQ662</f>
        <v/>
      </c>
      <c r="EE661" s="56">
        <f>$BR661-$BR662</f>
        <v/>
      </c>
      <c r="EF661" s="56">
        <f>$BS661-$BS662</f>
        <v/>
      </c>
      <c r="EG661" s="56">
        <f>$BT661-$BT662</f>
        <v/>
      </c>
      <c r="EH661" s="56">
        <f>$BU661-$BU662</f>
        <v/>
      </c>
    </row>
    <row r="662">
      <c r="BV662" s="56">
        <f>($D662-$D663)*100</f>
        <v/>
      </c>
      <c r="BW662" s="56">
        <f>($C662-$C663)*100</f>
        <v/>
      </c>
      <c r="BX662" s="57">
        <f>IFERROR($I662/$I663-1,"")</f>
        <v/>
      </c>
      <c r="BY662" s="56">
        <f>($AF662-$AF663)*100</f>
        <v/>
      </c>
      <c r="BZ662" s="56">
        <f>($AG662-$AG663)*100</f>
        <v/>
      </c>
      <c r="CA662" s="56">
        <f>($AH662-$AH663)*100</f>
        <v/>
      </c>
      <c r="CB662" s="56">
        <f>($AI662-$AI663)*100</f>
        <v/>
      </c>
      <c r="CC662" s="56">
        <f>($AJ662-$AJ663)*100</f>
        <v/>
      </c>
      <c r="CD662" s="56">
        <f>($AK662-$AK663)*100</f>
        <v/>
      </c>
      <c r="CE662" s="56">
        <f>($AL662-$AL663)*100</f>
        <v/>
      </c>
      <c r="CF662" s="56">
        <f>($AM662-$AM663)*100</f>
        <v/>
      </c>
      <c r="CG662" s="56">
        <f>($AN662-$AN663)*100</f>
        <v/>
      </c>
      <c r="CH662" s="56">
        <f>($AO662-$AO663)*100</f>
        <v/>
      </c>
      <c r="CI662" s="56">
        <f>($AP662-$AP663)*100</f>
        <v/>
      </c>
      <c r="CJ662" s="56">
        <f>($AQ662-$AQ663)*100</f>
        <v/>
      </c>
      <c r="CK662" s="56">
        <f>($AR662-$AR663)*100</f>
        <v/>
      </c>
      <c r="CL662" s="56">
        <f>($AS662-$AS663)*100</f>
        <v/>
      </c>
      <c r="CM662" s="56">
        <f>($AT662-$AT663)*100</f>
        <v/>
      </c>
      <c r="CN662" s="56">
        <f>($AU662-$AU663)*100</f>
        <v/>
      </c>
      <c r="CO662" s="56">
        <f>($AV662-$AV663)*100</f>
        <v/>
      </c>
      <c r="CP662" s="56">
        <f>($AW662-$AW663)*100</f>
        <v/>
      </c>
      <c r="CQ662" s="56">
        <f>($AX662-$AX663)*100</f>
        <v/>
      </c>
      <c r="CR662" s="56">
        <f>($AY662-$AY663)*100</f>
        <v/>
      </c>
      <c r="CS662" s="57">
        <f>IFERROR($L663/$L662-1,"")</f>
        <v/>
      </c>
      <c r="CT662" s="57">
        <f>IFERROR($M663/$M662-1,"")</f>
        <v/>
      </c>
      <c r="CU662" s="57">
        <f>IFERROR($N663/$N662-1,"")</f>
        <v/>
      </c>
      <c r="CV662" s="57">
        <f>IFERROR($O663/$O662-1,"")</f>
        <v/>
      </c>
      <c r="CW662" s="57">
        <f>IFERROR($P663/$P662-1,"")</f>
        <v/>
      </c>
      <c r="CX662" s="57">
        <f>IFERROR($Q663/$Q662-1,"")</f>
        <v/>
      </c>
      <c r="CY662" s="57">
        <f>IFERROR($R663/$R662-1,"")</f>
        <v/>
      </c>
      <c r="CZ662" s="57">
        <f>IFERROR($S663/$S662-1,"")</f>
        <v/>
      </c>
      <c r="DA662" s="57">
        <f>IFERROR($T663/$T662-1,"")</f>
        <v/>
      </c>
      <c r="DB662" s="57">
        <f>IFERROR($U663/$U662-1,"")</f>
        <v/>
      </c>
      <c r="DC662" s="57">
        <f>IFERROR($V663/$V662-1,"")</f>
        <v/>
      </c>
      <c r="DD662" s="57">
        <f>IFERROR($W663/$W662-1,"")</f>
        <v/>
      </c>
      <c r="DE662" s="57">
        <f>IFERROR($X663/$X662-1,"")</f>
        <v/>
      </c>
      <c r="DF662" s="57">
        <f>IFERROR($Y663/$Y662-1,"")</f>
        <v/>
      </c>
      <c r="DG662" s="57">
        <f>IFERROR($Z663/$Z662-1,"")</f>
        <v/>
      </c>
      <c r="DH662" s="57">
        <f>IFERROR($AA663/$AA662-1,"")</f>
        <v/>
      </c>
      <c r="DI662" s="57">
        <f>IFERROR($AB663/$AB662-1,"")</f>
        <v/>
      </c>
      <c r="DJ662" s="57">
        <f>IFERROR($AC663/$AC662-1,"")</f>
        <v/>
      </c>
      <c r="DK662" s="57">
        <f>IFERROR($AD663/$AD662-1,"")</f>
        <v/>
      </c>
      <c r="DL662" s="57">
        <f>IFERROR($AE663/$AE662-1,"")</f>
        <v/>
      </c>
      <c r="DM662" s="56">
        <f>$AZ662-$AZ663</f>
        <v/>
      </c>
      <c r="DN662" s="56">
        <f>$BA662-$BA663</f>
        <v/>
      </c>
      <c r="DO662" s="56">
        <f>$BB662-$BB663</f>
        <v/>
      </c>
      <c r="DP662" s="56">
        <f>$BC662-$BC663</f>
        <v/>
      </c>
      <c r="DQ662" s="56">
        <f>$BD662-$BD663</f>
        <v/>
      </c>
      <c r="DR662" s="56">
        <f>$BE662-$BE663</f>
        <v/>
      </c>
      <c r="DS662" s="56">
        <f>$BF662-$BF663</f>
        <v/>
      </c>
      <c r="DT662" s="56">
        <f>$BG662-$BG663</f>
        <v/>
      </c>
      <c r="DU662" s="56">
        <f>$BH662-$BH663</f>
        <v/>
      </c>
      <c r="DV662" s="56">
        <f>$BI662-$BI663</f>
        <v/>
      </c>
      <c r="DW662" s="56">
        <f>$BJ662-$BJ663</f>
        <v/>
      </c>
      <c r="DX662" s="56">
        <f>$BK662-$BK663</f>
        <v/>
      </c>
      <c r="DY662" s="56">
        <f>$BL662-$BL663</f>
        <v/>
      </c>
      <c r="DZ662" s="56">
        <f>$BM662-$BM663</f>
        <v/>
      </c>
      <c r="EA662" s="56">
        <f>$BN662-$BN663</f>
        <v/>
      </c>
      <c r="EB662" s="56">
        <f>$BO662-$BO663</f>
        <v/>
      </c>
      <c r="EC662" s="56">
        <f>$BP662-$BP663</f>
        <v/>
      </c>
      <c r="ED662" s="56">
        <f>$BQ662-$BQ663</f>
        <v/>
      </c>
      <c r="EE662" s="56">
        <f>$BR662-$BR663</f>
        <v/>
      </c>
      <c r="EF662" s="56">
        <f>$BS662-$BS663</f>
        <v/>
      </c>
      <c r="EG662" s="56">
        <f>$BT662-$BT663</f>
        <v/>
      </c>
      <c r="EH662" s="56">
        <f>$BU662-$BU663</f>
        <v/>
      </c>
    </row>
    <row r="663">
      <c r="BV663" s="56">
        <f>($D663-$D664)*100</f>
        <v/>
      </c>
      <c r="BW663" s="56">
        <f>($C663-$C664)*100</f>
        <v/>
      </c>
      <c r="BX663" s="57">
        <f>IFERROR($I663/$I664-1,"")</f>
        <v/>
      </c>
      <c r="BY663" s="56">
        <f>($AF663-$AF664)*100</f>
        <v/>
      </c>
      <c r="BZ663" s="56">
        <f>($AG663-$AG664)*100</f>
        <v/>
      </c>
      <c r="CA663" s="56">
        <f>($AH663-$AH664)*100</f>
        <v/>
      </c>
      <c r="CB663" s="56">
        <f>($AI663-$AI664)*100</f>
        <v/>
      </c>
      <c r="CC663" s="56">
        <f>($AJ663-$AJ664)*100</f>
        <v/>
      </c>
      <c r="CD663" s="56">
        <f>($AK663-$AK664)*100</f>
        <v/>
      </c>
      <c r="CE663" s="56">
        <f>($AL663-$AL664)*100</f>
        <v/>
      </c>
      <c r="CF663" s="56">
        <f>($AM663-$AM664)*100</f>
        <v/>
      </c>
      <c r="CG663" s="56">
        <f>($AN663-$AN664)*100</f>
        <v/>
      </c>
      <c r="CH663" s="56">
        <f>($AO663-$AO664)*100</f>
        <v/>
      </c>
      <c r="CI663" s="56">
        <f>($AP663-$AP664)*100</f>
        <v/>
      </c>
      <c r="CJ663" s="56">
        <f>($AQ663-$AQ664)*100</f>
        <v/>
      </c>
      <c r="CK663" s="56">
        <f>($AR663-$AR664)*100</f>
        <v/>
      </c>
      <c r="CL663" s="56">
        <f>($AS663-$AS664)*100</f>
        <v/>
      </c>
      <c r="CM663" s="56">
        <f>($AT663-$AT664)*100</f>
        <v/>
      </c>
      <c r="CN663" s="56">
        <f>($AU663-$AU664)*100</f>
        <v/>
      </c>
      <c r="CO663" s="56">
        <f>($AV663-$AV664)*100</f>
        <v/>
      </c>
      <c r="CP663" s="56">
        <f>($AW663-$AW664)*100</f>
        <v/>
      </c>
      <c r="CQ663" s="56">
        <f>($AX663-$AX664)*100</f>
        <v/>
      </c>
      <c r="CR663" s="56">
        <f>($AY663-$AY664)*100</f>
        <v/>
      </c>
      <c r="CS663" s="57">
        <f>IFERROR($L664/$L663-1,"")</f>
        <v/>
      </c>
      <c r="CT663" s="57">
        <f>IFERROR($M664/$M663-1,"")</f>
        <v/>
      </c>
      <c r="CU663" s="57">
        <f>IFERROR($N664/$N663-1,"")</f>
        <v/>
      </c>
      <c r="CV663" s="57">
        <f>IFERROR($O664/$O663-1,"")</f>
        <v/>
      </c>
      <c r="CW663" s="57">
        <f>IFERROR($P664/$P663-1,"")</f>
        <v/>
      </c>
      <c r="CX663" s="57">
        <f>IFERROR($Q664/$Q663-1,"")</f>
        <v/>
      </c>
      <c r="CY663" s="57">
        <f>IFERROR($R664/$R663-1,"")</f>
        <v/>
      </c>
      <c r="CZ663" s="57">
        <f>IFERROR($S664/$S663-1,"")</f>
        <v/>
      </c>
      <c r="DA663" s="57">
        <f>IFERROR($T664/$T663-1,"")</f>
        <v/>
      </c>
      <c r="DB663" s="57">
        <f>IFERROR($U664/$U663-1,"")</f>
        <v/>
      </c>
      <c r="DC663" s="57">
        <f>IFERROR($V664/$V663-1,"")</f>
        <v/>
      </c>
      <c r="DD663" s="57">
        <f>IFERROR($W664/$W663-1,"")</f>
        <v/>
      </c>
      <c r="DE663" s="57">
        <f>IFERROR($X664/$X663-1,"")</f>
        <v/>
      </c>
      <c r="DF663" s="57">
        <f>IFERROR($Y664/$Y663-1,"")</f>
        <v/>
      </c>
      <c r="DG663" s="57">
        <f>IFERROR($Z664/$Z663-1,"")</f>
        <v/>
      </c>
      <c r="DH663" s="57">
        <f>IFERROR($AA664/$AA663-1,"")</f>
        <v/>
      </c>
      <c r="DI663" s="57">
        <f>IFERROR($AB664/$AB663-1,"")</f>
        <v/>
      </c>
      <c r="DJ663" s="57">
        <f>IFERROR($AC664/$AC663-1,"")</f>
        <v/>
      </c>
      <c r="DK663" s="57">
        <f>IFERROR($AD664/$AD663-1,"")</f>
        <v/>
      </c>
      <c r="DL663" s="57">
        <f>IFERROR($AE664/$AE663-1,"")</f>
        <v/>
      </c>
      <c r="DM663" s="56">
        <f>$AZ663-$AZ664</f>
        <v/>
      </c>
      <c r="DN663" s="56">
        <f>$BA663-$BA664</f>
        <v/>
      </c>
      <c r="DO663" s="56">
        <f>$BB663-$BB664</f>
        <v/>
      </c>
      <c r="DP663" s="56">
        <f>$BC663-$BC664</f>
        <v/>
      </c>
      <c r="DQ663" s="56">
        <f>$BD663-$BD664</f>
        <v/>
      </c>
      <c r="DR663" s="56">
        <f>$BE663-$BE664</f>
        <v/>
      </c>
      <c r="DS663" s="56">
        <f>$BF663-$BF664</f>
        <v/>
      </c>
      <c r="DT663" s="56">
        <f>$BG663-$BG664</f>
        <v/>
      </c>
      <c r="DU663" s="56">
        <f>$BH663-$BH664</f>
        <v/>
      </c>
      <c r="DV663" s="56">
        <f>$BI663-$BI664</f>
        <v/>
      </c>
      <c r="DW663" s="56">
        <f>$BJ663-$BJ664</f>
        <v/>
      </c>
      <c r="DX663" s="56">
        <f>$BK663-$BK664</f>
        <v/>
      </c>
      <c r="DY663" s="56">
        <f>$BL663-$BL664</f>
        <v/>
      </c>
      <c r="DZ663" s="56">
        <f>$BM663-$BM664</f>
        <v/>
      </c>
      <c r="EA663" s="56">
        <f>$BN663-$BN664</f>
        <v/>
      </c>
      <c r="EB663" s="56">
        <f>$BO663-$BO664</f>
        <v/>
      </c>
      <c r="EC663" s="56">
        <f>$BP663-$BP664</f>
        <v/>
      </c>
      <c r="ED663" s="56">
        <f>$BQ663-$BQ664</f>
        <v/>
      </c>
      <c r="EE663" s="56">
        <f>$BR663-$BR664</f>
        <v/>
      </c>
      <c r="EF663" s="56">
        <f>$BS663-$BS664</f>
        <v/>
      </c>
      <c r="EG663" s="56">
        <f>$BT663-$BT664</f>
        <v/>
      </c>
      <c r="EH663" s="56">
        <f>$BU663-$BU664</f>
        <v/>
      </c>
    </row>
    <row r="664">
      <c r="BV664" s="56">
        <f>($D664-$D665)*100</f>
        <v/>
      </c>
      <c r="BW664" s="56">
        <f>($C664-$C665)*100</f>
        <v/>
      </c>
      <c r="BX664" s="57">
        <f>IFERROR($I664/$I665-1,"")</f>
        <v/>
      </c>
      <c r="BY664" s="56">
        <f>($AF664-$AF665)*100</f>
        <v/>
      </c>
      <c r="BZ664" s="56">
        <f>($AG664-$AG665)*100</f>
        <v/>
      </c>
      <c r="CA664" s="56">
        <f>($AH664-$AH665)*100</f>
        <v/>
      </c>
      <c r="CB664" s="56">
        <f>($AI664-$AI665)*100</f>
        <v/>
      </c>
      <c r="CC664" s="56">
        <f>($AJ664-$AJ665)*100</f>
        <v/>
      </c>
      <c r="CD664" s="56">
        <f>($AK664-$AK665)*100</f>
        <v/>
      </c>
      <c r="CE664" s="56">
        <f>($AL664-$AL665)*100</f>
        <v/>
      </c>
      <c r="CF664" s="56">
        <f>($AM664-$AM665)*100</f>
        <v/>
      </c>
      <c r="CG664" s="56">
        <f>($AN664-$AN665)*100</f>
        <v/>
      </c>
      <c r="CH664" s="56">
        <f>($AO664-$AO665)*100</f>
        <v/>
      </c>
      <c r="CI664" s="56">
        <f>($AP664-$AP665)*100</f>
        <v/>
      </c>
      <c r="CJ664" s="56">
        <f>($AQ664-$AQ665)*100</f>
        <v/>
      </c>
      <c r="CK664" s="56">
        <f>($AR664-$AR665)*100</f>
        <v/>
      </c>
      <c r="CL664" s="56">
        <f>($AS664-$AS665)*100</f>
        <v/>
      </c>
      <c r="CM664" s="56">
        <f>($AT664-$AT665)*100</f>
        <v/>
      </c>
      <c r="CN664" s="56">
        <f>($AU664-$AU665)*100</f>
        <v/>
      </c>
      <c r="CO664" s="56">
        <f>($AV664-$AV665)*100</f>
        <v/>
      </c>
      <c r="CP664" s="56">
        <f>($AW664-$AW665)*100</f>
        <v/>
      </c>
      <c r="CQ664" s="56">
        <f>($AX664-$AX665)*100</f>
        <v/>
      </c>
      <c r="CR664" s="56">
        <f>($AY664-$AY665)*100</f>
        <v/>
      </c>
      <c r="CS664" s="57">
        <f>IFERROR($L665/$L664-1,"")</f>
        <v/>
      </c>
      <c r="CT664" s="57">
        <f>IFERROR($M665/$M664-1,"")</f>
        <v/>
      </c>
      <c r="CU664" s="57">
        <f>IFERROR($N665/$N664-1,"")</f>
        <v/>
      </c>
      <c r="CV664" s="57">
        <f>IFERROR($O665/$O664-1,"")</f>
        <v/>
      </c>
      <c r="CW664" s="57">
        <f>IFERROR($P665/$P664-1,"")</f>
        <v/>
      </c>
      <c r="CX664" s="57">
        <f>IFERROR($Q665/$Q664-1,"")</f>
        <v/>
      </c>
      <c r="CY664" s="57">
        <f>IFERROR($R665/$R664-1,"")</f>
        <v/>
      </c>
      <c r="CZ664" s="57">
        <f>IFERROR($S665/$S664-1,"")</f>
        <v/>
      </c>
      <c r="DA664" s="57">
        <f>IFERROR($T665/$T664-1,"")</f>
        <v/>
      </c>
      <c r="DB664" s="57">
        <f>IFERROR($U665/$U664-1,"")</f>
        <v/>
      </c>
      <c r="DC664" s="57">
        <f>IFERROR($V665/$V664-1,"")</f>
        <v/>
      </c>
      <c r="DD664" s="57">
        <f>IFERROR($W665/$W664-1,"")</f>
        <v/>
      </c>
      <c r="DE664" s="57">
        <f>IFERROR($X665/$X664-1,"")</f>
        <v/>
      </c>
      <c r="DF664" s="57">
        <f>IFERROR($Y665/$Y664-1,"")</f>
        <v/>
      </c>
      <c r="DG664" s="57">
        <f>IFERROR($Z665/$Z664-1,"")</f>
        <v/>
      </c>
      <c r="DH664" s="57">
        <f>IFERROR($AA665/$AA664-1,"")</f>
        <v/>
      </c>
      <c r="DI664" s="57">
        <f>IFERROR($AB665/$AB664-1,"")</f>
        <v/>
      </c>
      <c r="DJ664" s="57">
        <f>IFERROR($AC665/$AC664-1,"")</f>
        <v/>
      </c>
      <c r="DK664" s="57">
        <f>IFERROR($AD665/$AD664-1,"")</f>
        <v/>
      </c>
      <c r="DL664" s="57">
        <f>IFERROR($AE665/$AE664-1,"")</f>
        <v/>
      </c>
      <c r="DM664" s="56">
        <f>$AZ664-$AZ665</f>
        <v/>
      </c>
      <c r="DN664" s="56">
        <f>$BA664-$BA665</f>
        <v/>
      </c>
      <c r="DO664" s="56">
        <f>$BB664-$BB665</f>
        <v/>
      </c>
      <c r="DP664" s="56">
        <f>$BC664-$BC665</f>
        <v/>
      </c>
      <c r="DQ664" s="56">
        <f>$BD664-$BD665</f>
        <v/>
      </c>
      <c r="DR664" s="56">
        <f>$BE664-$BE665</f>
        <v/>
      </c>
      <c r="DS664" s="56">
        <f>$BF664-$BF665</f>
        <v/>
      </c>
      <c r="DT664" s="56">
        <f>$BG664-$BG665</f>
        <v/>
      </c>
      <c r="DU664" s="56">
        <f>$BH664-$BH665</f>
        <v/>
      </c>
      <c r="DV664" s="56">
        <f>$BI664-$BI665</f>
        <v/>
      </c>
      <c r="DW664" s="56">
        <f>$BJ664-$BJ665</f>
        <v/>
      </c>
      <c r="DX664" s="56">
        <f>$BK664-$BK665</f>
        <v/>
      </c>
      <c r="DY664" s="56">
        <f>$BL664-$BL665</f>
        <v/>
      </c>
      <c r="DZ664" s="56">
        <f>$BM664-$BM665</f>
        <v/>
      </c>
      <c r="EA664" s="56">
        <f>$BN664-$BN665</f>
        <v/>
      </c>
      <c r="EB664" s="56">
        <f>$BO664-$BO665</f>
        <v/>
      </c>
      <c r="EC664" s="56">
        <f>$BP664-$BP665</f>
        <v/>
      </c>
      <c r="ED664" s="56">
        <f>$BQ664-$BQ665</f>
        <v/>
      </c>
      <c r="EE664" s="56">
        <f>$BR664-$BR665</f>
        <v/>
      </c>
      <c r="EF664" s="56">
        <f>$BS664-$BS665</f>
        <v/>
      </c>
      <c r="EG664" s="56">
        <f>$BT664-$BT665</f>
        <v/>
      </c>
      <c r="EH664" s="56">
        <f>$BU664-$BU665</f>
        <v/>
      </c>
    </row>
    <row r="665">
      <c r="BV665" s="56">
        <f>($D665-$D666)*100</f>
        <v/>
      </c>
      <c r="BW665" s="56">
        <f>($C665-$C666)*100</f>
        <v/>
      </c>
      <c r="BX665" s="57">
        <f>IFERROR($I665/$I666-1,"")</f>
        <v/>
      </c>
      <c r="BY665" s="56">
        <f>($AF665-$AF666)*100</f>
        <v/>
      </c>
      <c r="BZ665" s="56">
        <f>($AG665-$AG666)*100</f>
        <v/>
      </c>
      <c r="CA665" s="56">
        <f>($AH665-$AH666)*100</f>
        <v/>
      </c>
      <c r="CB665" s="56">
        <f>($AI665-$AI666)*100</f>
        <v/>
      </c>
      <c r="CC665" s="56">
        <f>($AJ665-$AJ666)*100</f>
        <v/>
      </c>
      <c r="CD665" s="56">
        <f>($AK665-$AK666)*100</f>
        <v/>
      </c>
      <c r="CE665" s="56">
        <f>($AL665-$AL666)*100</f>
        <v/>
      </c>
      <c r="CF665" s="56">
        <f>($AM665-$AM666)*100</f>
        <v/>
      </c>
      <c r="CG665" s="56">
        <f>($AN665-$AN666)*100</f>
        <v/>
      </c>
      <c r="CH665" s="56">
        <f>($AO665-$AO666)*100</f>
        <v/>
      </c>
      <c r="CI665" s="56">
        <f>($AP665-$AP666)*100</f>
        <v/>
      </c>
      <c r="CJ665" s="56">
        <f>($AQ665-$AQ666)*100</f>
        <v/>
      </c>
      <c r="CK665" s="56">
        <f>($AR665-$AR666)*100</f>
        <v/>
      </c>
      <c r="CL665" s="56">
        <f>($AS665-$AS666)*100</f>
        <v/>
      </c>
      <c r="CM665" s="56">
        <f>($AT665-$AT666)*100</f>
        <v/>
      </c>
      <c r="CN665" s="56">
        <f>($AU665-$AU666)*100</f>
        <v/>
      </c>
      <c r="CO665" s="56">
        <f>($AV665-$AV666)*100</f>
        <v/>
      </c>
      <c r="CP665" s="56">
        <f>($AW665-$AW666)*100</f>
        <v/>
      </c>
      <c r="CQ665" s="56">
        <f>($AX665-$AX666)*100</f>
        <v/>
      </c>
      <c r="CR665" s="56">
        <f>($AY665-$AY666)*100</f>
        <v/>
      </c>
      <c r="CS665" s="57">
        <f>IFERROR($L666/$L665-1,"")</f>
        <v/>
      </c>
      <c r="CT665" s="57">
        <f>IFERROR($M666/$M665-1,"")</f>
        <v/>
      </c>
      <c r="CU665" s="57">
        <f>IFERROR($N666/$N665-1,"")</f>
        <v/>
      </c>
      <c r="CV665" s="57">
        <f>IFERROR($O666/$O665-1,"")</f>
        <v/>
      </c>
      <c r="CW665" s="57">
        <f>IFERROR($P666/$P665-1,"")</f>
        <v/>
      </c>
      <c r="CX665" s="57">
        <f>IFERROR($Q666/$Q665-1,"")</f>
        <v/>
      </c>
      <c r="CY665" s="57">
        <f>IFERROR($R666/$R665-1,"")</f>
        <v/>
      </c>
      <c r="CZ665" s="57">
        <f>IFERROR($S666/$S665-1,"")</f>
        <v/>
      </c>
      <c r="DA665" s="57">
        <f>IFERROR($T666/$T665-1,"")</f>
        <v/>
      </c>
      <c r="DB665" s="57">
        <f>IFERROR($U666/$U665-1,"")</f>
        <v/>
      </c>
      <c r="DC665" s="57">
        <f>IFERROR($V666/$V665-1,"")</f>
        <v/>
      </c>
      <c r="DD665" s="57">
        <f>IFERROR($W666/$W665-1,"")</f>
        <v/>
      </c>
      <c r="DE665" s="57">
        <f>IFERROR($X666/$X665-1,"")</f>
        <v/>
      </c>
      <c r="DF665" s="57">
        <f>IFERROR($Y666/$Y665-1,"")</f>
        <v/>
      </c>
      <c r="DG665" s="57">
        <f>IFERROR($Z666/$Z665-1,"")</f>
        <v/>
      </c>
      <c r="DH665" s="57">
        <f>IFERROR($AA666/$AA665-1,"")</f>
        <v/>
      </c>
      <c r="DI665" s="57">
        <f>IFERROR($AB666/$AB665-1,"")</f>
        <v/>
      </c>
      <c r="DJ665" s="57">
        <f>IFERROR($AC666/$AC665-1,"")</f>
        <v/>
      </c>
      <c r="DK665" s="57">
        <f>IFERROR($AD666/$AD665-1,"")</f>
        <v/>
      </c>
      <c r="DL665" s="57">
        <f>IFERROR($AE666/$AE665-1,"")</f>
        <v/>
      </c>
      <c r="DM665" s="56">
        <f>$AZ665-$AZ666</f>
        <v/>
      </c>
      <c r="DN665" s="56">
        <f>$BA665-$BA666</f>
        <v/>
      </c>
      <c r="DO665" s="56">
        <f>$BB665-$BB666</f>
        <v/>
      </c>
      <c r="DP665" s="56">
        <f>$BC665-$BC666</f>
        <v/>
      </c>
      <c r="DQ665" s="56">
        <f>$BD665-$BD666</f>
        <v/>
      </c>
      <c r="DR665" s="56">
        <f>$BE665-$BE666</f>
        <v/>
      </c>
      <c r="DS665" s="56">
        <f>$BF665-$BF666</f>
        <v/>
      </c>
      <c r="DT665" s="56">
        <f>$BG665-$BG666</f>
        <v/>
      </c>
      <c r="DU665" s="56">
        <f>$BH665-$BH666</f>
        <v/>
      </c>
      <c r="DV665" s="56">
        <f>$BI665-$BI666</f>
        <v/>
      </c>
      <c r="DW665" s="56">
        <f>$BJ665-$BJ666</f>
        <v/>
      </c>
      <c r="DX665" s="56">
        <f>$BK665-$BK666</f>
        <v/>
      </c>
      <c r="DY665" s="56">
        <f>$BL665-$BL666</f>
        <v/>
      </c>
      <c r="DZ665" s="56">
        <f>$BM665-$BM666</f>
        <v/>
      </c>
      <c r="EA665" s="56">
        <f>$BN665-$BN666</f>
        <v/>
      </c>
      <c r="EB665" s="56">
        <f>$BO665-$BO666</f>
        <v/>
      </c>
      <c r="EC665" s="56">
        <f>$BP665-$BP666</f>
        <v/>
      </c>
      <c r="ED665" s="56">
        <f>$BQ665-$BQ666</f>
        <v/>
      </c>
      <c r="EE665" s="56">
        <f>$BR665-$BR666</f>
        <v/>
      </c>
      <c r="EF665" s="56">
        <f>$BS665-$BS666</f>
        <v/>
      </c>
      <c r="EG665" s="56">
        <f>$BT665-$BT666</f>
        <v/>
      </c>
      <c r="EH665" s="56">
        <f>$BU665-$BU666</f>
        <v/>
      </c>
    </row>
    <row r="666">
      <c r="BV666" s="56">
        <f>($D666-$D667)*100</f>
        <v/>
      </c>
      <c r="BW666" s="56">
        <f>($C666-$C667)*100</f>
        <v/>
      </c>
      <c r="BX666" s="57">
        <f>IFERROR($I666/$I667-1,"")</f>
        <v/>
      </c>
      <c r="BY666" s="56">
        <f>($AF666-$AF667)*100</f>
        <v/>
      </c>
      <c r="BZ666" s="56">
        <f>($AG666-$AG667)*100</f>
        <v/>
      </c>
      <c r="CA666" s="56">
        <f>($AH666-$AH667)*100</f>
        <v/>
      </c>
      <c r="CB666" s="56">
        <f>($AI666-$AI667)*100</f>
        <v/>
      </c>
      <c r="CC666" s="56">
        <f>($AJ666-$AJ667)*100</f>
        <v/>
      </c>
      <c r="CD666" s="56">
        <f>($AK666-$AK667)*100</f>
        <v/>
      </c>
      <c r="CE666" s="56">
        <f>($AL666-$AL667)*100</f>
        <v/>
      </c>
      <c r="CF666" s="56">
        <f>($AM666-$AM667)*100</f>
        <v/>
      </c>
      <c r="CG666" s="56">
        <f>($AN666-$AN667)*100</f>
        <v/>
      </c>
      <c r="CH666" s="56">
        <f>($AO666-$AO667)*100</f>
        <v/>
      </c>
      <c r="CI666" s="56">
        <f>($AP666-$AP667)*100</f>
        <v/>
      </c>
      <c r="CJ666" s="56">
        <f>($AQ666-$AQ667)*100</f>
        <v/>
      </c>
      <c r="CK666" s="56">
        <f>($AR666-$AR667)*100</f>
        <v/>
      </c>
      <c r="CL666" s="56">
        <f>($AS666-$AS667)*100</f>
        <v/>
      </c>
      <c r="CM666" s="56">
        <f>($AT666-$AT667)*100</f>
        <v/>
      </c>
      <c r="CN666" s="56">
        <f>($AU666-$AU667)*100</f>
        <v/>
      </c>
      <c r="CO666" s="56">
        <f>($AV666-$AV667)*100</f>
        <v/>
      </c>
      <c r="CP666" s="56">
        <f>($AW666-$AW667)*100</f>
        <v/>
      </c>
      <c r="CQ666" s="56">
        <f>($AX666-$AX667)*100</f>
        <v/>
      </c>
      <c r="CR666" s="56">
        <f>($AY666-$AY667)*100</f>
        <v/>
      </c>
      <c r="CS666" s="57">
        <f>IFERROR($L667/$L666-1,"")</f>
        <v/>
      </c>
      <c r="CT666" s="57">
        <f>IFERROR($M667/$M666-1,"")</f>
        <v/>
      </c>
      <c r="CU666" s="57">
        <f>IFERROR($N667/$N666-1,"")</f>
        <v/>
      </c>
      <c r="CV666" s="57">
        <f>IFERROR($O667/$O666-1,"")</f>
        <v/>
      </c>
      <c r="CW666" s="57">
        <f>IFERROR($P667/$P666-1,"")</f>
        <v/>
      </c>
      <c r="CX666" s="57">
        <f>IFERROR($Q667/$Q666-1,"")</f>
        <v/>
      </c>
      <c r="CY666" s="57">
        <f>IFERROR($R667/$R666-1,"")</f>
        <v/>
      </c>
      <c r="CZ666" s="57">
        <f>IFERROR($S667/$S666-1,"")</f>
        <v/>
      </c>
      <c r="DA666" s="57">
        <f>IFERROR($T667/$T666-1,"")</f>
        <v/>
      </c>
      <c r="DB666" s="57">
        <f>IFERROR($U667/$U666-1,"")</f>
        <v/>
      </c>
      <c r="DC666" s="57">
        <f>IFERROR($V667/$V666-1,"")</f>
        <v/>
      </c>
      <c r="DD666" s="57">
        <f>IFERROR($W667/$W666-1,"")</f>
        <v/>
      </c>
      <c r="DE666" s="57">
        <f>IFERROR($X667/$X666-1,"")</f>
        <v/>
      </c>
      <c r="DF666" s="57">
        <f>IFERROR($Y667/$Y666-1,"")</f>
        <v/>
      </c>
      <c r="DG666" s="57">
        <f>IFERROR($Z667/$Z666-1,"")</f>
        <v/>
      </c>
      <c r="DH666" s="57">
        <f>IFERROR($AA667/$AA666-1,"")</f>
        <v/>
      </c>
      <c r="DI666" s="57">
        <f>IFERROR($AB667/$AB666-1,"")</f>
        <v/>
      </c>
      <c r="DJ666" s="57">
        <f>IFERROR($AC667/$AC666-1,"")</f>
        <v/>
      </c>
      <c r="DK666" s="57">
        <f>IFERROR($AD667/$AD666-1,"")</f>
        <v/>
      </c>
      <c r="DL666" s="57">
        <f>IFERROR($AE667/$AE666-1,"")</f>
        <v/>
      </c>
      <c r="DM666" s="56">
        <f>$AZ666-$AZ667</f>
        <v/>
      </c>
      <c r="DN666" s="56">
        <f>$BA666-$BA667</f>
        <v/>
      </c>
      <c r="DO666" s="56">
        <f>$BB666-$BB667</f>
        <v/>
      </c>
      <c r="DP666" s="56">
        <f>$BC666-$BC667</f>
        <v/>
      </c>
      <c r="DQ666" s="56">
        <f>$BD666-$BD667</f>
        <v/>
      </c>
      <c r="DR666" s="56">
        <f>$BE666-$BE667</f>
        <v/>
      </c>
      <c r="DS666" s="56">
        <f>$BF666-$BF667</f>
        <v/>
      </c>
      <c r="DT666" s="56">
        <f>$BG666-$BG667</f>
        <v/>
      </c>
      <c r="DU666" s="56">
        <f>$BH666-$BH667</f>
        <v/>
      </c>
      <c r="DV666" s="56">
        <f>$BI666-$BI667</f>
        <v/>
      </c>
      <c r="DW666" s="56">
        <f>$BJ666-$BJ667</f>
        <v/>
      </c>
      <c r="DX666" s="56">
        <f>$BK666-$BK667</f>
        <v/>
      </c>
      <c r="DY666" s="56">
        <f>$BL666-$BL667</f>
        <v/>
      </c>
      <c r="DZ666" s="56">
        <f>$BM666-$BM667</f>
        <v/>
      </c>
      <c r="EA666" s="56">
        <f>$BN666-$BN667</f>
        <v/>
      </c>
      <c r="EB666" s="56">
        <f>$BO666-$BO667</f>
        <v/>
      </c>
      <c r="EC666" s="56">
        <f>$BP666-$BP667</f>
        <v/>
      </c>
      <c r="ED666" s="56">
        <f>$BQ666-$BQ667</f>
        <v/>
      </c>
      <c r="EE666" s="56">
        <f>$BR666-$BR667</f>
        <v/>
      </c>
      <c r="EF666" s="56">
        <f>$BS666-$BS667</f>
        <v/>
      </c>
      <c r="EG666" s="56">
        <f>$BT666-$BT667</f>
        <v/>
      </c>
      <c r="EH666" s="56">
        <f>$BU666-$BU667</f>
        <v/>
      </c>
    </row>
    <row r="667">
      <c r="BV667" s="56">
        <f>($D667-$D668)*100</f>
        <v/>
      </c>
      <c r="BW667" s="56">
        <f>($C667-$C668)*100</f>
        <v/>
      </c>
      <c r="BX667" s="57">
        <f>IFERROR($I667/$I668-1,"")</f>
        <v/>
      </c>
      <c r="BY667" s="56">
        <f>($AF667-$AF668)*100</f>
        <v/>
      </c>
      <c r="BZ667" s="56">
        <f>($AG667-$AG668)*100</f>
        <v/>
      </c>
      <c r="CA667" s="56">
        <f>($AH667-$AH668)*100</f>
        <v/>
      </c>
      <c r="CB667" s="56">
        <f>($AI667-$AI668)*100</f>
        <v/>
      </c>
      <c r="CC667" s="56">
        <f>($AJ667-$AJ668)*100</f>
        <v/>
      </c>
      <c r="CD667" s="56">
        <f>($AK667-$AK668)*100</f>
        <v/>
      </c>
      <c r="CE667" s="56">
        <f>($AL667-$AL668)*100</f>
        <v/>
      </c>
      <c r="CF667" s="56">
        <f>($AM667-$AM668)*100</f>
        <v/>
      </c>
      <c r="CG667" s="56">
        <f>($AN667-$AN668)*100</f>
        <v/>
      </c>
      <c r="CH667" s="56">
        <f>($AO667-$AO668)*100</f>
        <v/>
      </c>
      <c r="CI667" s="56">
        <f>($AP667-$AP668)*100</f>
        <v/>
      </c>
      <c r="CJ667" s="56">
        <f>($AQ667-$AQ668)*100</f>
        <v/>
      </c>
      <c r="CK667" s="56">
        <f>($AR667-$AR668)*100</f>
        <v/>
      </c>
      <c r="CL667" s="56">
        <f>($AS667-$AS668)*100</f>
        <v/>
      </c>
      <c r="CM667" s="56">
        <f>($AT667-$AT668)*100</f>
        <v/>
      </c>
      <c r="CN667" s="56">
        <f>($AU667-$AU668)*100</f>
        <v/>
      </c>
      <c r="CO667" s="56">
        <f>($AV667-$AV668)*100</f>
        <v/>
      </c>
      <c r="CP667" s="56">
        <f>($AW667-$AW668)*100</f>
        <v/>
      </c>
      <c r="CQ667" s="56">
        <f>($AX667-$AX668)*100</f>
        <v/>
      </c>
      <c r="CR667" s="56">
        <f>($AY667-$AY668)*100</f>
        <v/>
      </c>
      <c r="CS667" s="57">
        <f>IFERROR($L668/$L667-1,"")</f>
        <v/>
      </c>
      <c r="CT667" s="57">
        <f>IFERROR($M668/$M667-1,"")</f>
        <v/>
      </c>
      <c r="CU667" s="57">
        <f>IFERROR($N668/$N667-1,"")</f>
        <v/>
      </c>
      <c r="CV667" s="57">
        <f>IFERROR($O668/$O667-1,"")</f>
        <v/>
      </c>
      <c r="CW667" s="57">
        <f>IFERROR($P668/$P667-1,"")</f>
        <v/>
      </c>
      <c r="CX667" s="57">
        <f>IFERROR($Q668/$Q667-1,"")</f>
        <v/>
      </c>
      <c r="CY667" s="57">
        <f>IFERROR($R668/$R667-1,"")</f>
        <v/>
      </c>
      <c r="CZ667" s="57">
        <f>IFERROR($S668/$S667-1,"")</f>
        <v/>
      </c>
      <c r="DA667" s="57">
        <f>IFERROR($T668/$T667-1,"")</f>
        <v/>
      </c>
      <c r="DB667" s="57">
        <f>IFERROR($U668/$U667-1,"")</f>
        <v/>
      </c>
      <c r="DC667" s="57">
        <f>IFERROR($V668/$V667-1,"")</f>
        <v/>
      </c>
      <c r="DD667" s="57">
        <f>IFERROR($W668/$W667-1,"")</f>
        <v/>
      </c>
      <c r="DE667" s="57">
        <f>IFERROR($X668/$X667-1,"")</f>
        <v/>
      </c>
      <c r="DF667" s="57">
        <f>IFERROR($Y668/$Y667-1,"")</f>
        <v/>
      </c>
      <c r="DG667" s="57">
        <f>IFERROR($Z668/$Z667-1,"")</f>
        <v/>
      </c>
      <c r="DH667" s="57">
        <f>IFERROR($AA668/$AA667-1,"")</f>
        <v/>
      </c>
      <c r="DI667" s="57">
        <f>IFERROR($AB668/$AB667-1,"")</f>
        <v/>
      </c>
      <c r="DJ667" s="57">
        <f>IFERROR($AC668/$AC667-1,"")</f>
        <v/>
      </c>
      <c r="DK667" s="57">
        <f>IFERROR($AD668/$AD667-1,"")</f>
        <v/>
      </c>
      <c r="DL667" s="57">
        <f>IFERROR($AE668/$AE667-1,"")</f>
        <v/>
      </c>
      <c r="DM667" s="56">
        <f>$AZ667-$AZ668</f>
        <v/>
      </c>
      <c r="DN667" s="56">
        <f>$BA667-$BA668</f>
        <v/>
      </c>
      <c r="DO667" s="56">
        <f>$BB667-$BB668</f>
        <v/>
      </c>
      <c r="DP667" s="56">
        <f>$BC667-$BC668</f>
        <v/>
      </c>
      <c r="DQ667" s="56">
        <f>$BD667-$BD668</f>
        <v/>
      </c>
      <c r="DR667" s="56">
        <f>$BE667-$BE668</f>
        <v/>
      </c>
      <c r="DS667" s="56">
        <f>$BF667-$BF668</f>
        <v/>
      </c>
      <c r="DT667" s="56">
        <f>$BG667-$BG668</f>
        <v/>
      </c>
      <c r="DU667" s="56">
        <f>$BH667-$BH668</f>
        <v/>
      </c>
      <c r="DV667" s="56">
        <f>$BI667-$BI668</f>
        <v/>
      </c>
      <c r="DW667" s="56">
        <f>$BJ667-$BJ668</f>
        <v/>
      </c>
      <c r="DX667" s="56">
        <f>$BK667-$BK668</f>
        <v/>
      </c>
      <c r="DY667" s="56">
        <f>$BL667-$BL668</f>
        <v/>
      </c>
      <c r="DZ667" s="56">
        <f>$BM667-$BM668</f>
        <v/>
      </c>
      <c r="EA667" s="56">
        <f>$BN667-$BN668</f>
        <v/>
      </c>
      <c r="EB667" s="56">
        <f>$BO667-$BO668</f>
        <v/>
      </c>
      <c r="EC667" s="56">
        <f>$BP667-$BP668</f>
        <v/>
      </c>
      <c r="ED667" s="56">
        <f>$BQ667-$BQ668</f>
        <v/>
      </c>
      <c r="EE667" s="56">
        <f>$BR667-$BR668</f>
        <v/>
      </c>
      <c r="EF667" s="56">
        <f>$BS667-$BS668</f>
        <v/>
      </c>
      <c r="EG667" s="56">
        <f>$BT667-$BT668</f>
        <v/>
      </c>
      <c r="EH667" s="56">
        <f>$BU667-$BU668</f>
        <v/>
      </c>
    </row>
    <row r="668">
      <c r="BV668" s="56">
        <f>($D668-$D669)*100</f>
        <v/>
      </c>
      <c r="BW668" s="56">
        <f>($C668-$C669)*100</f>
        <v/>
      </c>
      <c r="BX668" s="57">
        <f>IFERROR($I668/$I669-1,"")</f>
        <v/>
      </c>
      <c r="BY668" s="56">
        <f>($AF668-$AF669)*100</f>
        <v/>
      </c>
      <c r="BZ668" s="56">
        <f>($AG668-$AG669)*100</f>
        <v/>
      </c>
      <c r="CA668" s="56">
        <f>($AH668-$AH669)*100</f>
        <v/>
      </c>
      <c r="CB668" s="56">
        <f>($AI668-$AI669)*100</f>
        <v/>
      </c>
      <c r="CC668" s="56">
        <f>($AJ668-$AJ669)*100</f>
        <v/>
      </c>
      <c r="CD668" s="56">
        <f>($AK668-$AK669)*100</f>
        <v/>
      </c>
      <c r="CE668" s="56">
        <f>($AL668-$AL669)*100</f>
        <v/>
      </c>
      <c r="CF668" s="56">
        <f>($AM668-$AM669)*100</f>
        <v/>
      </c>
      <c r="CG668" s="56">
        <f>($AN668-$AN669)*100</f>
        <v/>
      </c>
      <c r="CH668" s="56">
        <f>($AO668-$AO669)*100</f>
        <v/>
      </c>
      <c r="CI668" s="56">
        <f>($AP668-$AP669)*100</f>
        <v/>
      </c>
      <c r="CJ668" s="56">
        <f>($AQ668-$AQ669)*100</f>
        <v/>
      </c>
      <c r="CK668" s="56">
        <f>($AR668-$AR669)*100</f>
        <v/>
      </c>
      <c r="CL668" s="56">
        <f>($AS668-$AS669)*100</f>
        <v/>
      </c>
      <c r="CM668" s="56">
        <f>($AT668-$AT669)*100</f>
        <v/>
      </c>
      <c r="CN668" s="56">
        <f>($AU668-$AU669)*100</f>
        <v/>
      </c>
      <c r="CO668" s="56">
        <f>($AV668-$AV669)*100</f>
        <v/>
      </c>
      <c r="CP668" s="56">
        <f>($AW668-$AW669)*100</f>
        <v/>
      </c>
      <c r="CQ668" s="56">
        <f>($AX668-$AX669)*100</f>
        <v/>
      </c>
      <c r="CR668" s="56">
        <f>($AY668-$AY669)*100</f>
        <v/>
      </c>
      <c r="CS668" s="57">
        <f>IFERROR($L669/$L668-1,"")</f>
        <v/>
      </c>
      <c r="CT668" s="57">
        <f>IFERROR($M669/$M668-1,"")</f>
        <v/>
      </c>
      <c r="CU668" s="57">
        <f>IFERROR($N669/$N668-1,"")</f>
        <v/>
      </c>
      <c r="CV668" s="57">
        <f>IFERROR($O669/$O668-1,"")</f>
        <v/>
      </c>
      <c r="CW668" s="57">
        <f>IFERROR($P669/$P668-1,"")</f>
        <v/>
      </c>
      <c r="CX668" s="57">
        <f>IFERROR($Q669/$Q668-1,"")</f>
        <v/>
      </c>
      <c r="CY668" s="57">
        <f>IFERROR($R669/$R668-1,"")</f>
        <v/>
      </c>
      <c r="CZ668" s="57">
        <f>IFERROR($S669/$S668-1,"")</f>
        <v/>
      </c>
      <c r="DA668" s="57">
        <f>IFERROR($T669/$T668-1,"")</f>
        <v/>
      </c>
      <c r="DB668" s="57">
        <f>IFERROR($U669/$U668-1,"")</f>
        <v/>
      </c>
      <c r="DC668" s="57">
        <f>IFERROR($V669/$V668-1,"")</f>
        <v/>
      </c>
      <c r="DD668" s="57">
        <f>IFERROR($W669/$W668-1,"")</f>
        <v/>
      </c>
      <c r="DE668" s="57">
        <f>IFERROR($X669/$X668-1,"")</f>
        <v/>
      </c>
      <c r="DF668" s="57">
        <f>IFERROR($Y669/$Y668-1,"")</f>
        <v/>
      </c>
      <c r="DG668" s="57">
        <f>IFERROR($Z669/$Z668-1,"")</f>
        <v/>
      </c>
      <c r="DH668" s="57">
        <f>IFERROR($AA669/$AA668-1,"")</f>
        <v/>
      </c>
      <c r="DI668" s="57">
        <f>IFERROR($AB669/$AB668-1,"")</f>
        <v/>
      </c>
      <c r="DJ668" s="57">
        <f>IFERROR($AC669/$AC668-1,"")</f>
        <v/>
      </c>
      <c r="DK668" s="57">
        <f>IFERROR($AD669/$AD668-1,"")</f>
        <v/>
      </c>
      <c r="DL668" s="57">
        <f>IFERROR($AE669/$AE668-1,"")</f>
        <v/>
      </c>
      <c r="DM668" s="56">
        <f>$AZ668-$AZ669</f>
        <v/>
      </c>
      <c r="DN668" s="56">
        <f>$BA668-$BA669</f>
        <v/>
      </c>
      <c r="DO668" s="56">
        <f>$BB668-$BB669</f>
        <v/>
      </c>
      <c r="DP668" s="56">
        <f>$BC668-$BC669</f>
        <v/>
      </c>
      <c r="DQ668" s="56">
        <f>$BD668-$BD669</f>
        <v/>
      </c>
      <c r="DR668" s="56">
        <f>$BE668-$BE669</f>
        <v/>
      </c>
      <c r="DS668" s="56">
        <f>$BF668-$BF669</f>
        <v/>
      </c>
      <c r="DT668" s="56">
        <f>$BG668-$BG669</f>
        <v/>
      </c>
      <c r="DU668" s="56">
        <f>$BH668-$BH669</f>
        <v/>
      </c>
      <c r="DV668" s="56">
        <f>$BI668-$BI669</f>
        <v/>
      </c>
      <c r="DW668" s="56">
        <f>$BJ668-$BJ669</f>
        <v/>
      </c>
      <c r="DX668" s="56">
        <f>$BK668-$BK669</f>
        <v/>
      </c>
      <c r="DY668" s="56">
        <f>$BL668-$BL669</f>
        <v/>
      </c>
      <c r="DZ668" s="56">
        <f>$BM668-$BM669</f>
        <v/>
      </c>
      <c r="EA668" s="56">
        <f>$BN668-$BN669</f>
        <v/>
      </c>
      <c r="EB668" s="56">
        <f>$BO668-$BO669</f>
        <v/>
      </c>
      <c r="EC668" s="56">
        <f>$BP668-$BP669</f>
        <v/>
      </c>
      <c r="ED668" s="56">
        <f>$BQ668-$BQ669</f>
        <v/>
      </c>
      <c r="EE668" s="56">
        <f>$BR668-$BR669</f>
        <v/>
      </c>
      <c r="EF668" s="56">
        <f>$BS668-$BS669</f>
        <v/>
      </c>
      <c r="EG668" s="56">
        <f>$BT668-$BT669</f>
        <v/>
      </c>
      <c r="EH668" s="56">
        <f>$BU668-$BU669</f>
        <v/>
      </c>
    </row>
    <row r="669">
      <c r="BV669" s="56">
        <f>($D669-$D670)*100</f>
        <v/>
      </c>
      <c r="BW669" s="56">
        <f>($C669-$C670)*100</f>
        <v/>
      </c>
      <c r="BX669" s="57">
        <f>IFERROR($I669/$I670-1,"")</f>
        <v/>
      </c>
      <c r="BY669" s="56">
        <f>($AF669-$AF670)*100</f>
        <v/>
      </c>
      <c r="BZ669" s="56">
        <f>($AG669-$AG670)*100</f>
        <v/>
      </c>
      <c r="CA669" s="56">
        <f>($AH669-$AH670)*100</f>
        <v/>
      </c>
      <c r="CB669" s="56">
        <f>($AI669-$AI670)*100</f>
        <v/>
      </c>
      <c r="CC669" s="56">
        <f>($AJ669-$AJ670)*100</f>
        <v/>
      </c>
      <c r="CD669" s="56">
        <f>($AK669-$AK670)*100</f>
        <v/>
      </c>
      <c r="CE669" s="56">
        <f>($AL669-$AL670)*100</f>
        <v/>
      </c>
      <c r="CF669" s="56">
        <f>($AM669-$AM670)*100</f>
        <v/>
      </c>
      <c r="CG669" s="56">
        <f>($AN669-$AN670)*100</f>
        <v/>
      </c>
      <c r="CH669" s="56">
        <f>($AO669-$AO670)*100</f>
        <v/>
      </c>
      <c r="CI669" s="56">
        <f>($AP669-$AP670)*100</f>
        <v/>
      </c>
      <c r="CJ669" s="56">
        <f>($AQ669-$AQ670)*100</f>
        <v/>
      </c>
      <c r="CK669" s="56">
        <f>($AR669-$AR670)*100</f>
        <v/>
      </c>
      <c r="CL669" s="56">
        <f>($AS669-$AS670)*100</f>
        <v/>
      </c>
      <c r="CM669" s="56">
        <f>($AT669-$AT670)*100</f>
        <v/>
      </c>
      <c r="CN669" s="56">
        <f>($AU669-$AU670)*100</f>
        <v/>
      </c>
      <c r="CO669" s="56">
        <f>($AV669-$AV670)*100</f>
        <v/>
      </c>
      <c r="CP669" s="56">
        <f>($AW669-$AW670)*100</f>
        <v/>
      </c>
      <c r="CQ669" s="56">
        <f>($AX669-$AX670)*100</f>
        <v/>
      </c>
      <c r="CR669" s="56">
        <f>($AY669-$AY670)*100</f>
        <v/>
      </c>
      <c r="CS669" s="57">
        <f>IFERROR($L670/$L669-1,"")</f>
        <v/>
      </c>
      <c r="CT669" s="57">
        <f>IFERROR($M670/$M669-1,"")</f>
        <v/>
      </c>
      <c r="CU669" s="57">
        <f>IFERROR($N670/$N669-1,"")</f>
        <v/>
      </c>
      <c r="CV669" s="57">
        <f>IFERROR($O670/$O669-1,"")</f>
        <v/>
      </c>
      <c r="CW669" s="57">
        <f>IFERROR($P670/$P669-1,"")</f>
        <v/>
      </c>
      <c r="CX669" s="57">
        <f>IFERROR($Q670/$Q669-1,"")</f>
        <v/>
      </c>
      <c r="CY669" s="57">
        <f>IFERROR($R670/$R669-1,"")</f>
        <v/>
      </c>
      <c r="CZ669" s="57">
        <f>IFERROR($S670/$S669-1,"")</f>
        <v/>
      </c>
      <c r="DA669" s="57">
        <f>IFERROR($T670/$T669-1,"")</f>
        <v/>
      </c>
      <c r="DB669" s="57">
        <f>IFERROR($U670/$U669-1,"")</f>
        <v/>
      </c>
      <c r="DC669" s="57">
        <f>IFERROR($V670/$V669-1,"")</f>
        <v/>
      </c>
      <c r="DD669" s="57">
        <f>IFERROR($W670/$W669-1,"")</f>
        <v/>
      </c>
      <c r="DE669" s="57">
        <f>IFERROR($X670/$X669-1,"")</f>
        <v/>
      </c>
      <c r="DF669" s="57">
        <f>IFERROR($Y670/$Y669-1,"")</f>
        <v/>
      </c>
      <c r="DG669" s="57">
        <f>IFERROR($Z670/$Z669-1,"")</f>
        <v/>
      </c>
      <c r="DH669" s="57">
        <f>IFERROR($AA670/$AA669-1,"")</f>
        <v/>
      </c>
      <c r="DI669" s="57">
        <f>IFERROR($AB670/$AB669-1,"")</f>
        <v/>
      </c>
      <c r="DJ669" s="57">
        <f>IFERROR($AC670/$AC669-1,"")</f>
        <v/>
      </c>
      <c r="DK669" s="57">
        <f>IFERROR($AD670/$AD669-1,"")</f>
        <v/>
      </c>
      <c r="DL669" s="57">
        <f>IFERROR($AE670/$AE669-1,"")</f>
        <v/>
      </c>
      <c r="DM669" s="56">
        <f>$AZ669-$AZ670</f>
        <v/>
      </c>
      <c r="DN669" s="56">
        <f>$BA669-$BA670</f>
        <v/>
      </c>
      <c r="DO669" s="56">
        <f>$BB669-$BB670</f>
        <v/>
      </c>
      <c r="DP669" s="56">
        <f>$BC669-$BC670</f>
        <v/>
      </c>
      <c r="DQ669" s="56">
        <f>$BD669-$BD670</f>
        <v/>
      </c>
      <c r="DR669" s="56">
        <f>$BE669-$BE670</f>
        <v/>
      </c>
      <c r="DS669" s="56">
        <f>$BF669-$BF670</f>
        <v/>
      </c>
      <c r="DT669" s="56">
        <f>$BG669-$BG670</f>
        <v/>
      </c>
      <c r="DU669" s="56">
        <f>$BH669-$BH670</f>
        <v/>
      </c>
      <c r="DV669" s="56">
        <f>$BI669-$BI670</f>
        <v/>
      </c>
      <c r="DW669" s="56">
        <f>$BJ669-$BJ670</f>
        <v/>
      </c>
      <c r="DX669" s="56">
        <f>$BK669-$BK670</f>
        <v/>
      </c>
      <c r="DY669" s="56">
        <f>$BL669-$BL670</f>
        <v/>
      </c>
      <c r="DZ669" s="56">
        <f>$BM669-$BM670</f>
        <v/>
      </c>
      <c r="EA669" s="56">
        <f>$BN669-$BN670</f>
        <v/>
      </c>
      <c r="EB669" s="56">
        <f>$BO669-$BO670</f>
        <v/>
      </c>
      <c r="EC669" s="56">
        <f>$BP669-$BP670</f>
        <v/>
      </c>
      <c r="ED669" s="56">
        <f>$BQ669-$BQ670</f>
        <v/>
      </c>
      <c r="EE669" s="56">
        <f>$BR669-$BR670</f>
        <v/>
      </c>
      <c r="EF669" s="56">
        <f>$BS669-$BS670</f>
        <v/>
      </c>
      <c r="EG669" s="56">
        <f>$BT669-$BT670</f>
        <v/>
      </c>
      <c r="EH669" s="56">
        <f>$BU669-$BU670</f>
        <v/>
      </c>
    </row>
    <row r="670">
      <c r="BV670" s="56">
        <f>($D670-$D671)*100</f>
        <v/>
      </c>
      <c r="BW670" s="56">
        <f>($C670-$C671)*100</f>
        <v/>
      </c>
      <c r="BX670" s="57">
        <f>IFERROR($I670/$I671-1,"")</f>
        <v/>
      </c>
      <c r="BY670" s="56">
        <f>($AF670-$AF671)*100</f>
        <v/>
      </c>
      <c r="BZ670" s="56">
        <f>($AG670-$AG671)*100</f>
        <v/>
      </c>
      <c r="CA670" s="56">
        <f>($AH670-$AH671)*100</f>
        <v/>
      </c>
      <c r="CB670" s="56">
        <f>($AI670-$AI671)*100</f>
        <v/>
      </c>
      <c r="CC670" s="56">
        <f>($AJ670-$AJ671)*100</f>
        <v/>
      </c>
      <c r="CD670" s="56">
        <f>($AK670-$AK671)*100</f>
        <v/>
      </c>
      <c r="CE670" s="56">
        <f>($AL670-$AL671)*100</f>
        <v/>
      </c>
      <c r="CF670" s="56">
        <f>($AM670-$AM671)*100</f>
        <v/>
      </c>
      <c r="CG670" s="56">
        <f>($AN670-$AN671)*100</f>
        <v/>
      </c>
      <c r="CH670" s="56">
        <f>($AO670-$AO671)*100</f>
        <v/>
      </c>
      <c r="CI670" s="56">
        <f>($AP670-$AP671)*100</f>
        <v/>
      </c>
      <c r="CJ670" s="56">
        <f>($AQ670-$AQ671)*100</f>
        <v/>
      </c>
      <c r="CK670" s="56">
        <f>($AR670-$AR671)*100</f>
        <v/>
      </c>
      <c r="CL670" s="56">
        <f>($AS670-$AS671)*100</f>
        <v/>
      </c>
      <c r="CM670" s="56">
        <f>($AT670-$AT671)*100</f>
        <v/>
      </c>
      <c r="CN670" s="56">
        <f>($AU670-$AU671)*100</f>
        <v/>
      </c>
      <c r="CO670" s="56">
        <f>($AV670-$AV671)*100</f>
        <v/>
      </c>
      <c r="CP670" s="56">
        <f>($AW670-$AW671)*100</f>
        <v/>
      </c>
      <c r="CQ670" s="56">
        <f>($AX670-$AX671)*100</f>
        <v/>
      </c>
      <c r="CR670" s="56">
        <f>($AY670-$AY671)*100</f>
        <v/>
      </c>
      <c r="CS670" s="57">
        <f>IFERROR($L671/$L670-1,"")</f>
        <v/>
      </c>
      <c r="CT670" s="57">
        <f>IFERROR($M671/$M670-1,"")</f>
        <v/>
      </c>
      <c r="CU670" s="57">
        <f>IFERROR($N671/$N670-1,"")</f>
        <v/>
      </c>
      <c r="CV670" s="57">
        <f>IFERROR($O671/$O670-1,"")</f>
        <v/>
      </c>
      <c r="CW670" s="57">
        <f>IFERROR($P671/$P670-1,"")</f>
        <v/>
      </c>
      <c r="CX670" s="57">
        <f>IFERROR($Q671/$Q670-1,"")</f>
        <v/>
      </c>
      <c r="CY670" s="57">
        <f>IFERROR($R671/$R670-1,"")</f>
        <v/>
      </c>
      <c r="CZ670" s="57">
        <f>IFERROR($S671/$S670-1,"")</f>
        <v/>
      </c>
      <c r="DA670" s="57">
        <f>IFERROR($T671/$T670-1,"")</f>
        <v/>
      </c>
      <c r="DB670" s="57">
        <f>IFERROR($U671/$U670-1,"")</f>
        <v/>
      </c>
      <c r="DC670" s="57">
        <f>IFERROR($V671/$V670-1,"")</f>
        <v/>
      </c>
      <c r="DD670" s="57">
        <f>IFERROR($W671/$W670-1,"")</f>
        <v/>
      </c>
      <c r="DE670" s="57">
        <f>IFERROR($X671/$X670-1,"")</f>
        <v/>
      </c>
      <c r="DF670" s="57">
        <f>IFERROR($Y671/$Y670-1,"")</f>
        <v/>
      </c>
      <c r="DG670" s="57">
        <f>IFERROR($Z671/$Z670-1,"")</f>
        <v/>
      </c>
      <c r="DH670" s="57">
        <f>IFERROR($AA671/$AA670-1,"")</f>
        <v/>
      </c>
      <c r="DI670" s="57">
        <f>IFERROR($AB671/$AB670-1,"")</f>
        <v/>
      </c>
      <c r="DJ670" s="57">
        <f>IFERROR($AC671/$AC670-1,"")</f>
        <v/>
      </c>
      <c r="DK670" s="57">
        <f>IFERROR($AD671/$AD670-1,"")</f>
        <v/>
      </c>
      <c r="DL670" s="57">
        <f>IFERROR($AE671/$AE670-1,"")</f>
        <v/>
      </c>
      <c r="DM670" s="56">
        <f>$AZ670-$AZ671</f>
        <v/>
      </c>
      <c r="DN670" s="56">
        <f>$BA670-$BA671</f>
        <v/>
      </c>
      <c r="DO670" s="56">
        <f>$BB670-$BB671</f>
        <v/>
      </c>
      <c r="DP670" s="56">
        <f>$BC670-$BC671</f>
        <v/>
      </c>
      <c r="DQ670" s="56">
        <f>$BD670-$BD671</f>
        <v/>
      </c>
      <c r="DR670" s="56">
        <f>$BE670-$BE671</f>
        <v/>
      </c>
      <c r="DS670" s="56">
        <f>$BF670-$BF671</f>
        <v/>
      </c>
      <c r="DT670" s="56">
        <f>$BG670-$BG671</f>
        <v/>
      </c>
      <c r="DU670" s="56">
        <f>$BH670-$BH671</f>
        <v/>
      </c>
      <c r="DV670" s="56">
        <f>$BI670-$BI671</f>
        <v/>
      </c>
      <c r="DW670" s="56">
        <f>$BJ670-$BJ671</f>
        <v/>
      </c>
      <c r="DX670" s="56">
        <f>$BK670-$BK671</f>
        <v/>
      </c>
      <c r="DY670" s="56">
        <f>$BL670-$BL671</f>
        <v/>
      </c>
      <c r="DZ670" s="56">
        <f>$BM670-$BM671</f>
        <v/>
      </c>
      <c r="EA670" s="56">
        <f>$BN670-$BN671</f>
        <v/>
      </c>
      <c r="EB670" s="56">
        <f>$BO670-$BO671</f>
        <v/>
      </c>
      <c r="EC670" s="56">
        <f>$BP670-$BP671</f>
        <v/>
      </c>
      <c r="ED670" s="56">
        <f>$BQ670-$BQ671</f>
        <v/>
      </c>
      <c r="EE670" s="56">
        <f>$BR670-$BR671</f>
        <v/>
      </c>
      <c r="EF670" s="56">
        <f>$BS670-$BS671</f>
        <v/>
      </c>
      <c r="EG670" s="56">
        <f>$BT670-$BT671</f>
        <v/>
      </c>
      <c r="EH670" s="56">
        <f>$BU670-$BU671</f>
        <v/>
      </c>
    </row>
    <row r="671">
      <c r="BV671" s="56">
        <f>($D671-$D672)*100</f>
        <v/>
      </c>
      <c r="BW671" s="56">
        <f>($C671-$C672)*100</f>
        <v/>
      </c>
      <c r="BX671" s="57">
        <f>IFERROR($I671/$I672-1,"")</f>
        <v/>
      </c>
      <c r="BY671" s="56">
        <f>($AF671-$AF672)*100</f>
        <v/>
      </c>
      <c r="BZ671" s="56">
        <f>($AG671-$AG672)*100</f>
        <v/>
      </c>
      <c r="CA671" s="56">
        <f>($AH671-$AH672)*100</f>
        <v/>
      </c>
      <c r="CB671" s="56">
        <f>($AI671-$AI672)*100</f>
        <v/>
      </c>
      <c r="CC671" s="56">
        <f>($AJ671-$AJ672)*100</f>
        <v/>
      </c>
      <c r="CD671" s="56">
        <f>($AK671-$AK672)*100</f>
        <v/>
      </c>
      <c r="CE671" s="56">
        <f>($AL671-$AL672)*100</f>
        <v/>
      </c>
      <c r="CF671" s="56">
        <f>($AM671-$AM672)*100</f>
        <v/>
      </c>
      <c r="CG671" s="56">
        <f>($AN671-$AN672)*100</f>
        <v/>
      </c>
      <c r="CH671" s="56">
        <f>($AO671-$AO672)*100</f>
        <v/>
      </c>
      <c r="CI671" s="56">
        <f>($AP671-$AP672)*100</f>
        <v/>
      </c>
      <c r="CJ671" s="56">
        <f>($AQ671-$AQ672)*100</f>
        <v/>
      </c>
      <c r="CK671" s="56">
        <f>($AR671-$AR672)*100</f>
        <v/>
      </c>
      <c r="CL671" s="56">
        <f>($AS671-$AS672)*100</f>
        <v/>
      </c>
      <c r="CM671" s="56">
        <f>($AT671-$AT672)*100</f>
        <v/>
      </c>
      <c r="CN671" s="56">
        <f>($AU671-$AU672)*100</f>
        <v/>
      </c>
      <c r="CO671" s="56">
        <f>($AV671-$AV672)*100</f>
        <v/>
      </c>
      <c r="CP671" s="56">
        <f>($AW671-$AW672)*100</f>
        <v/>
      </c>
      <c r="CQ671" s="56">
        <f>($AX671-$AX672)*100</f>
        <v/>
      </c>
      <c r="CR671" s="56">
        <f>($AY671-$AY672)*100</f>
        <v/>
      </c>
      <c r="CS671" s="57">
        <f>IFERROR($L672/$L671-1,"")</f>
        <v/>
      </c>
      <c r="CT671" s="57">
        <f>IFERROR($M672/$M671-1,"")</f>
        <v/>
      </c>
      <c r="CU671" s="57">
        <f>IFERROR($N672/$N671-1,"")</f>
        <v/>
      </c>
      <c r="CV671" s="57">
        <f>IFERROR($O672/$O671-1,"")</f>
        <v/>
      </c>
      <c r="CW671" s="57">
        <f>IFERROR($P672/$P671-1,"")</f>
        <v/>
      </c>
      <c r="CX671" s="57">
        <f>IFERROR($Q672/$Q671-1,"")</f>
        <v/>
      </c>
      <c r="CY671" s="57">
        <f>IFERROR($R672/$R671-1,"")</f>
        <v/>
      </c>
      <c r="CZ671" s="57">
        <f>IFERROR($S672/$S671-1,"")</f>
        <v/>
      </c>
      <c r="DA671" s="57">
        <f>IFERROR($T672/$T671-1,"")</f>
        <v/>
      </c>
      <c r="DB671" s="57">
        <f>IFERROR($U672/$U671-1,"")</f>
        <v/>
      </c>
      <c r="DC671" s="57">
        <f>IFERROR($V672/$V671-1,"")</f>
        <v/>
      </c>
      <c r="DD671" s="57">
        <f>IFERROR($W672/$W671-1,"")</f>
        <v/>
      </c>
      <c r="DE671" s="57">
        <f>IFERROR($X672/$X671-1,"")</f>
        <v/>
      </c>
      <c r="DF671" s="57">
        <f>IFERROR($Y672/$Y671-1,"")</f>
        <v/>
      </c>
      <c r="DG671" s="57">
        <f>IFERROR($Z672/$Z671-1,"")</f>
        <v/>
      </c>
      <c r="DH671" s="57">
        <f>IFERROR($AA672/$AA671-1,"")</f>
        <v/>
      </c>
      <c r="DI671" s="57">
        <f>IFERROR($AB672/$AB671-1,"")</f>
        <v/>
      </c>
      <c r="DJ671" s="57">
        <f>IFERROR($AC672/$AC671-1,"")</f>
        <v/>
      </c>
      <c r="DK671" s="57">
        <f>IFERROR($AD672/$AD671-1,"")</f>
        <v/>
      </c>
      <c r="DL671" s="57">
        <f>IFERROR($AE672/$AE671-1,"")</f>
        <v/>
      </c>
      <c r="DM671" s="56">
        <f>$AZ671-$AZ672</f>
        <v/>
      </c>
      <c r="DN671" s="56">
        <f>$BA671-$BA672</f>
        <v/>
      </c>
      <c r="DO671" s="56">
        <f>$BB671-$BB672</f>
        <v/>
      </c>
      <c r="DP671" s="56">
        <f>$BC671-$BC672</f>
        <v/>
      </c>
      <c r="DQ671" s="56">
        <f>$BD671-$BD672</f>
        <v/>
      </c>
      <c r="DR671" s="56">
        <f>$BE671-$BE672</f>
        <v/>
      </c>
      <c r="DS671" s="56">
        <f>$BF671-$BF672</f>
        <v/>
      </c>
      <c r="DT671" s="56">
        <f>$BG671-$BG672</f>
        <v/>
      </c>
      <c r="DU671" s="56">
        <f>$BH671-$BH672</f>
        <v/>
      </c>
      <c r="DV671" s="56">
        <f>$BI671-$BI672</f>
        <v/>
      </c>
      <c r="DW671" s="56">
        <f>$BJ671-$BJ672</f>
        <v/>
      </c>
      <c r="DX671" s="56">
        <f>$BK671-$BK672</f>
        <v/>
      </c>
      <c r="DY671" s="56">
        <f>$BL671-$BL672</f>
        <v/>
      </c>
      <c r="DZ671" s="56">
        <f>$BM671-$BM672</f>
        <v/>
      </c>
      <c r="EA671" s="56">
        <f>$BN671-$BN672</f>
        <v/>
      </c>
      <c r="EB671" s="56">
        <f>$BO671-$BO672</f>
        <v/>
      </c>
      <c r="EC671" s="56">
        <f>$BP671-$BP672</f>
        <v/>
      </c>
      <c r="ED671" s="56">
        <f>$BQ671-$BQ672</f>
        <v/>
      </c>
      <c r="EE671" s="56">
        <f>$BR671-$BR672</f>
        <v/>
      </c>
      <c r="EF671" s="56">
        <f>$BS671-$BS672</f>
        <v/>
      </c>
      <c r="EG671" s="56">
        <f>$BT671-$BT672</f>
        <v/>
      </c>
      <c r="EH671" s="56">
        <f>$BU671-$BU672</f>
        <v/>
      </c>
    </row>
    <row r="672">
      <c r="BV672" s="56">
        <f>($D672-$D673)*100</f>
        <v/>
      </c>
      <c r="BW672" s="56">
        <f>($C672-$C673)*100</f>
        <v/>
      </c>
      <c r="BX672" s="57">
        <f>IFERROR($I672/$I673-1,"")</f>
        <v/>
      </c>
      <c r="BY672" s="56">
        <f>($AF672-$AF673)*100</f>
        <v/>
      </c>
      <c r="BZ672" s="56">
        <f>($AG672-$AG673)*100</f>
        <v/>
      </c>
      <c r="CA672" s="56">
        <f>($AH672-$AH673)*100</f>
        <v/>
      </c>
      <c r="CB672" s="56">
        <f>($AI672-$AI673)*100</f>
        <v/>
      </c>
      <c r="CC672" s="56">
        <f>($AJ672-$AJ673)*100</f>
        <v/>
      </c>
      <c r="CD672" s="56">
        <f>($AK672-$AK673)*100</f>
        <v/>
      </c>
      <c r="CE672" s="56">
        <f>($AL672-$AL673)*100</f>
        <v/>
      </c>
      <c r="CF672" s="56">
        <f>($AM672-$AM673)*100</f>
        <v/>
      </c>
      <c r="CG672" s="56">
        <f>($AN672-$AN673)*100</f>
        <v/>
      </c>
      <c r="CH672" s="56">
        <f>($AO672-$AO673)*100</f>
        <v/>
      </c>
      <c r="CI672" s="56">
        <f>($AP672-$AP673)*100</f>
        <v/>
      </c>
      <c r="CJ672" s="56">
        <f>($AQ672-$AQ673)*100</f>
        <v/>
      </c>
      <c r="CK672" s="56">
        <f>($AR672-$AR673)*100</f>
        <v/>
      </c>
      <c r="CL672" s="56">
        <f>($AS672-$AS673)*100</f>
        <v/>
      </c>
      <c r="CM672" s="56">
        <f>($AT672-$AT673)*100</f>
        <v/>
      </c>
      <c r="CN672" s="56">
        <f>($AU672-$AU673)*100</f>
        <v/>
      </c>
      <c r="CO672" s="56">
        <f>($AV672-$AV673)*100</f>
        <v/>
      </c>
      <c r="CP672" s="56">
        <f>($AW672-$AW673)*100</f>
        <v/>
      </c>
      <c r="CQ672" s="56">
        <f>($AX672-$AX673)*100</f>
        <v/>
      </c>
      <c r="CR672" s="56">
        <f>($AY672-$AY673)*100</f>
        <v/>
      </c>
      <c r="CS672" s="57">
        <f>IFERROR($L673/$L672-1,"")</f>
        <v/>
      </c>
      <c r="CT672" s="57">
        <f>IFERROR($M673/$M672-1,"")</f>
        <v/>
      </c>
      <c r="CU672" s="57">
        <f>IFERROR($N673/$N672-1,"")</f>
        <v/>
      </c>
      <c r="CV672" s="57">
        <f>IFERROR($O673/$O672-1,"")</f>
        <v/>
      </c>
      <c r="CW672" s="57">
        <f>IFERROR($P673/$P672-1,"")</f>
        <v/>
      </c>
      <c r="CX672" s="57">
        <f>IFERROR($Q673/$Q672-1,"")</f>
        <v/>
      </c>
      <c r="CY672" s="57">
        <f>IFERROR($R673/$R672-1,"")</f>
        <v/>
      </c>
      <c r="CZ672" s="57">
        <f>IFERROR($S673/$S672-1,"")</f>
        <v/>
      </c>
      <c r="DA672" s="57">
        <f>IFERROR($T673/$T672-1,"")</f>
        <v/>
      </c>
      <c r="DB672" s="57">
        <f>IFERROR($U673/$U672-1,"")</f>
        <v/>
      </c>
      <c r="DC672" s="57">
        <f>IFERROR($V673/$V672-1,"")</f>
        <v/>
      </c>
      <c r="DD672" s="57">
        <f>IFERROR($W673/$W672-1,"")</f>
        <v/>
      </c>
      <c r="DE672" s="57">
        <f>IFERROR($X673/$X672-1,"")</f>
        <v/>
      </c>
      <c r="DF672" s="57">
        <f>IFERROR($Y673/$Y672-1,"")</f>
        <v/>
      </c>
      <c r="DG672" s="57">
        <f>IFERROR($Z673/$Z672-1,"")</f>
        <v/>
      </c>
      <c r="DH672" s="57">
        <f>IFERROR($AA673/$AA672-1,"")</f>
        <v/>
      </c>
      <c r="DI672" s="57">
        <f>IFERROR($AB673/$AB672-1,"")</f>
        <v/>
      </c>
      <c r="DJ672" s="57">
        <f>IFERROR($AC673/$AC672-1,"")</f>
        <v/>
      </c>
      <c r="DK672" s="57">
        <f>IFERROR($AD673/$AD672-1,"")</f>
        <v/>
      </c>
      <c r="DL672" s="57">
        <f>IFERROR($AE673/$AE672-1,"")</f>
        <v/>
      </c>
      <c r="DM672" s="56">
        <f>$AZ672-$AZ673</f>
        <v/>
      </c>
      <c r="DN672" s="56">
        <f>$BA672-$BA673</f>
        <v/>
      </c>
      <c r="DO672" s="56">
        <f>$BB672-$BB673</f>
        <v/>
      </c>
      <c r="DP672" s="56">
        <f>$BC672-$BC673</f>
        <v/>
      </c>
      <c r="DQ672" s="56">
        <f>$BD672-$BD673</f>
        <v/>
      </c>
      <c r="DR672" s="56">
        <f>$BE672-$BE673</f>
        <v/>
      </c>
      <c r="DS672" s="56">
        <f>$BF672-$BF673</f>
        <v/>
      </c>
      <c r="DT672" s="56">
        <f>$BG672-$BG673</f>
        <v/>
      </c>
      <c r="DU672" s="56">
        <f>$BH672-$BH673</f>
        <v/>
      </c>
      <c r="DV672" s="56">
        <f>$BI672-$BI673</f>
        <v/>
      </c>
      <c r="DW672" s="56">
        <f>$BJ672-$BJ673</f>
        <v/>
      </c>
      <c r="DX672" s="56">
        <f>$BK672-$BK673</f>
        <v/>
      </c>
      <c r="DY672" s="56">
        <f>$BL672-$BL673</f>
        <v/>
      </c>
      <c r="DZ672" s="56">
        <f>$BM672-$BM673</f>
        <v/>
      </c>
      <c r="EA672" s="56">
        <f>$BN672-$BN673</f>
        <v/>
      </c>
      <c r="EB672" s="56">
        <f>$BO672-$BO673</f>
        <v/>
      </c>
      <c r="EC672" s="56">
        <f>$BP672-$BP673</f>
        <v/>
      </c>
      <c r="ED672" s="56">
        <f>$BQ672-$BQ673</f>
        <v/>
      </c>
      <c r="EE672" s="56">
        <f>$BR672-$BR673</f>
        <v/>
      </c>
      <c r="EF672" s="56">
        <f>$BS672-$BS673</f>
        <v/>
      </c>
      <c r="EG672" s="56">
        <f>$BT672-$BT673</f>
        <v/>
      </c>
      <c r="EH672" s="56">
        <f>$BU672-$BU673</f>
        <v/>
      </c>
    </row>
    <row r="673">
      <c r="BV673" s="56">
        <f>($D673-$D674)*100</f>
        <v/>
      </c>
      <c r="BW673" s="56">
        <f>($C673-$C674)*100</f>
        <v/>
      </c>
      <c r="BX673" s="57">
        <f>IFERROR($I673/$I674-1,"")</f>
        <v/>
      </c>
      <c r="BY673" s="56">
        <f>($AF673-$AF674)*100</f>
        <v/>
      </c>
      <c r="BZ673" s="56">
        <f>($AG673-$AG674)*100</f>
        <v/>
      </c>
      <c r="CA673" s="56">
        <f>($AH673-$AH674)*100</f>
        <v/>
      </c>
      <c r="CB673" s="56">
        <f>($AI673-$AI674)*100</f>
        <v/>
      </c>
      <c r="CC673" s="56">
        <f>($AJ673-$AJ674)*100</f>
        <v/>
      </c>
      <c r="CD673" s="56">
        <f>($AK673-$AK674)*100</f>
        <v/>
      </c>
      <c r="CE673" s="56">
        <f>($AL673-$AL674)*100</f>
        <v/>
      </c>
      <c r="CF673" s="56">
        <f>($AM673-$AM674)*100</f>
        <v/>
      </c>
      <c r="CG673" s="56">
        <f>($AN673-$AN674)*100</f>
        <v/>
      </c>
      <c r="CH673" s="56">
        <f>($AO673-$AO674)*100</f>
        <v/>
      </c>
      <c r="CI673" s="56">
        <f>($AP673-$AP674)*100</f>
        <v/>
      </c>
      <c r="CJ673" s="56">
        <f>($AQ673-$AQ674)*100</f>
        <v/>
      </c>
      <c r="CK673" s="56">
        <f>($AR673-$AR674)*100</f>
        <v/>
      </c>
      <c r="CL673" s="56">
        <f>($AS673-$AS674)*100</f>
        <v/>
      </c>
      <c r="CM673" s="56">
        <f>($AT673-$AT674)*100</f>
        <v/>
      </c>
      <c r="CN673" s="56">
        <f>($AU673-$AU674)*100</f>
        <v/>
      </c>
      <c r="CO673" s="56">
        <f>($AV673-$AV674)*100</f>
        <v/>
      </c>
      <c r="CP673" s="56">
        <f>($AW673-$AW674)*100</f>
        <v/>
      </c>
      <c r="CQ673" s="56">
        <f>($AX673-$AX674)*100</f>
        <v/>
      </c>
      <c r="CR673" s="56">
        <f>($AY673-$AY674)*100</f>
        <v/>
      </c>
      <c r="CS673" s="57">
        <f>IFERROR($L674/$L673-1,"")</f>
        <v/>
      </c>
      <c r="CT673" s="57">
        <f>IFERROR($M674/$M673-1,"")</f>
        <v/>
      </c>
      <c r="CU673" s="57">
        <f>IFERROR($N674/$N673-1,"")</f>
        <v/>
      </c>
      <c r="CV673" s="57">
        <f>IFERROR($O674/$O673-1,"")</f>
        <v/>
      </c>
      <c r="CW673" s="57">
        <f>IFERROR($P674/$P673-1,"")</f>
        <v/>
      </c>
      <c r="CX673" s="57">
        <f>IFERROR($Q674/$Q673-1,"")</f>
        <v/>
      </c>
      <c r="CY673" s="57">
        <f>IFERROR($R674/$R673-1,"")</f>
        <v/>
      </c>
      <c r="CZ673" s="57">
        <f>IFERROR($S674/$S673-1,"")</f>
        <v/>
      </c>
      <c r="DA673" s="57">
        <f>IFERROR($T674/$T673-1,"")</f>
        <v/>
      </c>
      <c r="DB673" s="57">
        <f>IFERROR($U674/$U673-1,"")</f>
        <v/>
      </c>
      <c r="DC673" s="57">
        <f>IFERROR($V674/$V673-1,"")</f>
        <v/>
      </c>
      <c r="DD673" s="57">
        <f>IFERROR($W674/$W673-1,"")</f>
        <v/>
      </c>
      <c r="DE673" s="57">
        <f>IFERROR($X674/$X673-1,"")</f>
        <v/>
      </c>
      <c r="DF673" s="57">
        <f>IFERROR($Y674/$Y673-1,"")</f>
        <v/>
      </c>
      <c r="DG673" s="57">
        <f>IFERROR($Z674/$Z673-1,"")</f>
        <v/>
      </c>
      <c r="DH673" s="57">
        <f>IFERROR($AA674/$AA673-1,"")</f>
        <v/>
      </c>
      <c r="DI673" s="57">
        <f>IFERROR($AB674/$AB673-1,"")</f>
        <v/>
      </c>
      <c r="DJ673" s="57">
        <f>IFERROR($AC674/$AC673-1,"")</f>
        <v/>
      </c>
      <c r="DK673" s="57">
        <f>IFERROR($AD674/$AD673-1,"")</f>
        <v/>
      </c>
      <c r="DL673" s="57">
        <f>IFERROR($AE674/$AE673-1,"")</f>
        <v/>
      </c>
      <c r="DM673" s="56">
        <f>$AZ673-$AZ674</f>
        <v/>
      </c>
      <c r="DN673" s="56">
        <f>$BA673-$BA674</f>
        <v/>
      </c>
      <c r="DO673" s="56">
        <f>$BB673-$BB674</f>
        <v/>
      </c>
      <c r="DP673" s="56">
        <f>$BC673-$BC674</f>
        <v/>
      </c>
      <c r="DQ673" s="56">
        <f>$BD673-$BD674</f>
        <v/>
      </c>
      <c r="DR673" s="56">
        <f>$BE673-$BE674</f>
        <v/>
      </c>
      <c r="DS673" s="56">
        <f>$BF673-$BF674</f>
        <v/>
      </c>
      <c r="DT673" s="56">
        <f>$BG673-$BG674</f>
        <v/>
      </c>
      <c r="DU673" s="56">
        <f>$BH673-$BH674</f>
        <v/>
      </c>
      <c r="DV673" s="56">
        <f>$BI673-$BI674</f>
        <v/>
      </c>
      <c r="DW673" s="56">
        <f>$BJ673-$BJ674</f>
        <v/>
      </c>
      <c r="DX673" s="56">
        <f>$BK673-$BK674</f>
        <v/>
      </c>
      <c r="DY673" s="56">
        <f>$BL673-$BL674</f>
        <v/>
      </c>
      <c r="DZ673" s="56">
        <f>$BM673-$BM674</f>
        <v/>
      </c>
      <c r="EA673" s="56">
        <f>$BN673-$BN674</f>
        <v/>
      </c>
      <c r="EB673" s="56">
        <f>$BO673-$BO674</f>
        <v/>
      </c>
      <c r="EC673" s="56">
        <f>$BP673-$BP674</f>
        <v/>
      </c>
      <c r="ED673" s="56">
        <f>$BQ673-$BQ674</f>
        <v/>
      </c>
      <c r="EE673" s="56">
        <f>$BR673-$BR674</f>
        <v/>
      </c>
      <c r="EF673" s="56">
        <f>$BS673-$BS674</f>
        <v/>
      </c>
      <c r="EG673" s="56">
        <f>$BT673-$BT674</f>
        <v/>
      </c>
      <c r="EH673" s="56">
        <f>$BU673-$BU674</f>
        <v/>
      </c>
    </row>
    <row r="674">
      <c r="BV674" s="56">
        <f>($D674-$D675)*100</f>
        <v/>
      </c>
      <c r="BW674" s="56">
        <f>($C674-$C675)*100</f>
        <v/>
      </c>
      <c r="BX674" s="57">
        <f>IFERROR($I674/$I675-1,"")</f>
        <v/>
      </c>
      <c r="BY674" s="56">
        <f>($AF674-$AF675)*100</f>
        <v/>
      </c>
      <c r="BZ674" s="56">
        <f>($AG674-$AG675)*100</f>
        <v/>
      </c>
      <c r="CA674" s="56">
        <f>($AH674-$AH675)*100</f>
        <v/>
      </c>
      <c r="CB674" s="56">
        <f>($AI674-$AI675)*100</f>
        <v/>
      </c>
      <c r="CC674" s="56">
        <f>($AJ674-$AJ675)*100</f>
        <v/>
      </c>
      <c r="CD674" s="56">
        <f>($AK674-$AK675)*100</f>
        <v/>
      </c>
      <c r="CE674" s="56">
        <f>($AL674-$AL675)*100</f>
        <v/>
      </c>
      <c r="CF674" s="56">
        <f>($AM674-$AM675)*100</f>
        <v/>
      </c>
      <c r="CG674" s="56">
        <f>($AN674-$AN675)*100</f>
        <v/>
      </c>
      <c r="CH674" s="56">
        <f>($AO674-$AO675)*100</f>
        <v/>
      </c>
      <c r="CI674" s="56">
        <f>($AP674-$AP675)*100</f>
        <v/>
      </c>
      <c r="CJ674" s="56">
        <f>($AQ674-$AQ675)*100</f>
        <v/>
      </c>
      <c r="CK674" s="56">
        <f>($AR674-$AR675)*100</f>
        <v/>
      </c>
      <c r="CL674" s="56">
        <f>($AS674-$AS675)*100</f>
        <v/>
      </c>
      <c r="CM674" s="56">
        <f>($AT674-$AT675)*100</f>
        <v/>
      </c>
      <c r="CN674" s="56">
        <f>($AU674-$AU675)*100</f>
        <v/>
      </c>
      <c r="CO674" s="56">
        <f>($AV674-$AV675)*100</f>
        <v/>
      </c>
      <c r="CP674" s="56">
        <f>($AW674-$AW675)*100</f>
        <v/>
      </c>
      <c r="CQ674" s="56">
        <f>($AX674-$AX675)*100</f>
        <v/>
      </c>
      <c r="CR674" s="56">
        <f>($AY674-$AY675)*100</f>
        <v/>
      </c>
      <c r="CS674" s="57">
        <f>IFERROR($L675/$L674-1,"")</f>
        <v/>
      </c>
      <c r="CT674" s="57">
        <f>IFERROR($M675/$M674-1,"")</f>
        <v/>
      </c>
      <c r="CU674" s="57">
        <f>IFERROR($N675/$N674-1,"")</f>
        <v/>
      </c>
      <c r="CV674" s="57">
        <f>IFERROR($O675/$O674-1,"")</f>
        <v/>
      </c>
      <c r="CW674" s="57">
        <f>IFERROR($P675/$P674-1,"")</f>
        <v/>
      </c>
      <c r="CX674" s="57">
        <f>IFERROR($Q675/$Q674-1,"")</f>
        <v/>
      </c>
      <c r="CY674" s="57">
        <f>IFERROR($R675/$R674-1,"")</f>
        <v/>
      </c>
      <c r="CZ674" s="57">
        <f>IFERROR($S675/$S674-1,"")</f>
        <v/>
      </c>
      <c r="DA674" s="57">
        <f>IFERROR($T675/$T674-1,"")</f>
        <v/>
      </c>
      <c r="DB674" s="57">
        <f>IFERROR($U675/$U674-1,"")</f>
        <v/>
      </c>
      <c r="DC674" s="57">
        <f>IFERROR($V675/$V674-1,"")</f>
        <v/>
      </c>
      <c r="DD674" s="57">
        <f>IFERROR($W675/$W674-1,"")</f>
        <v/>
      </c>
      <c r="DE674" s="57">
        <f>IFERROR($X675/$X674-1,"")</f>
        <v/>
      </c>
      <c r="DF674" s="57">
        <f>IFERROR($Y675/$Y674-1,"")</f>
        <v/>
      </c>
      <c r="DG674" s="57">
        <f>IFERROR($Z675/$Z674-1,"")</f>
        <v/>
      </c>
      <c r="DH674" s="57">
        <f>IFERROR($AA675/$AA674-1,"")</f>
        <v/>
      </c>
      <c r="DI674" s="57">
        <f>IFERROR($AB675/$AB674-1,"")</f>
        <v/>
      </c>
      <c r="DJ674" s="57">
        <f>IFERROR($AC675/$AC674-1,"")</f>
        <v/>
      </c>
      <c r="DK674" s="57">
        <f>IFERROR($AD675/$AD674-1,"")</f>
        <v/>
      </c>
      <c r="DL674" s="57">
        <f>IFERROR($AE675/$AE674-1,"")</f>
        <v/>
      </c>
      <c r="DM674" s="56">
        <f>$AZ674-$AZ675</f>
        <v/>
      </c>
      <c r="DN674" s="56">
        <f>$BA674-$BA675</f>
        <v/>
      </c>
      <c r="DO674" s="56">
        <f>$BB674-$BB675</f>
        <v/>
      </c>
      <c r="DP674" s="56">
        <f>$BC674-$BC675</f>
        <v/>
      </c>
      <c r="DQ674" s="56">
        <f>$BD674-$BD675</f>
        <v/>
      </c>
      <c r="DR674" s="56">
        <f>$BE674-$BE675</f>
        <v/>
      </c>
      <c r="DS674" s="56">
        <f>$BF674-$BF675</f>
        <v/>
      </c>
      <c r="DT674" s="56">
        <f>$BG674-$BG675</f>
        <v/>
      </c>
      <c r="DU674" s="56">
        <f>$BH674-$BH675</f>
        <v/>
      </c>
      <c r="DV674" s="56">
        <f>$BI674-$BI675</f>
        <v/>
      </c>
      <c r="DW674" s="56">
        <f>$BJ674-$BJ675</f>
        <v/>
      </c>
      <c r="DX674" s="56">
        <f>$BK674-$BK675</f>
        <v/>
      </c>
      <c r="DY674" s="56">
        <f>$BL674-$BL675</f>
        <v/>
      </c>
      <c r="DZ674" s="56">
        <f>$BM674-$BM675</f>
        <v/>
      </c>
      <c r="EA674" s="56">
        <f>$BN674-$BN675</f>
        <v/>
      </c>
      <c r="EB674" s="56">
        <f>$BO674-$BO675</f>
        <v/>
      </c>
      <c r="EC674" s="56">
        <f>$BP674-$BP675</f>
        <v/>
      </c>
      <c r="ED674" s="56">
        <f>$BQ674-$BQ675</f>
        <v/>
      </c>
      <c r="EE674" s="56">
        <f>$BR674-$BR675</f>
        <v/>
      </c>
      <c r="EF674" s="56">
        <f>$BS674-$BS675</f>
        <v/>
      </c>
      <c r="EG674" s="56">
        <f>$BT674-$BT675</f>
        <v/>
      </c>
      <c r="EH674" s="56">
        <f>$BU674-$BU675</f>
        <v/>
      </c>
    </row>
    <row r="675">
      <c r="BV675" s="56">
        <f>($D675-$D676)*100</f>
        <v/>
      </c>
      <c r="BW675" s="56">
        <f>($C675-$C676)*100</f>
        <v/>
      </c>
      <c r="BX675" s="57">
        <f>IFERROR($I675/$I676-1,"")</f>
        <v/>
      </c>
      <c r="BY675" s="56">
        <f>($AF675-$AF676)*100</f>
        <v/>
      </c>
      <c r="BZ675" s="56">
        <f>($AG675-$AG676)*100</f>
        <v/>
      </c>
      <c r="CA675" s="56">
        <f>($AH675-$AH676)*100</f>
        <v/>
      </c>
      <c r="CB675" s="56">
        <f>($AI675-$AI676)*100</f>
        <v/>
      </c>
      <c r="CC675" s="56">
        <f>($AJ675-$AJ676)*100</f>
        <v/>
      </c>
      <c r="CD675" s="56">
        <f>($AK675-$AK676)*100</f>
        <v/>
      </c>
      <c r="CE675" s="56">
        <f>($AL675-$AL676)*100</f>
        <v/>
      </c>
      <c r="CF675" s="56">
        <f>($AM675-$AM676)*100</f>
        <v/>
      </c>
      <c r="CG675" s="56">
        <f>($AN675-$AN676)*100</f>
        <v/>
      </c>
      <c r="CH675" s="56">
        <f>($AO675-$AO676)*100</f>
        <v/>
      </c>
      <c r="CI675" s="56">
        <f>($AP675-$AP676)*100</f>
        <v/>
      </c>
      <c r="CJ675" s="56">
        <f>($AQ675-$AQ676)*100</f>
        <v/>
      </c>
      <c r="CK675" s="56">
        <f>($AR675-$AR676)*100</f>
        <v/>
      </c>
      <c r="CL675" s="56">
        <f>($AS675-$AS676)*100</f>
        <v/>
      </c>
      <c r="CM675" s="56">
        <f>($AT675-$AT676)*100</f>
        <v/>
      </c>
      <c r="CN675" s="56">
        <f>($AU675-$AU676)*100</f>
        <v/>
      </c>
      <c r="CO675" s="56">
        <f>($AV675-$AV676)*100</f>
        <v/>
      </c>
      <c r="CP675" s="56">
        <f>($AW675-$AW676)*100</f>
        <v/>
      </c>
      <c r="CQ675" s="56">
        <f>($AX675-$AX676)*100</f>
        <v/>
      </c>
      <c r="CR675" s="56">
        <f>($AY675-$AY676)*100</f>
        <v/>
      </c>
      <c r="CS675" s="57">
        <f>IFERROR($L676/$L675-1,"")</f>
        <v/>
      </c>
      <c r="CT675" s="57">
        <f>IFERROR($M676/$M675-1,"")</f>
        <v/>
      </c>
      <c r="CU675" s="57">
        <f>IFERROR($N676/$N675-1,"")</f>
        <v/>
      </c>
      <c r="CV675" s="57">
        <f>IFERROR($O676/$O675-1,"")</f>
        <v/>
      </c>
      <c r="CW675" s="57">
        <f>IFERROR($P676/$P675-1,"")</f>
        <v/>
      </c>
      <c r="CX675" s="57">
        <f>IFERROR($Q676/$Q675-1,"")</f>
        <v/>
      </c>
      <c r="CY675" s="57">
        <f>IFERROR($R676/$R675-1,"")</f>
        <v/>
      </c>
      <c r="CZ675" s="57">
        <f>IFERROR($S676/$S675-1,"")</f>
        <v/>
      </c>
      <c r="DA675" s="57">
        <f>IFERROR($T676/$T675-1,"")</f>
        <v/>
      </c>
      <c r="DB675" s="57">
        <f>IFERROR($U676/$U675-1,"")</f>
        <v/>
      </c>
      <c r="DC675" s="57">
        <f>IFERROR($V676/$V675-1,"")</f>
        <v/>
      </c>
      <c r="DD675" s="57">
        <f>IFERROR($W676/$W675-1,"")</f>
        <v/>
      </c>
      <c r="DE675" s="57">
        <f>IFERROR($X676/$X675-1,"")</f>
        <v/>
      </c>
      <c r="DF675" s="57">
        <f>IFERROR($Y676/$Y675-1,"")</f>
        <v/>
      </c>
      <c r="DG675" s="57">
        <f>IFERROR($Z676/$Z675-1,"")</f>
        <v/>
      </c>
      <c r="DH675" s="57">
        <f>IFERROR($AA676/$AA675-1,"")</f>
        <v/>
      </c>
      <c r="DI675" s="57">
        <f>IFERROR($AB676/$AB675-1,"")</f>
        <v/>
      </c>
      <c r="DJ675" s="57">
        <f>IFERROR($AC676/$AC675-1,"")</f>
        <v/>
      </c>
      <c r="DK675" s="57">
        <f>IFERROR($AD676/$AD675-1,"")</f>
        <v/>
      </c>
      <c r="DL675" s="57">
        <f>IFERROR($AE676/$AE675-1,"")</f>
        <v/>
      </c>
      <c r="DM675" s="56">
        <f>$AZ675-$AZ676</f>
        <v/>
      </c>
      <c r="DN675" s="56">
        <f>$BA675-$BA676</f>
        <v/>
      </c>
      <c r="DO675" s="56">
        <f>$BB675-$BB676</f>
        <v/>
      </c>
      <c r="DP675" s="56">
        <f>$BC675-$BC676</f>
        <v/>
      </c>
      <c r="DQ675" s="56">
        <f>$BD675-$BD676</f>
        <v/>
      </c>
      <c r="DR675" s="56">
        <f>$BE675-$BE676</f>
        <v/>
      </c>
      <c r="DS675" s="56">
        <f>$BF675-$BF676</f>
        <v/>
      </c>
      <c r="DT675" s="56">
        <f>$BG675-$BG676</f>
        <v/>
      </c>
      <c r="DU675" s="56">
        <f>$BH675-$BH676</f>
        <v/>
      </c>
      <c r="DV675" s="56">
        <f>$BI675-$BI676</f>
        <v/>
      </c>
      <c r="DW675" s="56">
        <f>$BJ675-$BJ676</f>
        <v/>
      </c>
      <c r="DX675" s="56">
        <f>$BK675-$BK676</f>
        <v/>
      </c>
      <c r="DY675" s="56">
        <f>$BL675-$BL676</f>
        <v/>
      </c>
      <c r="DZ675" s="56">
        <f>$BM675-$BM676</f>
        <v/>
      </c>
      <c r="EA675" s="56">
        <f>$BN675-$BN676</f>
        <v/>
      </c>
      <c r="EB675" s="56">
        <f>$BO675-$BO676</f>
        <v/>
      </c>
      <c r="EC675" s="56">
        <f>$BP675-$BP676</f>
        <v/>
      </c>
      <c r="ED675" s="56">
        <f>$BQ675-$BQ676</f>
        <v/>
      </c>
      <c r="EE675" s="56">
        <f>$BR675-$BR676</f>
        <v/>
      </c>
      <c r="EF675" s="56">
        <f>$BS675-$BS676</f>
        <v/>
      </c>
      <c r="EG675" s="56">
        <f>$BT675-$BT676</f>
        <v/>
      </c>
      <c r="EH675" s="56">
        <f>$BU675-$BU676</f>
        <v/>
      </c>
    </row>
    <row r="676">
      <c r="BV676" s="56">
        <f>($D676-$D677)*100</f>
        <v/>
      </c>
      <c r="BW676" s="56">
        <f>($C676-$C677)*100</f>
        <v/>
      </c>
      <c r="BX676" s="57">
        <f>IFERROR($I676/$I677-1,"")</f>
        <v/>
      </c>
      <c r="BY676" s="56">
        <f>($AF676-$AF677)*100</f>
        <v/>
      </c>
      <c r="BZ676" s="56">
        <f>($AG676-$AG677)*100</f>
        <v/>
      </c>
      <c r="CA676" s="56">
        <f>($AH676-$AH677)*100</f>
        <v/>
      </c>
      <c r="CB676" s="56">
        <f>($AI676-$AI677)*100</f>
        <v/>
      </c>
      <c r="CC676" s="56">
        <f>($AJ676-$AJ677)*100</f>
        <v/>
      </c>
      <c r="CD676" s="56">
        <f>($AK676-$AK677)*100</f>
        <v/>
      </c>
      <c r="CE676" s="56">
        <f>($AL676-$AL677)*100</f>
        <v/>
      </c>
      <c r="CF676" s="56">
        <f>($AM676-$AM677)*100</f>
        <v/>
      </c>
      <c r="CG676" s="56">
        <f>($AN676-$AN677)*100</f>
        <v/>
      </c>
      <c r="CH676" s="56">
        <f>($AO676-$AO677)*100</f>
        <v/>
      </c>
      <c r="CI676" s="56">
        <f>($AP676-$AP677)*100</f>
        <v/>
      </c>
      <c r="CJ676" s="56">
        <f>($AQ676-$AQ677)*100</f>
        <v/>
      </c>
      <c r="CK676" s="56">
        <f>($AR676-$AR677)*100</f>
        <v/>
      </c>
      <c r="CL676" s="56">
        <f>($AS676-$AS677)*100</f>
        <v/>
      </c>
      <c r="CM676" s="56">
        <f>($AT676-$AT677)*100</f>
        <v/>
      </c>
      <c r="CN676" s="56">
        <f>($AU676-$AU677)*100</f>
        <v/>
      </c>
      <c r="CO676" s="56">
        <f>($AV676-$AV677)*100</f>
        <v/>
      </c>
      <c r="CP676" s="56">
        <f>($AW676-$AW677)*100</f>
        <v/>
      </c>
      <c r="CQ676" s="56">
        <f>($AX676-$AX677)*100</f>
        <v/>
      </c>
      <c r="CR676" s="56">
        <f>($AY676-$AY677)*100</f>
        <v/>
      </c>
      <c r="CS676" s="57">
        <f>IFERROR($L677/$L676-1,"")</f>
        <v/>
      </c>
      <c r="CT676" s="57">
        <f>IFERROR($M677/$M676-1,"")</f>
        <v/>
      </c>
      <c r="CU676" s="57">
        <f>IFERROR($N677/$N676-1,"")</f>
        <v/>
      </c>
      <c r="CV676" s="57">
        <f>IFERROR($O677/$O676-1,"")</f>
        <v/>
      </c>
      <c r="CW676" s="57">
        <f>IFERROR($P677/$P676-1,"")</f>
        <v/>
      </c>
      <c r="CX676" s="57">
        <f>IFERROR($Q677/$Q676-1,"")</f>
        <v/>
      </c>
      <c r="CY676" s="57">
        <f>IFERROR($R677/$R676-1,"")</f>
        <v/>
      </c>
      <c r="CZ676" s="57">
        <f>IFERROR($S677/$S676-1,"")</f>
        <v/>
      </c>
      <c r="DA676" s="57">
        <f>IFERROR($T677/$T676-1,"")</f>
        <v/>
      </c>
      <c r="DB676" s="57">
        <f>IFERROR($U677/$U676-1,"")</f>
        <v/>
      </c>
      <c r="DC676" s="57">
        <f>IFERROR($V677/$V676-1,"")</f>
        <v/>
      </c>
      <c r="DD676" s="57">
        <f>IFERROR($W677/$W676-1,"")</f>
        <v/>
      </c>
      <c r="DE676" s="57">
        <f>IFERROR($X677/$X676-1,"")</f>
        <v/>
      </c>
      <c r="DF676" s="57">
        <f>IFERROR($Y677/$Y676-1,"")</f>
        <v/>
      </c>
      <c r="DG676" s="57">
        <f>IFERROR($Z677/$Z676-1,"")</f>
        <v/>
      </c>
      <c r="DH676" s="57">
        <f>IFERROR($AA677/$AA676-1,"")</f>
        <v/>
      </c>
      <c r="DI676" s="57">
        <f>IFERROR($AB677/$AB676-1,"")</f>
        <v/>
      </c>
      <c r="DJ676" s="57">
        <f>IFERROR($AC677/$AC676-1,"")</f>
        <v/>
      </c>
      <c r="DK676" s="57">
        <f>IFERROR($AD677/$AD676-1,"")</f>
        <v/>
      </c>
      <c r="DL676" s="57">
        <f>IFERROR($AE677/$AE676-1,"")</f>
        <v/>
      </c>
      <c r="DM676" s="56">
        <f>$AZ676-$AZ677</f>
        <v/>
      </c>
      <c r="DN676" s="56">
        <f>$BA676-$BA677</f>
        <v/>
      </c>
      <c r="DO676" s="56">
        <f>$BB676-$BB677</f>
        <v/>
      </c>
      <c r="DP676" s="56">
        <f>$BC676-$BC677</f>
        <v/>
      </c>
      <c r="DQ676" s="56">
        <f>$BD676-$BD677</f>
        <v/>
      </c>
      <c r="DR676" s="56">
        <f>$BE676-$BE677</f>
        <v/>
      </c>
      <c r="DS676" s="56">
        <f>$BF676-$BF677</f>
        <v/>
      </c>
      <c r="DT676" s="56">
        <f>$BG676-$BG677</f>
        <v/>
      </c>
      <c r="DU676" s="56">
        <f>$BH676-$BH677</f>
        <v/>
      </c>
      <c r="DV676" s="56">
        <f>$BI676-$BI677</f>
        <v/>
      </c>
      <c r="DW676" s="56">
        <f>$BJ676-$BJ677</f>
        <v/>
      </c>
      <c r="DX676" s="56">
        <f>$BK676-$BK677</f>
        <v/>
      </c>
      <c r="DY676" s="56">
        <f>$BL676-$BL677</f>
        <v/>
      </c>
      <c r="DZ676" s="56">
        <f>$BM676-$BM677</f>
        <v/>
      </c>
      <c r="EA676" s="56">
        <f>$BN676-$BN677</f>
        <v/>
      </c>
      <c r="EB676" s="56">
        <f>$BO676-$BO677</f>
        <v/>
      </c>
      <c r="EC676" s="56">
        <f>$BP676-$BP677</f>
        <v/>
      </c>
      <c r="ED676" s="56">
        <f>$BQ676-$BQ677</f>
        <v/>
      </c>
      <c r="EE676" s="56">
        <f>$BR676-$BR677</f>
        <v/>
      </c>
      <c r="EF676" s="56">
        <f>$BS676-$BS677</f>
        <v/>
      </c>
      <c r="EG676" s="56">
        <f>$BT676-$BT677</f>
        <v/>
      </c>
      <c r="EH676" s="56">
        <f>$BU676-$BU677</f>
        <v/>
      </c>
    </row>
    <row r="677">
      <c r="BV677" s="56">
        <f>($D677-$D678)*100</f>
        <v/>
      </c>
      <c r="BW677" s="56">
        <f>($C677-$C678)*100</f>
        <v/>
      </c>
      <c r="BX677" s="57">
        <f>IFERROR($I677/$I678-1,"")</f>
        <v/>
      </c>
      <c r="BY677" s="56">
        <f>($AF677-$AF678)*100</f>
        <v/>
      </c>
      <c r="BZ677" s="56">
        <f>($AG677-$AG678)*100</f>
        <v/>
      </c>
      <c r="CA677" s="56">
        <f>($AH677-$AH678)*100</f>
        <v/>
      </c>
      <c r="CB677" s="56">
        <f>($AI677-$AI678)*100</f>
        <v/>
      </c>
      <c r="CC677" s="56">
        <f>($AJ677-$AJ678)*100</f>
        <v/>
      </c>
      <c r="CD677" s="56">
        <f>($AK677-$AK678)*100</f>
        <v/>
      </c>
      <c r="CE677" s="56">
        <f>($AL677-$AL678)*100</f>
        <v/>
      </c>
      <c r="CF677" s="56">
        <f>($AM677-$AM678)*100</f>
        <v/>
      </c>
      <c r="CG677" s="56">
        <f>($AN677-$AN678)*100</f>
        <v/>
      </c>
      <c r="CH677" s="56">
        <f>($AO677-$AO678)*100</f>
        <v/>
      </c>
      <c r="CI677" s="56">
        <f>($AP677-$AP678)*100</f>
        <v/>
      </c>
      <c r="CJ677" s="56">
        <f>($AQ677-$AQ678)*100</f>
        <v/>
      </c>
      <c r="CK677" s="56">
        <f>($AR677-$AR678)*100</f>
        <v/>
      </c>
      <c r="CL677" s="56">
        <f>($AS677-$AS678)*100</f>
        <v/>
      </c>
      <c r="CM677" s="56">
        <f>($AT677-$AT678)*100</f>
        <v/>
      </c>
      <c r="CN677" s="56">
        <f>($AU677-$AU678)*100</f>
        <v/>
      </c>
      <c r="CO677" s="56">
        <f>($AV677-$AV678)*100</f>
        <v/>
      </c>
      <c r="CP677" s="56">
        <f>($AW677-$AW678)*100</f>
        <v/>
      </c>
      <c r="CQ677" s="56">
        <f>($AX677-$AX678)*100</f>
        <v/>
      </c>
      <c r="CR677" s="56">
        <f>($AY677-$AY678)*100</f>
        <v/>
      </c>
      <c r="CS677" s="57">
        <f>IFERROR($L678/$L677-1,"")</f>
        <v/>
      </c>
      <c r="CT677" s="57">
        <f>IFERROR($M678/$M677-1,"")</f>
        <v/>
      </c>
      <c r="CU677" s="57">
        <f>IFERROR($N678/$N677-1,"")</f>
        <v/>
      </c>
      <c r="CV677" s="57">
        <f>IFERROR($O678/$O677-1,"")</f>
        <v/>
      </c>
      <c r="CW677" s="57">
        <f>IFERROR($P678/$P677-1,"")</f>
        <v/>
      </c>
      <c r="CX677" s="57">
        <f>IFERROR($Q678/$Q677-1,"")</f>
        <v/>
      </c>
      <c r="CY677" s="57">
        <f>IFERROR($R678/$R677-1,"")</f>
        <v/>
      </c>
      <c r="CZ677" s="57">
        <f>IFERROR($S678/$S677-1,"")</f>
        <v/>
      </c>
      <c r="DA677" s="57">
        <f>IFERROR($T678/$T677-1,"")</f>
        <v/>
      </c>
      <c r="DB677" s="57">
        <f>IFERROR($U678/$U677-1,"")</f>
        <v/>
      </c>
      <c r="DC677" s="57">
        <f>IFERROR($V678/$V677-1,"")</f>
        <v/>
      </c>
      <c r="DD677" s="57">
        <f>IFERROR($W678/$W677-1,"")</f>
        <v/>
      </c>
      <c r="DE677" s="57">
        <f>IFERROR($X678/$X677-1,"")</f>
        <v/>
      </c>
      <c r="DF677" s="57">
        <f>IFERROR($Y678/$Y677-1,"")</f>
        <v/>
      </c>
      <c r="DG677" s="57">
        <f>IFERROR($Z678/$Z677-1,"")</f>
        <v/>
      </c>
      <c r="DH677" s="57">
        <f>IFERROR($AA678/$AA677-1,"")</f>
        <v/>
      </c>
      <c r="DI677" s="57">
        <f>IFERROR($AB678/$AB677-1,"")</f>
        <v/>
      </c>
      <c r="DJ677" s="57">
        <f>IFERROR($AC678/$AC677-1,"")</f>
        <v/>
      </c>
      <c r="DK677" s="57">
        <f>IFERROR($AD678/$AD677-1,"")</f>
        <v/>
      </c>
      <c r="DL677" s="57">
        <f>IFERROR($AE678/$AE677-1,"")</f>
        <v/>
      </c>
      <c r="DM677" s="56">
        <f>$AZ677-$AZ678</f>
        <v/>
      </c>
      <c r="DN677" s="56">
        <f>$BA677-$BA678</f>
        <v/>
      </c>
      <c r="DO677" s="56">
        <f>$BB677-$BB678</f>
        <v/>
      </c>
      <c r="DP677" s="56">
        <f>$BC677-$BC678</f>
        <v/>
      </c>
      <c r="DQ677" s="56">
        <f>$BD677-$BD678</f>
        <v/>
      </c>
      <c r="DR677" s="56">
        <f>$BE677-$BE678</f>
        <v/>
      </c>
      <c r="DS677" s="56">
        <f>$BF677-$BF678</f>
        <v/>
      </c>
      <c r="DT677" s="56">
        <f>$BG677-$BG678</f>
        <v/>
      </c>
      <c r="DU677" s="56">
        <f>$BH677-$BH678</f>
        <v/>
      </c>
      <c r="DV677" s="56">
        <f>$BI677-$BI678</f>
        <v/>
      </c>
      <c r="DW677" s="56">
        <f>$BJ677-$BJ678</f>
        <v/>
      </c>
      <c r="DX677" s="56">
        <f>$BK677-$BK678</f>
        <v/>
      </c>
      <c r="DY677" s="56">
        <f>$BL677-$BL678</f>
        <v/>
      </c>
      <c r="DZ677" s="56">
        <f>$BM677-$BM678</f>
        <v/>
      </c>
      <c r="EA677" s="56">
        <f>$BN677-$BN678</f>
        <v/>
      </c>
      <c r="EB677" s="56">
        <f>$BO677-$BO678</f>
        <v/>
      </c>
      <c r="EC677" s="56">
        <f>$BP677-$BP678</f>
        <v/>
      </c>
      <c r="ED677" s="56">
        <f>$BQ677-$BQ678</f>
        <v/>
      </c>
      <c r="EE677" s="56">
        <f>$BR677-$BR678</f>
        <v/>
      </c>
      <c r="EF677" s="56">
        <f>$BS677-$BS678</f>
        <v/>
      </c>
      <c r="EG677" s="56">
        <f>$BT677-$BT678</f>
        <v/>
      </c>
      <c r="EH677" s="56">
        <f>$BU677-$BU678</f>
        <v/>
      </c>
    </row>
    <row r="678">
      <c r="BV678" s="56">
        <f>($D678-$D679)*100</f>
        <v/>
      </c>
      <c r="BW678" s="56">
        <f>($C678-$C679)*100</f>
        <v/>
      </c>
      <c r="BX678" s="57">
        <f>IFERROR($I678/$I679-1,"")</f>
        <v/>
      </c>
      <c r="BY678" s="56">
        <f>($AF678-$AF679)*100</f>
        <v/>
      </c>
      <c r="BZ678" s="56">
        <f>($AG678-$AG679)*100</f>
        <v/>
      </c>
      <c r="CA678" s="56">
        <f>($AH678-$AH679)*100</f>
        <v/>
      </c>
      <c r="CB678" s="56">
        <f>($AI678-$AI679)*100</f>
        <v/>
      </c>
      <c r="CC678" s="56">
        <f>($AJ678-$AJ679)*100</f>
        <v/>
      </c>
      <c r="CD678" s="56">
        <f>($AK678-$AK679)*100</f>
        <v/>
      </c>
      <c r="CE678" s="56">
        <f>($AL678-$AL679)*100</f>
        <v/>
      </c>
      <c r="CF678" s="56">
        <f>($AM678-$AM679)*100</f>
        <v/>
      </c>
      <c r="CG678" s="56">
        <f>($AN678-$AN679)*100</f>
        <v/>
      </c>
      <c r="CH678" s="56">
        <f>($AO678-$AO679)*100</f>
        <v/>
      </c>
      <c r="CI678" s="56">
        <f>($AP678-$AP679)*100</f>
        <v/>
      </c>
      <c r="CJ678" s="56">
        <f>($AQ678-$AQ679)*100</f>
        <v/>
      </c>
      <c r="CK678" s="56">
        <f>($AR678-$AR679)*100</f>
        <v/>
      </c>
      <c r="CL678" s="56">
        <f>($AS678-$AS679)*100</f>
        <v/>
      </c>
      <c r="CM678" s="56">
        <f>($AT678-$AT679)*100</f>
        <v/>
      </c>
      <c r="CN678" s="56">
        <f>($AU678-$AU679)*100</f>
        <v/>
      </c>
      <c r="CO678" s="56">
        <f>($AV678-$AV679)*100</f>
        <v/>
      </c>
      <c r="CP678" s="56">
        <f>($AW678-$AW679)*100</f>
        <v/>
      </c>
      <c r="CQ678" s="56">
        <f>($AX678-$AX679)*100</f>
        <v/>
      </c>
      <c r="CR678" s="56">
        <f>($AY678-$AY679)*100</f>
        <v/>
      </c>
      <c r="CS678" s="57">
        <f>IFERROR($L679/$L678-1,"")</f>
        <v/>
      </c>
      <c r="CT678" s="57">
        <f>IFERROR($M679/$M678-1,"")</f>
        <v/>
      </c>
      <c r="CU678" s="57">
        <f>IFERROR($N679/$N678-1,"")</f>
        <v/>
      </c>
      <c r="CV678" s="57">
        <f>IFERROR($O679/$O678-1,"")</f>
        <v/>
      </c>
      <c r="CW678" s="57">
        <f>IFERROR($P679/$P678-1,"")</f>
        <v/>
      </c>
      <c r="CX678" s="57">
        <f>IFERROR($Q679/$Q678-1,"")</f>
        <v/>
      </c>
      <c r="CY678" s="57">
        <f>IFERROR($R679/$R678-1,"")</f>
        <v/>
      </c>
      <c r="CZ678" s="57">
        <f>IFERROR($S679/$S678-1,"")</f>
        <v/>
      </c>
      <c r="DA678" s="57">
        <f>IFERROR($T679/$T678-1,"")</f>
        <v/>
      </c>
      <c r="DB678" s="57">
        <f>IFERROR($U679/$U678-1,"")</f>
        <v/>
      </c>
      <c r="DC678" s="57">
        <f>IFERROR($V679/$V678-1,"")</f>
        <v/>
      </c>
      <c r="DD678" s="57">
        <f>IFERROR($W679/$W678-1,"")</f>
        <v/>
      </c>
      <c r="DE678" s="57">
        <f>IFERROR($X679/$X678-1,"")</f>
        <v/>
      </c>
      <c r="DF678" s="57">
        <f>IFERROR($Y679/$Y678-1,"")</f>
        <v/>
      </c>
      <c r="DG678" s="57">
        <f>IFERROR($Z679/$Z678-1,"")</f>
        <v/>
      </c>
      <c r="DH678" s="57">
        <f>IFERROR($AA679/$AA678-1,"")</f>
        <v/>
      </c>
      <c r="DI678" s="57">
        <f>IFERROR($AB679/$AB678-1,"")</f>
        <v/>
      </c>
      <c r="DJ678" s="57">
        <f>IFERROR($AC679/$AC678-1,"")</f>
        <v/>
      </c>
      <c r="DK678" s="57">
        <f>IFERROR($AD679/$AD678-1,"")</f>
        <v/>
      </c>
      <c r="DL678" s="57">
        <f>IFERROR($AE679/$AE678-1,"")</f>
        <v/>
      </c>
      <c r="DM678" s="56">
        <f>$AZ678-$AZ679</f>
        <v/>
      </c>
      <c r="DN678" s="56">
        <f>$BA678-$BA679</f>
        <v/>
      </c>
      <c r="DO678" s="56">
        <f>$BB678-$BB679</f>
        <v/>
      </c>
      <c r="DP678" s="56">
        <f>$BC678-$BC679</f>
        <v/>
      </c>
      <c r="DQ678" s="56">
        <f>$BD678-$BD679</f>
        <v/>
      </c>
      <c r="DR678" s="56">
        <f>$BE678-$BE679</f>
        <v/>
      </c>
      <c r="DS678" s="56">
        <f>$BF678-$BF679</f>
        <v/>
      </c>
      <c r="DT678" s="56">
        <f>$BG678-$BG679</f>
        <v/>
      </c>
      <c r="DU678" s="56">
        <f>$BH678-$BH679</f>
        <v/>
      </c>
      <c r="DV678" s="56">
        <f>$BI678-$BI679</f>
        <v/>
      </c>
      <c r="DW678" s="56">
        <f>$BJ678-$BJ679</f>
        <v/>
      </c>
      <c r="DX678" s="56">
        <f>$BK678-$BK679</f>
        <v/>
      </c>
      <c r="DY678" s="56">
        <f>$BL678-$BL679</f>
        <v/>
      </c>
      <c r="DZ678" s="56">
        <f>$BM678-$BM679</f>
        <v/>
      </c>
      <c r="EA678" s="56">
        <f>$BN678-$BN679</f>
        <v/>
      </c>
      <c r="EB678" s="56">
        <f>$BO678-$BO679</f>
        <v/>
      </c>
      <c r="EC678" s="56">
        <f>$BP678-$BP679</f>
        <v/>
      </c>
      <c r="ED678" s="56">
        <f>$BQ678-$BQ679</f>
        <v/>
      </c>
      <c r="EE678" s="56">
        <f>$BR678-$BR679</f>
        <v/>
      </c>
      <c r="EF678" s="56">
        <f>$BS678-$BS679</f>
        <v/>
      </c>
      <c r="EG678" s="56">
        <f>$BT678-$BT679</f>
        <v/>
      </c>
      <c r="EH678" s="56">
        <f>$BU678-$BU679</f>
        <v/>
      </c>
    </row>
    <row r="679">
      <c r="BV679" s="56">
        <f>($D679-$D680)*100</f>
        <v/>
      </c>
      <c r="BW679" s="56">
        <f>($C679-$C680)*100</f>
        <v/>
      </c>
      <c r="BX679" s="57">
        <f>IFERROR($I679/$I680-1,"")</f>
        <v/>
      </c>
      <c r="BY679" s="56">
        <f>($AF679-$AF680)*100</f>
        <v/>
      </c>
      <c r="BZ679" s="56">
        <f>($AG679-$AG680)*100</f>
        <v/>
      </c>
      <c r="CA679" s="56">
        <f>($AH679-$AH680)*100</f>
        <v/>
      </c>
      <c r="CB679" s="56">
        <f>($AI679-$AI680)*100</f>
        <v/>
      </c>
      <c r="CC679" s="56">
        <f>($AJ679-$AJ680)*100</f>
        <v/>
      </c>
      <c r="CD679" s="56">
        <f>($AK679-$AK680)*100</f>
        <v/>
      </c>
      <c r="CE679" s="56">
        <f>($AL679-$AL680)*100</f>
        <v/>
      </c>
      <c r="CF679" s="56">
        <f>($AM679-$AM680)*100</f>
        <v/>
      </c>
      <c r="CG679" s="56">
        <f>($AN679-$AN680)*100</f>
        <v/>
      </c>
      <c r="CH679" s="56">
        <f>($AO679-$AO680)*100</f>
        <v/>
      </c>
      <c r="CI679" s="56">
        <f>($AP679-$AP680)*100</f>
        <v/>
      </c>
      <c r="CJ679" s="56">
        <f>($AQ679-$AQ680)*100</f>
        <v/>
      </c>
      <c r="CK679" s="56">
        <f>($AR679-$AR680)*100</f>
        <v/>
      </c>
      <c r="CL679" s="56">
        <f>($AS679-$AS680)*100</f>
        <v/>
      </c>
      <c r="CM679" s="56">
        <f>($AT679-$AT680)*100</f>
        <v/>
      </c>
      <c r="CN679" s="56">
        <f>($AU679-$AU680)*100</f>
        <v/>
      </c>
      <c r="CO679" s="56">
        <f>($AV679-$AV680)*100</f>
        <v/>
      </c>
      <c r="CP679" s="56">
        <f>($AW679-$AW680)*100</f>
        <v/>
      </c>
      <c r="CQ679" s="56">
        <f>($AX679-$AX680)*100</f>
        <v/>
      </c>
      <c r="CR679" s="56">
        <f>($AY679-$AY680)*100</f>
        <v/>
      </c>
      <c r="CS679" s="57">
        <f>IFERROR($L680/$L679-1,"")</f>
        <v/>
      </c>
      <c r="CT679" s="57">
        <f>IFERROR($M680/$M679-1,"")</f>
        <v/>
      </c>
      <c r="CU679" s="57">
        <f>IFERROR($N680/$N679-1,"")</f>
        <v/>
      </c>
      <c r="CV679" s="57">
        <f>IFERROR($O680/$O679-1,"")</f>
        <v/>
      </c>
      <c r="CW679" s="57">
        <f>IFERROR($P680/$P679-1,"")</f>
        <v/>
      </c>
      <c r="CX679" s="57">
        <f>IFERROR($Q680/$Q679-1,"")</f>
        <v/>
      </c>
      <c r="CY679" s="57">
        <f>IFERROR($R680/$R679-1,"")</f>
        <v/>
      </c>
      <c r="CZ679" s="57">
        <f>IFERROR($S680/$S679-1,"")</f>
        <v/>
      </c>
      <c r="DA679" s="57">
        <f>IFERROR($T680/$T679-1,"")</f>
        <v/>
      </c>
      <c r="DB679" s="57">
        <f>IFERROR($U680/$U679-1,"")</f>
        <v/>
      </c>
      <c r="DC679" s="57">
        <f>IFERROR($V680/$V679-1,"")</f>
        <v/>
      </c>
      <c r="DD679" s="57">
        <f>IFERROR($W680/$W679-1,"")</f>
        <v/>
      </c>
      <c r="DE679" s="57">
        <f>IFERROR($X680/$X679-1,"")</f>
        <v/>
      </c>
      <c r="DF679" s="57">
        <f>IFERROR($Y680/$Y679-1,"")</f>
        <v/>
      </c>
      <c r="DG679" s="57">
        <f>IFERROR($Z680/$Z679-1,"")</f>
        <v/>
      </c>
      <c r="DH679" s="57">
        <f>IFERROR($AA680/$AA679-1,"")</f>
        <v/>
      </c>
      <c r="DI679" s="57">
        <f>IFERROR($AB680/$AB679-1,"")</f>
        <v/>
      </c>
      <c r="DJ679" s="57">
        <f>IFERROR($AC680/$AC679-1,"")</f>
        <v/>
      </c>
      <c r="DK679" s="57">
        <f>IFERROR($AD680/$AD679-1,"")</f>
        <v/>
      </c>
      <c r="DL679" s="57">
        <f>IFERROR($AE680/$AE679-1,"")</f>
        <v/>
      </c>
      <c r="DM679" s="56">
        <f>$AZ679-$AZ680</f>
        <v/>
      </c>
      <c r="DN679" s="56">
        <f>$BA679-$BA680</f>
        <v/>
      </c>
      <c r="DO679" s="56">
        <f>$BB679-$BB680</f>
        <v/>
      </c>
      <c r="DP679" s="56">
        <f>$BC679-$BC680</f>
        <v/>
      </c>
      <c r="DQ679" s="56">
        <f>$BD679-$BD680</f>
        <v/>
      </c>
      <c r="DR679" s="56">
        <f>$BE679-$BE680</f>
        <v/>
      </c>
      <c r="DS679" s="56">
        <f>$BF679-$BF680</f>
        <v/>
      </c>
      <c r="DT679" s="56">
        <f>$BG679-$BG680</f>
        <v/>
      </c>
      <c r="DU679" s="56">
        <f>$BH679-$BH680</f>
        <v/>
      </c>
      <c r="DV679" s="56">
        <f>$BI679-$BI680</f>
        <v/>
      </c>
      <c r="DW679" s="56">
        <f>$BJ679-$BJ680</f>
        <v/>
      </c>
      <c r="DX679" s="56">
        <f>$BK679-$BK680</f>
        <v/>
      </c>
      <c r="DY679" s="56">
        <f>$BL679-$BL680</f>
        <v/>
      </c>
      <c r="DZ679" s="56">
        <f>$BM679-$BM680</f>
        <v/>
      </c>
      <c r="EA679" s="56">
        <f>$BN679-$BN680</f>
        <v/>
      </c>
      <c r="EB679" s="56">
        <f>$BO679-$BO680</f>
        <v/>
      </c>
      <c r="EC679" s="56">
        <f>$BP679-$BP680</f>
        <v/>
      </c>
      <c r="ED679" s="56">
        <f>$BQ679-$BQ680</f>
        <v/>
      </c>
      <c r="EE679" s="56">
        <f>$BR679-$BR680</f>
        <v/>
      </c>
      <c r="EF679" s="56">
        <f>$BS679-$BS680</f>
        <v/>
      </c>
      <c r="EG679" s="56">
        <f>$BT679-$BT680</f>
        <v/>
      </c>
      <c r="EH679" s="56">
        <f>$BU679-$BU680</f>
        <v/>
      </c>
    </row>
    <row r="680">
      <c r="BV680" s="56">
        <f>($D680-$D681)*100</f>
        <v/>
      </c>
      <c r="BW680" s="56">
        <f>($C680-$C681)*100</f>
        <v/>
      </c>
      <c r="BX680" s="57">
        <f>IFERROR($I680/$I681-1,"")</f>
        <v/>
      </c>
      <c r="BY680" s="56">
        <f>($AF680-$AF681)*100</f>
        <v/>
      </c>
      <c r="BZ680" s="56">
        <f>($AG680-$AG681)*100</f>
        <v/>
      </c>
      <c r="CA680" s="56">
        <f>($AH680-$AH681)*100</f>
        <v/>
      </c>
      <c r="CB680" s="56">
        <f>($AI680-$AI681)*100</f>
        <v/>
      </c>
      <c r="CC680" s="56">
        <f>($AJ680-$AJ681)*100</f>
        <v/>
      </c>
      <c r="CD680" s="56">
        <f>($AK680-$AK681)*100</f>
        <v/>
      </c>
      <c r="CE680" s="56">
        <f>($AL680-$AL681)*100</f>
        <v/>
      </c>
      <c r="CF680" s="56">
        <f>($AM680-$AM681)*100</f>
        <v/>
      </c>
      <c r="CG680" s="56">
        <f>($AN680-$AN681)*100</f>
        <v/>
      </c>
      <c r="CH680" s="56">
        <f>($AO680-$AO681)*100</f>
        <v/>
      </c>
      <c r="CI680" s="56">
        <f>($AP680-$AP681)*100</f>
        <v/>
      </c>
      <c r="CJ680" s="56">
        <f>($AQ680-$AQ681)*100</f>
        <v/>
      </c>
      <c r="CK680" s="56">
        <f>($AR680-$AR681)*100</f>
        <v/>
      </c>
      <c r="CL680" s="56">
        <f>($AS680-$AS681)*100</f>
        <v/>
      </c>
      <c r="CM680" s="56">
        <f>($AT680-$AT681)*100</f>
        <v/>
      </c>
      <c r="CN680" s="56">
        <f>($AU680-$AU681)*100</f>
        <v/>
      </c>
      <c r="CO680" s="56">
        <f>($AV680-$AV681)*100</f>
        <v/>
      </c>
      <c r="CP680" s="56">
        <f>($AW680-$AW681)*100</f>
        <v/>
      </c>
      <c r="CQ680" s="56">
        <f>($AX680-$AX681)*100</f>
        <v/>
      </c>
      <c r="CR680" s="56">
        <f>($AY680-$AY681)*100</f>
        <v/>
      </c>
      <c r="CS680" s="57">
        <f>IFERROR($L681/$L680-1,"")</f>
        <v/>
      </c>
      <c r="CT680" s="57">
        <f>IFERROR($M681/$M680-1,"")</f>
        <v/>
      </c>
      <c r="CU680" s="57">
        <f>IFERROR($N681/$N680-1,"")</f>
        <v/>
      </c>
      <c r="CV680" s="57">
        <f>IFERROR($O681/$O680-1,"")</f>
        <v/>
      </c>
      <c r="CW680" s="57">
        <f>IFERROR($P681/$P680-1,"")</f>
        <v/>
      </c>
      <c r="CX680" s="57">
        <f>IFERROR($Q681/$Q680-1,"")</f>
        <v/>
      </c>
      <c r="CY680" s="57">
        <f>IFERROR($R681/$R680-1,"")</f>
        <v/>
      </c>
      <c r="CZ680" s="57">
        <f>IFERROR($S681/$S680-1,"")</f>
        <v/>
      </c>
      <c r="DA680" s="57">
        <f>IFERROR($T681/$T680-1,"")</f>
        <v/>
      </c>
      <c r="DB680" s="57">
        <f>IFERROR($U681/$U680-1,"")</f>
        <v/>
      </c>
      <c r="DC680" s="57">
        <f>IFERROR($V681/$V680-1,"")</f>
        <v/>
      </c>
      <c r="DD680" s="57">
        <f>IFERROR($W681/$W680-1,"")</f>
        <v/>
      </c>
      <c r="DE680" s="57">
        <f>IFERROR($X681/$X680-1,"")</f>
        <v/>
      </c>
      <c r="DF680" s="57">
        <f>IFERROR($Y681/$Y680-1,"")</f>
        <v/>
      </c>
      <c r="DG680" s="57">
        <f>IFERROR($Z681/$Z680-1,"")</f>
        <v/>
      </c>
      <c r="DH680" s="57">
        <f>IFERROR($AA681/$AA680-1,"")</f>
        <v/>
      </c>
      <c r="DI680" s="57">
        <f>IFERROR($AB681/$AB680-1,"")</f>
        <v/>
      </c>
      <c r="DJ680" s="57">
        <f>IFERROR($AC681/$AC680-1,"")</f>
        <v/>
      </c>
      <c r="DK680" s="57">
        <f>IFERROR($AD681/$AD680-1,"")</f>
        <v/>
      </c>
      <c r="DL680" s="57">
        <f>IFERROR($AE681/$AE680-1,"")</f>
        <v/>
      </c>
      <c r="DM680" s="56">
        <f>$AZ680-$AZ681</f>
        <v/>
      </c>
      <c r="DN680" s="56">
        <f>$BA680-$BA681</f>
        <v/>
      </c>
      <c r="DO680" s="56">
        <f>$BB680-$BB681</f>
        <v/>
      </c>
      <c r="DP680" s="56">
        <f>$BC680-$BC681</f>
        <v/>
      </c>
      <c r="DQ680" s="56">
        <f>$BD680-$BD681</f>
        <v/>
      </c>
      <c r="DR680" s="56">
        <f>$BE680-$BE681</f>
        <v/>
      </c>
      <c r="DS680" s="56">
        <f>$BF680-$BF681</f>
        <v/>
      </c>
      <c r="DT680" s="56">
        <f>$BG680-$BG681</f>
        <v/>
      </c>
      <c r="DU680" s="56">
        <f>$BH680-$BH681</f>
        <v/>
      </c>
      <c r="DV680" s="56">
        <f>$BI680-$BI681</f>
        <v/>
      </c>
      <c r="DW680" s="56">
        <f>$BJ680-$BJ681</f>
        <v/>
      </c>
      <c r="DX680" s="56">
        <f>$BK680-$BK681</f>
        <v/>
      </c>
      <c r="DY680" s="56">
        <f>$BL680-$BL681</f>
        <v/>
      </c>
      <c r="DZ680" s="56">
        <f>$BM680-$BM681</f>
        <v/>
      </c>
      <c r="EA680" s="56">
        <f>$BN680-$BN681</f>
        <v/>
      </c>
      <c r="EB680" s="56">
        <f>$BO680-$BO681</f>
        <v/>
      </c>
      <c r="EC680" s="56">
        <f>$BP680-$BP681</f>
        <v/>
      </c>
      <c r="ED680" s="56">
        <f>$BQ680-$BQ681</f>
        <v/>
      </c>
      <c r="EE680" s="56">
        <f>$BR680-$BR681</f>
        <v/>
      </c>
      <c r="EF680" s="56">
        <f>$BS680-$BS681</f>
        <v/>
      </c>
      <c r="EG680" s="56">
        <f>$BT680-$BT681</f>
        <v/>
      </c>
      <c r="EH680" s="56">
        <f>$BU680-$BU681</f>
        <v/>
      </c>
    </row>
    <row r="681">
      <c r="BV681" s="56">
        <f>($D681-$D682)*100</f>
        <v/>
      </c>
      <c r="BW681" s="56">
        <f>($C681-$C682)*100</f>
        <v/>
      </c>
      <c r="BX681" s="57">
        <f>IFERROR($I681/$I682-1,"")</f>
        <v/>
      </c>
      <c r="BY681" s="56">
        <f>($AF681-$AF682)*100</f>
        <v/>
      </c>
      <c r="BZ681" s="56">
        <f>($AG681-$AG682)*100</f>
        <v/>
      </c>
      <c r="CA681" s="56">
        <f>($AH681-$AH682)*100</f>
        <v/>
      </c>
      <c r="CB681" s="56">
        <f>($AI681-$AI682)*100</f>
        <v/>
      </c>
      <c r="CC681" s="56">
        <f>($AJ681-$AJ682)*100</f>
        <v/>
      </c>
      <c r="CD681" s="56">
        <f>($AK681-$AK682)*100</f>
        <v/>
      </c>
      <c r="CE681" s="56">
        <f>($AL681-$AL682)*100</f>
        <v/>
      </c>
      <c r="CF681" s="56">
        <f>($AM681-$AM682)*100</f>
        <v/>
      </c>
      <c r="CG681" s="56">
        <f>($AN681-$AN682)*100</f>
        <v/>
      </c>
      <c r="CH681" s="56">
        <f>($AO681-$AO682)*100</f>
        <v/>
      </c>
      <c r="CI681" s="56">
        <f>($AP681-$AP682)*100</f>
        <v/>
      </c>
      <c r="CJ681" s="56">
        <f>($AQ681-$AQ682)*100</f>
        <v/>
      </c>
      <c r="CK681" s="56">
        <f>($AR681-$AR682)*100</f>
        <v/>
      </c>
      <c r="CL681" s="56">
        <f>($AS681-$AS682)*100</f>
        <v/>
      </c>
      <c r="CM681" s="56">
        <f>($AT681-$AT682)*100</f>
        <v/>
      </c>
      <c r="CN681" s="56">
        <f>($AU681-$AU682)*100</f>
        <v/>
      </c>
      <c r="CO681" s="56">
        <f>($AV681-$AV682)*100</f>
        <v/>
      </c>
      <c r="CP681" s="56">
        <f>($AW681-$AW682)*100</f>
        <v/>
      </c>
      <c r="CQ681" s="56">
        <f>($AX681-$AX682)*100</f>
        <v/>
      </c>
      <c r="CR681" s="56">
        <f>($AY681-$AY682)*100</f>
        <v/>
      </c>
      <c r="CS681" s="57">
        <f>IFERROR($L682/$L681-1,"")</f>
        <v/>
      </c>
      <c r="CT681" s="57">
        <f>IFERROR($M682/$M681-1,"")</f>
        <v/>
      </c>
      <c r="CU681" s="57">
        <f>IFERROR($N682/$N681-1,"")</f>
        <v/>
      </c>
      <c r="CV681" s="57">
        <f>IFERROR($O682/$O681-1,"")</f>
        <v/>
      </c>
      <c r="CW681" s="57">
        <f>IFERROR($P682/$P681-1,"")</f>
        <v/>
      </c>
      <c r="CX681" s="57">
        <f>IFERROR($Q682/$Q681-1,"")</f>
        <v/>
      </c>
      <c r="CY681" s="57">
        <f>IFERROR($R682/$R681-1,"")</f>
        <v/>
      </c>
      <c r="CZ681" s="57">
        <f>IFERROR($S682/$S681-1,"")</f>
        <v/>
      </c>
      <c r="DA681" s="57">
        <f>IFERROR($T682/$T681-1,"")</f>
        <v/>
      </c>
      <c r="DB681" s="57">
        <f>IFERROR($U682/$U681-1,"")</f>
        <v/>
      </c>
      <c r="DC681" s="57">
        <f>IFERROR($V682/$V681-1,"")</f>
        <v/>
      </c>
      <c r="DD681" s="57">
        <f>IFERROR($W682/$W681-1,"")</f>
        <v/>
      </c>
      <c r="DE681" s="57">
        <f>IFERROR($X682/$X681-1,"")</f>
        <v/>
      </c>
      <c r="DF681" s="57">
        <f>IFERROR($Y682/$Y681-1,"")</f>
        <v/>
      </c>
      <c r="DG681" s="57">
        <f>IFERROR($Z682/$Z681-1,"")</f>
        <v/>
      </c>
      <c r="DH681" s="57">
        <f>IFERROR($AA682/$AA681-1,"")</f>
        <v/>
      </c>
      <c r="DI681" s="57">
        <f>IFERROR($AB682/$AB681-1,"")</f>
        <v/>
      </c>
      <c r="DJ681" s="57">
        <f>IFERROR($AC682/$AC681-1,"")</f>
        <v/>
      </c>
      <c r="DK681" s="57">
        <f>IFERROR($AD682/$AD681-1,"")</f>
        <v/>
      </c>
      <c r="DL681" s="57">
        <f>IFERROR($AE682/$AE681-1,"")</f>
        <v/>
      </c>
      <c r="DM681" s="56">
        <f>$AZ681-$AZ682</f>
        <v/>
      </c>
      <c r="DN681" s="56">
        <f>$BA681-$BA682</f>
        <v/>
      </c>
      <c r="DO681" s="56">
        <f>$BB681-$BB682</f>
        <v/>
      </c>
      <c r="DP681" s="56">
        <f>$BC681-$BC682</f>
        <v/>
      </c>
      <c r="DQ681" s="56">
        <f>$BD681-$BD682</f>
        <v/>
      </c>
      <c r="DR681" s="56">
        <f>$BE681-$BE682</f>
        <v/>
      </c>
      <c r="DS681" s="56">
        <f>$BF681-$BF682</f>
        <v/>
      </c>
      <c r="DT681" s="56">
        <f>$BG681-$BG682</f>
        <v/>
      </c>
      <c r="DU681" s="56">
        <f>$BH681-$BH682</f>
        <v/>
      </c>
      <c r="DV681" s="56">
        <f>$BI681-$BI682</f>
        <v/>
      </c>
      <c r="DW681" s="56">
        <f>$BJ681-$BJ682</f>
        <v/>
      </c>
      <c r="DX681" s="56">
        <f>$BK681-$BK682</f>
        <v/>
      </c>
      <c r="DY681" s="56">
        <f>$BL681-$BL682</f>
        <v/>
      </c>
      <c r="DZ681" s="56">
        <f>$BM681-$BM682</f>
        <v/>
      </c>
      <c r="EA681" s="56">
        <f>$BN681-$BN682</f>
        <v/>
      </c>
      <c r="EB681" s="56">
        <f>$BO681-$BO682</f>
        <v/>
      </c>
      <c r="EC681" s="56">
        <f>$BP681-$BP682</f>
        <v/>
      </c>
      <c r="ED681" s="56">
        <f>$BQ681-$BQ682</f>
        <v/>
      </c>
      <c r="EE681" s="56">
        <f>$BR681-$BR682</f>
        <v/>
      </c>
      <c r="EF681" s="56">
        <f>$BS681-$BS682</f>
        <v/>
      </c>
      <c r="EG681" s="56">
        <f>$BT681-$BT682</f>
        <v/>
      </c>
      <c r="EH681" s="56">
        <f>$BU681-$BU682</f>
        <v/>
      </c>
    </row>
    <row r="682">
      <c r="BV682" s="56">
        <f>($D682-$D683)*100</f>
        <v/>
      </c>
      <c r="BW682" s="56">
        <f>($C682-$C683)*100</f>
        <v/>
      </c>
      <c r="BX682" s="57">
        <f>IFERROR($I682/$I683-1,"")</f>
        <v/>
      </c>
      <c r="BY682" s="56">
        <f>($AF682-$AF683)*100</f>
        <v/>
      </c>
      <c r="BZ682" s="56">
        <f>($AG682-$AG683)*100</f>
        <v/>
      </c>
      <c r="CA682" s="56">
        <f>($AH682-$AH683)*100</f>
        <v/>
      </c>
      <c r="CB682" s="56">
        <f>($AI682-$AI683)*100</f>
        <v/>
      </c>
      <c r="CC682" s="56">
        <f>($AJ682-$AJ683)*100</f>
        <v/>
      </c>
      <c r="CD682" s="56">
        <f>($AK682-$AK683)*100</f>
        <v/>
      </c>
      <c r="CE682" s="56">
        <f>($AL682-$AL683)*100</f>
        <v/>
      </c>
      <c r="CF682" s="56">
        <f>($AM682-$AM683)*100</f>
        <v/>
      </c>
      <c r="CG682" s="56">
        <f>($AN682-$AN683)*100</f>
        <v/>
      </c>
      <c r="CH682" s="56">
        <f>($AO682-$AO683)*100</f>
        <v/>
      </c>
      <c r="CI682" s="56">
        <f>($AP682-$AP683)*100</f>
        <v/>
      </c>
      <c r="CJ682" s="56">
        <f>($AQ682-$AQ683)*100</f>
        <v/>
      </c>
      <c r="CK682" s="56">
        <f>($AR682-$AR683)*100</f>
        <v/>
      </c>
      <c r="CL682" s="56">
        <f>($AS682-$AS683)*100</f>
        <v/>
      </c>
      <c r="CM682" s="56">
        <f>($AT682-$AT683)*100</f>
        <v/>
      </c>
      <c r="CN682" s="56">
        <f>($AU682-$AU683)*100</f>
        <v/>
      </c>
      <c r="CO682" s="56">
        <f>($AV682-$AV683)*100</f>
        <v/>
      </c>
      <c r="CP682" s="56">
        <f>($AW682-$AW683)*100</f>
        <v/>
      </c>
      <c r="CQ682" s="56">
        <f>($AX682-$AX683)*100</f>
        <v/>
      </c>
      <c r="CR682" s="56">
        <f>($AY682-$AY683)*100</f>
        <v/>
      </c>
      <c r="CS682" s="57">
        <f>IFERROR($L683/$L682-1,"")</f>
        <v/>
      </c>
      <c r="CT682" s="57">
        <f>IFERROR($M683/$M682-1,"")</f>
        <v/>
      </c>
      <c r="CU682" s="57">
        <f>IFERROR($N683/$N682-1,"")</f>
        <v/>
      </c>
      <c r="CV682" s="57">
        <f>IFERROR($O683/$O682-1,"")</f>
        <v/>
      </c>
      <c r="CW682" s="57">
        <f>IFERROR($P683/$P682-1,"")</f>
        <v/>
      </c>
      <c r="CX682" s="57">
        <f>IFERROR($Q683/$Q682-1,"")</f>
        <v/>
      </c>
      <c r="CY682" s="57">
        <f>IFERROR($R683/$R682-1,"")</f>
        <v/>
      </c>
      <c r="CZ682" s="57">
        <f>IFERROR($S683/$S682-1,"")</f>
        <v/>
      </c>
      <c r="DA682" s="57">
        <f>IFERROR($T683/$T682-1,"")</f>
        <v/>
      </c>
      <c r="DB682" s="57">
        <f>IFERROR($U683/$U682-1,"")</f>
        <v/>
      </c>
      <c r="DC682" s="57">
        <f>IFERROR($V683/$V682-1,"")</f>
        <v/>
      </c>
      <c r="DD682" s="57">
        <f>IFERROR($W683/$W682-1,"")</f>
        <v/>
      </c>
      <c r="DE682" s="57">
        <f>IFERROR($X683/$X682-1,"")</f>
        <v/>
      </c>
      <c r="DF682" s="57">
        <f>IFERROR($Y683/$Y682-1,"")</f>
        <v/>
      </c>
      <c r="DG682" s="57">
        <f>IFERROR($Z683/$Z682-1,"")</f>
        <v/>
      </c>
      <c r="DH682" s="57">
        <f>IFERROR($AA683/$AA682-1,"")</f>
        <v/>
      </c>
      <c r="DI682" s="57">
        <f>IFERROR($AB683/$AB682-1,"")</f>
        <v/>
      </c>
      <c r="DJ682" s="57">
        <f>IFERROR($AC683/$AC682-1,"")</f>
        <v/>
      </c>
      <c r="DK682" s="57">
        <f>IFERROR($AD683/$AD682-1,"")</f>
        <v/>
      </c>
      <c r="DL682" s="57">
        <f>IFERROR($AE683/$AE682-1,"")</f>
        <v/>
      </c>
      <c r="DM682" s="56">
        <f>$AZ682-$AZ683</f>
        <v/>
      </c>
      <c r="DN682" s="56">
        <f>$BA682-$BA683</f>
        <v/>
      </c>
      <c r="DO682" s="56">
        <f>$BB682-$BB683</f>
        <v/>
      </c>
      <c r="DP682" s="56">
        <f>$BC682-$BC683</f>
        <v/>
      </c>
      <c r="DQ682" s="56">
        <f>$BD682-$BD683</f>
        <v/>
      </c>
      <c r="DR682" s="56">
        <f>$BE682-$BE683</f>
        <v/>
      </c>
      <c r="DS682" s="56">
        <f>$BF682-$BF683</f>
        <v/>
      </c>
      <c r="DT682" s="56">
        <f>$BG682-$BG683</f>
        <v/>
      </c>
      <c r="DU682" s="56">
        <f>$BH682-$BH683</f>
        <v/>
      </c>
      <c r="DV682" s="56">
        <f>$BI682-$BI683</f>
        <v/>
      </c>
      <c r="DW682" s="56">
        <f>$BJ682-$BJ683</f>
        <v/>
      </c>
      <c r="DX682" s="56">
        <f>$BK682-$BK683</f>
        <v/>
      </c>
      <c r="DY682" s="56">
        <f>$BL682-$BL683</f>
        <v/>
      </c>
      <c r="DZ682" s="56">
        <f>$BM682-$BM683</f>
        <v/>
      </c>
      <c r="EA682" s="56">
        <f>$BN682-$BN683</f>
        <v/>
      </c>
      <c r="EB682" s="56">
        <f>$BO682-$BO683</f>
        <v/>
      </c>
      <c r="EC682" s="56">
        <f>$BP682-$BP683</f>
        <v/>
      </c>
      <c r="ED682" s="56">
        <f>$BQ682-$BQ683</f>
        <v/>
      </c>
      <c r="EE682" s="56">
        <f>$BR682-$BR683</f>
        <v/>
      </c>
      <c r="EF682" s="56">
        <f>$BS682-$BS683</f>
        <v/>
      </c>
      <c r="EG682" s="56">
        <f>$BT682-$BT683</f>
        <v/>
      </c>
      <c r="EH682" s="56">
        <f>$BU682-$BU683</f>
        <v/>
      </c>
    </row>
    <row r="683">
      <c r="BV683" s="56">
        <f>($D683-$D684)*100</f>
        <v/>
      </c>
      <c r="BW683" s="56">
        <f>($C683-$C684)*100</f>
        <v/>
      </c>
      <c r="BX683" s="57">
        <f>IFERROR($I683/$I684-1,"")</f>
        <v/>
      </c>
      <c r="BY683" s="56">
        <f>($AF683-$AF684)*100</f>
        <v/>
      </c>
      <c r="BZ683" s="56">
        <f>($AG683-$AG684)*100</f>
        <v/>
      </c>
      <c r="CA683" s="56">
        <f>($AH683-$AH684)*100</f>
        <v/>
      </c>
      <c r="CB683" s="56">
        <f>($AI683-$AI684)*100</f>
        <v/>
      </c>
      <c r="CC683" s="56">
        <f>($AJ683-$AJ684)*100</f>
        <v/>
      </c>
      <c r="CD683" s="56">
        <f>($AK683-$AK684)*100</f>
        <v/>
      </c>
      <c r="CE683" s="56">
        <f>($AL683-$AL684)*100</f>
        <v/>
      </c>
      <c r="CF683" s="56">
        <f>($AM683-$AM684)*100</f>
        <v/>
      </c>
      <c r="CG683" s="56">
        <f>($AN683-$AN684)*100</f>
        <v/>
      </c>
      <c r="CH683" s="56">
        <f>($AO683-$AO684)*100</f>
        <v/>
      </c>
      <c r="CI683" s="56">
        <f>($AP683-$AP684)*100</f>
        <v/>
      </c>
      <c r="CJ683" s="56">
        <f>($AQ683-$AQ684)*100</f>
        <v/>
      </c>
      <c r="CK683" s="56">
        <f>($AR683-$AR684)*100</f>
        <v/>
      </c>
      <c r="CL683" s="56">
        <f>($AS683-$AS684)*100</f>
        <v/>
      </c>
      <c r="CM683" s="56">
        <f>($AT683-$AT684)*100</f>
        <v/>
      </c>
      <c r="CN683" s="56">
        <f>($AU683-$AU684)*100</f>
        <v/>
      </c>
      <c r="CO683" s="56">
        <f>($AV683-$AV684)*100</f>
        <v/>
      </c>
      <c r="CP683" s="56">
        <f>($AW683-$AW684)*100</f>
        <v/>
      </c>
      <c r="CQ683" s="56">
        <f>($AX683-$AX684)*100</f>
        <v/>
      </c>
      <c r="CR683" s="56">
        <f>($AY683-$AY684)*100</f>
        <v/>
      </c>
      <c r="CS683" s="57">
        <f>IFERROR($L684/$L683-1,"")</f>
        <v/>
      </c>
      <c r="CT683" s="57">
        <f>IFERROR($M684/$M683-1,"")</f>
        <v/>
      </c>
      <c r="CU683" s="57">
        <f>IFERROR($N684/$N683-1,"")</f>
        <v/>
      </c>
      <c r="CV683" s="57">
        <f>IFERROR($O684/$O683-1,"")</f>
        <v/>
      </c>
      <c r="CW683" s="57">
        <f>IFERROR($P684/$P683-1,"")</f>
        <v/>
      </c>
      <c r="CX683" s="57">
        <f>IFERROR($Q684/$Q683-1,"")</f>
        <v/>
      </c>
      <c r="CY683" s="57">
        <f>IFERROR($R684/$R683-1,"")</f>
        <v/>
      </c>
      <c r="CZ683" s="57">
        <f>IFERROR($S684/$S683-1,"")</f>
        <v/>
      </c>
      <c r="DA683" s="57">
        <f>IFERROR($T684/$T683-1,"")</f>
        <v/>
      </c>
      <c r="DB683" s="57">
        <f>IFERROR($U684/$U683-1,"")</f>
        <v/>
      </c>
      <c r="DC683" s="57">
        <f>IFERROR($V684/$V683-1,"")</f>
        <v/>
      </c>
      <c r="DD683" s="57">
        <f>IFERROR($W684/$W683-1,"")</f>
        <v/>
      </c>
      <c r="DE683" s="57">
        <f>IFERROR($X684/$X683-1,"")</f>
        <v/>
      </c>
      <c r="DF683" s="57">
        <f>IFERROR($Y684/$Y683-1,"")</f>
        <v/>
      </c>
      <c r="DG683" s="57">
        <f>IFERROR($Z684/$Z683-1,"")</f>
        <v/>
      </c>
      <c r="DH683" s="57">
        <f>IFERROR($AA684/$AA683-1,"")</f>
        <v/>
      </c>
      <c r="DI683" s="57">
        <f>IFERROR($AB684/$AB683-1,"")</f>
        <v/>
      </c>
      <c r="DJ683" s="57">
        <f>IFERROR($AC684/$AC683-1,"")</f>
        <v/>
      </c>
      <c r="DK683" s="57">
        <f>IFERROR($AD684/$AD683-1,"")</f>
        <v/>
      </c>
      <c r="DL683" s="57">
        <f>IFERROR($AE684/$AE683-1,"")</f>
        <v/>
      </c>
      <c r="DM683" s="56">
        <f>$AZ683-$AZ684</f>
        <v/>
      </c>
      <c r="DN683" s="56">
        <f>$BA683-$BA684</f>
        <v/>
      </c>
      <c r="DO683" s="56">
        <f>$BB683-$BB684</f>
        <v/>
      </c>
      <c r="DP683" s="56">
        <f>$BC683-$BC684</f>
        <v/>
      </c>
      <c r="DQ683" s="56">
        <f>$BD683-$BD684</f>
        <v/>
      </c>
      <c r="DR683" s="56">
        <f>$BE683-$BE684</f>
        <v/>
      </c>
      <c r="DS683" s="56">
        <f>$BF683-$BF684</f>
        <v/>
      </c>
      <c r="DT683" s="56">
        <f>$BG683-$BG684</f>
        <v/>
      </c>
      <c r="DU683" s="56">
        <f>$BH683-$BH684</f>
        <v/>
      </c>
      <c r="DV683" s="56">
        <f>$BI683-$BI684</f>
        <v/>
      </c>
      <c r="DW683" s="56">
        <f>$BJ683-$BJ684</f>
        <v/>
      </c>
      <c r="DX683" s="56">
        <f>$BK683-$BK684</f>
        <v/>
      </c>
      <c r="DY683" s="56">
        <f>$BL683-$BL684</f>
        <v/>
      </c>
      <c r="DZ683" s="56">
        <f>$BM683-$BM684</f>
        <v/>
      </c>
      <c r="EA683" s="56">
        <f>$BN683-$BN684</f>
        <v/>
      </c>
      <c r="EB683" s="56">
        <f>$BO683-$BO684</f>
        <v/>
      </c>
      <c r="EC683" s="56">
        <f>$BP683-$BP684</f>
        <v/>
      </c>
      <c r="ED683" s="56">
        <f>$BQ683-$BQ684</f>
        <v/>
      </c>
      <c r="EE683" s="56">
        <f>$BR683-$BR684</f>
        <v/>
      </c>
      <c r="EF683" s="56">
        <f>$BS683-$BS684</f>
        <v/>
      </c>
      <c r="EG683" s="56">
        <f>$BT683-$BT684</f>
        <v/>
      </c>
      <c r="EH683" s="56">
        <f>$BU683-$BU684</f>
        <v/>
      </c>
    </row>
    <row r="684">
      <c r="BV684" s="56">
        <f>($D684-$D685)*100</f>
        <v/>
      </c>
      <c r="BW684" s="56">
        <f>($C684-$C685)*100</f>
        <v/>
      </c>
      <c r="BX684" s="57">
        <f>IFERROR($I684/$I685-1,"")</f>
        <v/>
      </c>
      <c r="BY684" s="56">
        <f>($AF684-$AF685)*100</f>
        <v/>
      </c>
      <c r="BZ684" s="56">
        <f>($AG684-$AG685)*100</f>
        <v/>
      </c>
      <c r="CA684" s="56">
        <f>($AH684-$AH685)*100</f>
        <v/>
      </c>
      <c r="CB684" s="56">
        <f>($AI684-$AI685)*100</f>
        <v/>
      </c>
      <c r="CC684" s="56">
        <f>($AJ684-$AJ685)*100</f>
        <v/>
      </c>
      <c r="CD684" s="56">
        <f>($AK684-$AK685)*100</f>
        <v/>
      </c>
      <c r="CE684" s="56">
        <f>($AL684-$AL685)*100</f>
        <v/>
      </c>
      <c r="CF684" s="56">
        <f>($AM684-$AM685)*100</f>
        <v/>
      </c>
      <c r="CG684" s="56">
        <f>($AN684-$AN685)*100</f>
        <v/>
      </c>
      <c r="CH684" s="56">
        <f>($AO684-$AO685)*100</f>
        <v/>
      </c>
      <c r="CI684" s="56">
        <f>($AP684-$AP685)*100</f>
        <v/>
      </c>
      <c r="CJ684" s="56">
        <f>($AQ684-$AQ685)*100</f>
        <v/>
      </c>
      <c r="CK684" s="56">
        <f>($AR684-$AR685)*100</f>
        <v/>
      </c>
      <c r="CL684" s="56">
        <f>($AS684-$AS685)*100</f>
        <v/>
      </c>
      <c r="CM684" s="56">
        <f>($AT684-$AT685)*100</f>
        <v/>
      </c>
      <c r="CN684" s="56">
        <f>($AU684-$AU685)*100</f>
        <v/>
      </c>
      <c r="CO684" s="56">
        <f>($AV684-$AV685)*100</f>
        <v/>
      </c>
      <c r="CP684" s="56">
        <f>($AW684-$AW685)*100</f>
        <v/>
      </c>
      <c r="CQ684" s="56">
        <f>($AX684-$AX685)*100</f>
        <v/>
      </c>
      <c r="CR684" s="56">
        <f>($AY684-$AY685)*100</f>
        <v/>
      </c>
      <c r="CS684" s="57">
        <f>IFERROR($L685/$L684-1,"")</f>
        <v/>
      </c>
      <c r="CT684" s="57">
        <f>IFERROR($M685/$M684-1,"")</f>
        <v/>
      </c>
      <c r="CU684" s="57">
        <f>IFERROR($N685/$N684-1,"")</f>
        <v/>
      </c>
      <c r="CV684" s="57">
        <f>IFERROR($O685/$O684-1,"")</f>
        <v/>
      </c>
      <c r="CW684" s="57">
        <f>IFERROR($P685/$P684-1,"")</f>
        <v/>
      </c>
      <c r="CX684" s="57">
        <f>IFERROR($Q685/$Q684-1,"")</f>
        <v/>
      </c>
      <c r="CY684" s="57">
        <f>IFERROR($R685/$R684-1,"")</f>
        <v/>
      </c>
      <c r="CZ684" s="57">
        <f>IFERROR($S685/$S684-1,"")</f>
        <v/>
      </c>
      <c r="DA684" s="57">
        <f>IFERROR($T685/$T684-1,"")</f>
        <v/>
      </c>
      <c r="DB684" s="57">
        <f>IFERROR($U685/$U684-1,"")</f>
        <v/>
      </c>
      <c r="DC684" s="57">
        <f>IFERROR($V685/$V684-1,"")</f>
        <v/>
      </c>
      <c r="DD684" s="57">
        <f>IFERROR($W685/$W684-1,"")</f>
        <v/>
      </c>
      <c r="DE684" s="57">
        <f>IFERROR($X685/$X684-1,"")</f>
        <v/>
      </c>
      <c r="DF684" s="57">
        <f>IFERROR($Y685/$Y684-1,"")</f>
        <v/>
      </c>
      <c r="DG684" s="57">
        <f>IFERROR($Z685/$Z684-1,"")</f>
        <v/>
      </c>
      <c r="DH684" s="57">
        <f>IFERROR($AA685/$AA684-1,"")</f>
        <v/>
      </c>
      <c r="DI684" s="57">
        <f>IFERROR($AB685/$AB684-1,"")</f>
        <v/>
      </c>
      <c r="DJ684" s="57">
        <f>IFERROR($AC685/$AC684-1,"")</f>
        <v/>
      </c>
      <c r="DK684" s="57">
        <f>IFERROR($AD685/$AD684-1,"")</f>
        <v/>
      </c>
      <c r="DL684" s="57">
        <f>IFERROR($AE685/$AE684-1,"")</f>
        <v/>
      </c>
      <c r="DM684" s="56">
        <f>$AZ684-$AZ685</f>
        <v/>
      </c>
      <c r="DN684" s="56">
        <f>$BA684-$BA685</f>
        <v/>
      </c>
      <c r="DO684" s="56">
        <f>$BB684-$BB685</f>
        <v/>
      </c>
      <c r="DP684" s="56">
        <f>$BC684-$BC685</f>
        <v/>
      </c>
      <c r="DQ684" s="56">
        <f>$BD684-$BD685</f>
        <v/>
      </c>
      <c r="DR684" s="56">
        <f>$BE684-$BE685</f>
        <v/>
      </c>
      <c r="DS684" s="56">
        <f>$BF684-$BF685</f>
        <v/>
      </c>
      <c r="DT684" s="56">
        <f>$BG684-$BG685</f>
        <v/>
      </c>
      <c r="DU684" s="56">
        <f>$BH684-$BH685</f>
        <v/>
      </c>
      <c r="DV684" s="56">
        <f>$BI684-$BI685</f>
        <v/>
      </c>
      <c r="DW684" s="56">
        <f>$BJ684-$BJ685</f>
        <v/>
      </c>
      <c r="DX684" s="56">
        <f>$BK684-$BK685</f>
        <v/>
      </c>
      <c r="DY684" s="56">
        <f>$BL684-$BL685</f>
        <v/>
      </c>
      <c r="DZ684" s="56">
        <f>$BM684-$BM685</f>
        <v/>
      </c>
      <c r="EA684" s="56">
        <f>$BN684-$BN685</f>
        <v/>
      </c>
      <c r="EB684" s="56">
        <f>$BO684-$BO685</f>
        <v/>
      </c>
      <c r="EC684" s="56">
        <f>$BP684-$BP685</f>
        <v/>
      </c>
      <c r="ED684" s="56">
        <f>$BQ684-$BQ685</f>
        <v/>
      </c>
      <c r="EE684" s="56">
        <f>$BR684-$BR685</f>
        <v/>
      </c>
      <c r="EF684" s="56">
        <f>$BS684-$BS685</f>
        <v/>
      </c>
      <c r="EG684" s="56">
        <f>$BT684-$BT685</f>
        <v/>
      </c>
      <c r="EH684" s="56">
        <f>$BU684-$BU685</f>
        <v/>
      </c>
    </row>
    <row r="685">
      <c r="BV685" s="56">
        <f>($D685-$D686)*100</f>
        <v/>
      </c>
      <c r="BW685" s="56">
        <f>($C685-$C686)*100</f>
        <v/>
      </c>
      <c r="BX685" s="57">
        <f>IFERROR($I685/$I686-1,"")</f>
        <v/>
      </c>
      <c r="BY685" s="56">
        <f>($AF685-$AF686)*100</f>
        <v/>
      </c>
      <c r="BZ685" s="56">
        <f>($AG685-$AG686)*100</f>
        <v/>
      </c>
      <c r="CA685" s="56">
        <f>($AH685-$AH686)*100</f>
        <v/>
      </c>
      <c r="CB685" s="56">
        <f>($AI685-$AI686)*100</f>
        <v/>
      </c>
      <c r="CC685" s="56">
        <f>($AJ685-$AJ686)*100</f>
        <v/>
      </c>
      <c r="CD685" s="56">
        <f>($AK685-$AK686)*100</f>
        <v/>
      </c>
      <c r="CE685" s="56">
        <f>($AL685-$AL686)*100</f>
        <v/>
      </c>
      <c r="CF685" s="56">
        <f>($AM685-$AM686)*100</f>
        <v/>
      </c>
      <c r="CG685" s="56">
        <f>($AN685-$AN686)*100</f>
        <v/>
      </c>
      <c r="CH685" s="56">
        <f>($AO685-$AO686)*100</f>
        <v/>
      </c>
      <c r="CI685" s="56">
        <f>($AP685-$AP686)*100</f>
        <v/>
      </c>
      <c r="CJ685" s="56">
        <f>($AQ685-$AQ686)*100</f>
        <v/>
      </c>
      <c r="CK685" s="56">
        <f>($AR685-$AR686)*100</f>
        <v/>
      </c>
      <c r="CL685" s="56">
        <f>($AS685-$AS686)*100</f>
        <v/>
      </c>
      <c r="CM685" s="56">
        <f>($AT685-$AT686)*100</f>
        <v/>
      </c>
      <c r="CN685" s="56">
        <f>($AU685-$AU686)*100</f>
        <v/>
      </c>
      <c r="CO685" s="56">
        <f>($AV685-$AV686)*100</f>
        <v/>
      </c>
      <c r="CP685" s="56">
        <f>($AW685-$AW686)*100</f>
        <v/>
      </c>
      <c r="CQ685" s="56">
        <f>($AX685-$AX686)*100</f>
        <v/>
      </c>
      <c r="CR685" s="56">
        <f>($AY685-$AY686)*100</f>
        <v/>
      </c>
      <c r="CS685" s="57">
        <f>IFERROR($L686/$L685-1,"")</f>
        <v/>
      </c>
      <c r="CT685" s="57">
        <f>IFERROR($M686/$M685-1,"")</f>
        <v/>
      </c>
      <c r="CU685" s="57">
        <f>IFERROR($N686/$N685-1,"")</f>
        <v/>
      </c>
      <c r="CV685" s="57">
        <f>IFERROR($O686/$O685-1,"")</f>
        <v/>
      </c>
      <c r="CW685" s="57">
        <f>IFERROR($P686/$P685-1,"")</f>
        <v/>
      </c>
      <c r="CX685" s="57">
        <f>IFERROR($Q686/$Q685-1,"")</f>
        <v/>
      </c>
      <c r="CY685" s="57">
        <f>IFERROR($R686/$R685-1,"")</f>
        <v/>
      </c>
      <c r="CZ685" s="57">
        <f>IFERROR($S686/$S685-1,"")</f>
        <v/>
      </c>
      <c r="DA685" s="57">
        <f>IFERROR($T686/$T685-1,"")</f>
        <v/>
      </c>
      <c r="DB685" s="57">
        <f>IFERROR($U686/$U685-1,"")</f>
        <v/>
      </c>
      <c r="DC685" s="57">
        <f>IFERROR($V686/$V685-1,"")</f>
        <v/>
      </c>
      <c r="DD685" s="57">
        <f>IFERROR($W686/$W685-1,"")</f>
        <v/>
      </c>
      <c r="DE685" s="57">
        <f>IFERROR($X686/$X685-1,"")</f>
        <v/>
      </c>
      <c r="DF685" s="57">
        <f>IFERROR($Y686/$Y685-1,"")</f>
        <v/>
      </c>
      <c r="DG685" s="57">
        <f>IFERROR($Z686/$Z685-1,"")</f>
        <v/>
      </c>
      <c r="DH685" s="57">
        <f>IFERROR($AA686/$AA685-1,"")</f>
        <v/>
      </c>
      <c r="DI685" s="57">
        <f>IFERROR($AB686/$AB685-1,"")</f>
        <v/>
      </c>
      <c r="DJ685" s="57">
        <f>IFERROR($AC686/$AC685-1,"")</f>
        <v/>
      </c>
      <c r="DK685" s="57">
        <f>IFERROR($AD686/$AD685-1,"")</f>
        <v/>
      </c>
      <c r="DL685" s="57">
        <f>IFERROR($AE686/$AE685-1,"")</f>
        <v/>
      </c>
      <c r="DM685" s="56">
        <f>$AZ685-$AZ686</f>
        <v/>
      </c>
      <c r="DN685" s="56">
        <f>$BA685-$BA686</f>
        <v/>
      </c>
      <c r="DO685" s="56">
        <f>$BB685-$BB686</f>
        <v/>
      </c>
      <c r="DP685" s="56">
        <f>$BC685-$BC686</f>
        <v/>
      </c>
      <c r="DQ685" s="56">
        <f>$BD685-$BD686</f>
        <v/>
      </c>
      <c r="DR685" s="56">
        <f>$BE685-$BE686</f>
        <v/>
      </c>
      <c r="DS685" s="56">
        <f>$BF685-$BF686</f>
        <v/>
      </c>
      <c r="DT685" s="56">
        <f>$BG685-$BG686</f>
        <v/>
      </c>
      <c r="DU685" s="56">
        <f>$BH685-$BH686</f>
        <v/>
      </c>
      <c r="DV685" s="56">
        <f>$BI685-$BI686</f>
        <v/>
      </c>
      <c r="DW685" s="56">
        <f>$BJ685-$BJ686</f>
        <v/>
      </c>
      <c r="DX685" s="56">
        <f>$BK685-$BK686</f>
        <v/>
      </c>
      <c r="DY685" s="56">
        <f>$BL685-$BL686</f>
        <v/>
      </c>
      <c r="DZ685" s="56">
        <f>$BM685-$BM686</f>
        <v/>
      </c>
      <c r="EA685" s="56">
        <f>$BN685-$BN686</f>
        <v/>
      </c>
      <c r="EB685" s="56">
        <f>$BO685-$BO686</f>
        <v/>
      </c>
      <c r="EC685" s="56">
        <f>$BP685-$BP686</f>
        <v/>
      </c>
      <c r="ED685" s="56">
        <f>$BQ685-$BQ686</f>
        <v/>
      </c>
      <c r="EE685" s="56">
        <f>$BR685-$BR686</f>
        <v/>
      </c>
      <c r="EF685" s="56">
        <f>$BS685-$BS686</f>
        <v/>
      </c>
      <c r="EG685" s="56">
        <f>$BT685-$BT686</f>
        <v/>
      </c>
      <c r="EH685" s="56">
        <f>$BU685-$BU686</f>
        <v/>
      </c>
    </row>
    <row r="686">
      <c r="BV686" s="56">
        <f>($D686-$D687)*100</f>
        <v/>
      </c>
      <c r="BW686" s="56">
        <f>($C686-$C687)*100</f>
        <v/>
      </c>
      <c r="BX686" s="57">
        <f>IFERROR($I686/$I687-1,"")</f>
        <v/>
      </c>
      <c r="BY686" s="56">
        <f>($AF686-$AF687)*100</f>
        <v/>
      </c>
      <c r="BZ686" s="56">
        <f>($AG686-$AG687)*100</f>
        <v/>
      </c>
      <c r="CA686" s="56">
        <f>($AH686-$AH687)*100</f>
        <v/>
      </c>
      <c r="CB686" s="56">
        <f>($AI686-$AI687)*100</f>
        <v/>
      </c>
      <c r="CC686" s="56">
        <f>($AJ686-$AJ687)*100</f>
        <v/>
      </c>
      <c r="CD686" s="56">
        <f>($AK686-$AK687)*100</f>
        <v/>
      </c>
      <c r="CE686" s="56">
        <f>($AL686-$AL687)*100</f>
        <v/>
      </c>
      <c r="CF686" s="56">
        <f>($AM686-$AM687)*100</f>
        <v/>
      </c>
      <c r="CG686" s="56">
        <f>($AN686-$AN687)*100</f>
        <v/>
      </c>
      <c r="CH686" s="56">
        <f>($AO686-$AO687)*100</f>
        <v/>
      </c>
      <c r="CI686" s="56">
        <f>($AP686-$AP687)*100</f>
        <v/>
      </c>
      <c r="CJ686" s="56">
        <f>($AQ686-$AQ687)*100</f>
        <v/>
      </c>
      <c r="CK686" s="56">
        <f>($AR686-$AR687)*100</f>
        <v/>
      </c>
      <c r="CL686" s="56">
        <f>($AS686-$AS687)*100</f>
        <v/>
      </c>
      <c r="CM686" s="56">
        <f>($AT686-$AT687)*100</f>
        <v/>
      </c>
      <c r="CN686" s="56">
        <f>($AU686-$AU687)*100</f>
        <v/>
      </c>
      <c r="CO686" s="56">
        <f>($AV686-$AV687)*100</f>
        <v/>
      </c>
      <c r="CP686" s="56">
        <f>($AW686-$AW687)*100</f>
        <v/>
      </c>
      <c r="CQ686" s="56">
        <f>($AX686-$AX687)*100</f>
        <v/>
      </c>
      <c r="CR686" s="56">
        <f>($AY686-$AY687)*100</f>
        <v/>
      </c>
      <c r="CS686" s="57">
        <f>IFERROR($L687/$L686-1,"")</f>
        <v/>
      </c>
      <c r="CT686" s="57">
        <f>IFERROR($M687/$M686-1,"")</f>
        <v/>
      </c>
      <c r="CU686" s="57">
        <f>IFERROR($N687/$N686-1,"")</f>
        <v/>
      </c>
      <c r="CV686" s="57">
        <f>IFERROR($O687/$O686-1,"")</f>
        <v/>
      </c>
      <c r="CW686" s="57">
        <f>IFERROR($P687/$P686-1,"")</f>
        <v/>
      </c>
      <c r="CX686" s="57">
        <f>IFERROR($Q687/$Q686-1,"")</f>
        <v/>
      </c>
      <c r="CY686" s="57">
        <f>IFERROR($R687/$R686-1,"")</f>
        <v/>
      </c>
      <c r="CZ686" s="57">
        <f>IFERROR($S687/$S686-1,"")</f>
        <v/>
      </c>
      <c r="DA686" s="57">
        <f>IFERROR($T687/$T686-1,"")</f>
        <v/>
      </c>
      <c r="DB686" s="57">
        <f>IFERROR($U687/$U686-1,"")</f>
        <v/>
      </c>
      <c r="DC686" s="57">
        <f>IFERROR($V687/$V686-1,"")</f>
        <v/>
      </c>
      <c r="DD686" s="57">
        <f>IFERROR($W687/$W686-1,"")</f>
        <v/>
      </c>
      <c r="DE686" s="57">
        <f>IFERROR($X687/$X686-1,"")</f>
        <v/>
      </c>
      <c r="DF686" s="57">
        <f>IFERROR($Y687/$Y686-1,"")</f>
        <v/>
      </c>
      <c r="DG686" s="57">
        <f>IFERROR($Z687/$Z686-1,"")</f>
        <v/>
      </c>
      <c r="DH686" s="57">
        <f>IFERROR($AA687/$AA686-1,"")</f>
        <v/>
      </c>
      <c r="DI686" s="57">
        <f>IFERROR($AB687/$AB686-1,"")</f>
        <v/>
      </c>
      <c r="DJ686" s="57">
        <f>IFERROR($AC687/$AC686-1,"")</f>
        <v/>
      </c>
      <c r="DK686" s="57">
        <f>IFERROR($AD687/$AD686-1,"")</f>
        <v/>
      </c>
      <c r="DL686" s="57">
        <f>IFERROR($AE687/$AE686-1,"")</f>
        <v/>
      </c>
      <c r="DM686" s="56">
        <f>$AZ686-$AZ687</f>
        <v/>
      </c>
      <c r="DN686" s="56">
        <f>$BA686-$BA687</f>
        <v/>
      </c>
      <c r="DO686" s="56">
        <f>$BB686-$BB687</f>
        <v/>
      </c>
      <c r="DP686" s="56">
        <f>$BC686-$BC687</f>
        <v/>
      </c>
      <c r="DQ686" s="56">
        <f>$BD686-$BD687</f>
        <v/>
      </c>
      <c r="DR686" s="56">
        <f>$BE686-$BE687</f>
        <v/>
      </c>
      <c r="DS686" s="56">
        <f>$BF686-$BF687</f>
        <v/>
      </c>
      <c r="DT686" s="56">
        <f>$BG686-$BG687</f>
        <v/>
      </c>
      <c r="DU686" s="56">
        <f>$BH686-$BH687</f>
        <v/>
      </c>
      <c r="DV686" s="56">
        <f>$BI686-$BI687</f>
        <v/>
      </c>
      <c r="DW686" s="56">
        <f>$BJ686-$BJ687</f>
        <v/>
      </c>
      <c r="DX686" s="56">
        <f>$BK686-$BK687</f>
        <v/>
      </c>
      <c r="DY686" s="56">
        <f>$BL686-$BL687</f>
        <v/>
      </c>
      <c r="DZ686" s="56">
        <f>$BM686-$BM687</f>
        <v/>
      </c>
      <c r="EA686" s="56">
        <f>$BN686-$BN687</f>
        <v/>
      </c>
      <c r="EB686" s="56">
        <f>$BO686-$BO687</f>
        <v/>
      </c>
      <c r="EC686" s="56">
        <f>$BP686-$BP687</f>
        <v/>
      </c>
      <c r="ED686" s="56">
        <f>$BQ686-$BQ687</f>
        <v/>
      </c>
      <c r="EE686" s="56">
        <f>$BR686-$BR687</f>
        <v/>
      </c>
      <c r="EF686" s="56">
        <f>$BS686-$BS687</f>
        <v/>
      </c>
      <c r="EG686" s="56">
        <f>$BT686-$BT687</f>
        <v/>
      </c>
      <c r="EH686" s="56">
        <f>$BU686-$BU687</f>
        <v/>
      </c>
    </row>
    <row r="687">
      <c r="BV687" s="56">
        <f>($D687-$D688)*100</f>
        <v/>
      </c>
      <c r="BW687" s="56">
        <f>($C687-$C688)*100</f>
        <v/>
      </c>
      <c r="BX687" s="57">
        <f>IFERROR($I687/$I688-1,"")</f>
        <v/>
      </c>
      <c r="BY687" s="56">
        <f>($AF687-$AF688)*100</f>
        <v/>
      </c>
      <c r="BZ687" s="56">
        <f>($AG687-$AG688)*100</f>
        <v/>
      </c>
      <c r="CA687" s="56">
        <f>($AH687-$AH688)*100</f>
        <v/>
      </c>
      <c r="CB687" s="56">
        <f>($AI687-$AI688)*100</f>
        <v/>
      </c>
      <c r="CC687" s="56">
        <f>($AJ687-$AJ688)*100</f>
        <v/>
      </c>
      <c r="CD687" s="56">
        <f>($AK687-$AK688)*100</f>
        <v/>
      </c>
      <c r="CE687" s="56">
        <f>($AL687-$AL688)*100</f>
        <v/>
      </c>
      <c r="CF687" s="56">
        <f>($AM687-$AM688)*100</f>
        <v/>
      </c>
      <c r="CG687" s="56">
        <f>($AN687-$AN688)*100</f>
        <v/>
      </c>
      <c r="CH687" s="56">
        <f>($AO687-$AO688)*100</f>
        <v/>
      </c>
      <c r="CI687" s="56">
        <f>($AP687-$AP688)*100</f>
        <v/>
      </c>
      <c r="CJ687" s="56">
        <f>($AQ687-$AQ688)*100</f>
        <v/>
      </c>
      <c r="CK687" s="56">
        <f>($AR687-$AR688)*100</f>
        <v/>
      </c>
      <c r="CL687" s="56">
        <f>($AS687-$AS688)*100</f>
        <v/>
      </c>
      <c r="CM687" s="56">
        <f>($AT687-$AT688)*100</f>
        <v/>
      </c>
      <c r="CN687" s="56">
        <f>($AU687-$AU688)*100</f>
        <v/>
      </c>
      <c r="CO687" s="56">
        <f>($AV687-$AV688)*100</f>
        <v/>
      </c>
      <c r="CP687" s="56">
        <f>($AW687-$AW688)*100</f>
        <v/>
      </c>
      <c r="CQ687" s="56">
        <f>($AX687-$AX688)*100</f>
        <v/>
      </c>
      <c r="CR687" s="56">
        <f>($AY687-$AY688)*100</f>
        <v/>
      </c>
      <c r="CS687" s="57">
        <f>IFERROR($L688/$L687-1,"")</f>
        <v/>
      </c>
      <c r="CT687" s="57">
        <f>IFERROR($M688/$M687-1,"")</f>
        <v/>
      </c>
      <c r="CU687" s="57">
        <f>IFERROR($N688/$N687-1,"")</f>
        <v/>
      </c>
      <c r="CV687" s="57">
        <f>IFERROR($O688/$O687-1,"")</f>
        <v/>
      </c>
      <c r="CW687" s="57">
        <f>IFERROR($P688/$P687-1,"")</f>
        <v/>
      </c>
      <c r="CX687" s="57">
        <f>IFERROR($Q688/$Q687-1,"")</f>
        <v/>
      </c>
      <c r="CY687" s="57">
        <f>IFERROR($R688/$R687-1,"")</f>
        <v/>
      </c>
      <c r="CZ687" s="57">
        <f>IFERROR($S688/$S687-1,"")</f>
        <v/>
      </c>
      <c r="DA687" s="57">
        <f>IFERROR($T688/$T687-1,"")</f>
        <v/>
      </c>
      <c r="DB687" s="57">
        <f>IFERROR($U688/$U687-1,"")</f>
        <v/>
      </c>
      <c r="DC687" s="57">
        <f>IFERROR($V688/$V687-1,"")</f>
        <v/>
      </c>
      <c r="DD687" s="57">
        <f>IFERROR($W688/$W687-1,"")</f>
        <v/>
      </c>
      <c r="DE687" s="57">
        <f>IFERROR($X688/$X687-1,"")</f>
        <v/>
      </c>
      <c r="DF687" s="57">
        <f>IFERROR($Y688/$Y687-1,"")</f>
        <v/>
      </c>
      <c r="DG687" s="57">
        <f>IFERROR($Z688/$Z687-1,"")</f>
        <v/>
      </c>
      <c r="DH687" s="57">
        <f>IFERROR($AA688/$AA687-1,"")</f>
        <v/>
      </c>
      <c r="DI687" s="57">
        <f>IFERROR($AB688/$AB687-1,"")</f>
        <v/>
      </c>
      <c r="DJ687" s="57">
        <f>IFERROR($AC688/$AC687-1,"")</f>
        <v/>
      </c>
      <c r="DK687" s="57">
        <f>IFERROR($AD688/$AD687-1,"")</f>
        <v/>
      </c>
      <c r="DL687" s="57">
        <f>IFERROR($AE688/$AE687-1,"")</f>
        <v/>
      </c>
      <c r="DM687" s="56">
        <f>$AZ687-$AZ688</f>
        <v/>
      </c>
      <c r="DN687" s="56">
        <f>$BA687-$BA688</f>
        <v/>
      </c>
      <c r="DO687" s="56">
        <f>$BB687-$BB688</f>
        <v/>
      </c>
      <c r="DP687" s="56">
        <f>$BC687-$BC688</f>
        <v/>
      </c>
      <c r="DQ687" s="56">
        <f>$BD687-$BD688</f>
        <v/>
      </c>
      <c r="DR687" s="56">
        <f>$BE687-$BE688</f>
        <v/>
      </c>
      <c r="DS687" s="56">
        <f>$BF687-$BF688</f>
        <v/>
      </c>
      <c r="DT687" s="56">
        <f>$BG687-$BG688</f>
        <v/>
      </c>
      <c r="DU687" s="56">
        <f>$BH687-$BH688</f>
        <v/>
      </c>
      <c r="DV687" s="56">
        <f>$BI687-$BI688</f>
        <v/>
      </c>
      <c r="DW687" s="56">
        <f>$BJ687-$BJ688</f>
        <v/>
      </c>
      <c r="DX687" s="56">
        <f>$BK687-$BK688</f>
        <v/>
      </c>
      <c r="DY687" s="56">
        <f>$BL687-$BL688</f>
        <v/>
      </c>
      <c r="DZ687" s="56">
        <f>$BM687-$BM688</f>
        <v/>
      </c>
      <c r="EA687" s="56">
        <f>$BN687-$BN688</f>
        <v/>
      </c>
      <c r="EB687" s="56">
        <f>$BO687-$BO688</f>
        <v/>
      </c>
      <c r="EC687" s="56">
        <f>$BP687-$BP688</f>
        <v/>
      </c>
      <c r="ED687" s="56">
        <f>$BQ687-$BQ688</f>
        <v/>
      </c>
      <c r="EE687" s="56">
        <f>$BR687-$BR688</f>
        <v/>
      </c>
      <c r="EF687" s="56">
        <f>$BS687-$BS688</f>
        <v/>
      </c>
      <c r="EG687" s="56">
        <f>$BT687-$BT688</f>
        <v/>
      </c>
      <c r="EH687" s="56">
        <f>$BU687-$BU688</f>
        <v/>
      </c>
    </row>
    <row r="688">
      <c r="BV688" s="56">
        <f>($D688-$D689)*100</f>
        <v/>
      </c>
      <c r="BW688" s="56">
        <f>($C688-$C689)*100</f>
        <v/>
      </c>
      <c r="BX688" s="57">
        <f>IFERROR($I688/$I689-1,"")</f>
        <v/>
      </c>
      <c r="BY688" s="56">
        <f>($AF688-$AF689)*100</f>
        <v/>
      </c>
      <c r="BZ688" s="56">
        <f>($AG688-$AG689)*100</f>
        <v/>
      </c>
      <c r="CA688" s="56">
        <f>($AH688-$AH689)*100</f>
        <v/>
      </c>
      <c r="CB688" s="56">
        <f>($AI688-$AI689)*100</f>
        <v/>
      </c>
      <c r="CC688" s="56">
        <f>($AJ688-$AJ689)*100</f>
        <v/>
      </c>
      <c r="CD688" s="56">
        <f>($AK688-$AK689)*100</f>
        <v/>
      </c>
      <c r="CE688" s="56">
        <f>($AL688-$AL689)*100</f>
        <v/>
      </c>
      <c r="CF688" s="56">
        <f>($AM688-$AM689)*100</f>
        <v/>
      </c>
      <c r="CG688" s="56">
        <f>($AN688-$AN689)*100</f>
        <v/>
      </c>
      <c r="CH688" s="56">
        <f>($AO688-$AO689)*100</f>
        <v/>
      </c>
      <c r="CI688" s="56">
        <f>($AP688-$AP689)*100</f>
        <v/>
      </c>
      <c r="CJ688" s="56">
        <f>($AQ688-$AQ689)*100</f>
        <v/>
      </c>
      <c r="CK688" s="56">
        <f>($AR688-$AR689)*100</f>
        <v/>
      </c>
      <c r="CL688" s="56">
        <f>($AS688-$AS689)*100</f>
        <v/>
      </c>
      <c r="CM688" s="56">
        <f>($AT688-$AT689)*100</f>
        <v/>
      </c>
      <c r="CN688" s="56">
        <f>($AU688-$AU689)*100</f>
        <v/>
      </c>
      <c r="CO688" s="56">
        <f>($AV688-$AV689)*100</f>
        <v/>
      </c>
      <c r="CP688" s="56">
        <f>($AW688-$AW689)*100</f>
        <v/>
      </c>
      <c r="CQ688" s="56">
        <f>($AX688-$AX689)*100</f>
        <v/>
      </c>
      <c r="CR688" s="56">
        <f>($AY688-$AY689)*100</f>
        <v/>
      </c>
      <c r="CS688" s="57">
        <f>IFERROR($L689/$L688-1,"")</f>
        <v/>
      </c>
      <c r="CT688" s="57">
        <f>IFERROR($M689/$M688-1,"")</f>
        <v/>
      </c>
      <c r="CU688" s="57">
        <f>IFERROR($N689/$N688-1,"")</f>
        <v/>
      </c>
      <c r="CV688" s="57">
        <f>IFERROR($O689/$O688-1,"")</f>
        <v/>
      </c>
      <c r="CW688" s="57">
        <f>IFERROR($P689/$P688-1,"")</f>
        <v/>
      </c>
      <c r="CX688" s="57">
        <f>IFERROR($Q689/$Q688-1,"")</f>
        <v/>
      </c>
      <c r="CY688" s="57">
        <f>IFERROR($R689/$R688-1,"")</f>
        <v/>
      </c>
      <c r="CZ688" s="57">
        <f>IFERROR($S689/$S688-1,"")</f>
        <v/>
      </c>
      <c r="DA688" s="57">
        <f>IFERROR($T689/$T688-1,"")</f>
        <v/>
      </c>
      <c r="DB688" s="57">
        <f>IFERROR($U689/$U688-1,"")</f>
        <v/>
      </c>
      <c r="DC688" s="57">
        <f>IFERROR($V689/$V688-1,"")</f>
        <v/>
      </c>
      <c r="DD688" s="57">
        <f>IFERROR($W689/$W688-1,"")</f>
        <v/>
      </c>
      <c r="DE688" s="57">
        <f>IFERROR($X689/$X688-1,"")</f>
        <v/>
      </c>
      <c r="DF688" s="57">
        <f>IFERROR($Y689/$Y688-1,"")</f>
        <v/>
      </c>
      <c r="DG688" s="57">
        <f>IFERROR($Z689/$Z688-1,"")</f>
        <v/>
      </c>
      <c r="DH688" s="57">
        <f>IFERROR($AA689/$AA688-1,"")</f>
        <v/>
      </c>
      <c r="DI688" s="57">
        <f>IFERROR($AB689/$AB688-1,"")</f>
        <v/>
      </c>
      <c r="DJ688" s="57">
        <f>IFERROR($AC689/$AC688-1,"")</f>
        <v/>
      </c>
      <c r="DK688" s="57">
        <f>IFERROR($AD689/$AD688-1,"")</f>
        <v/>
      </c>
      <c r="DL688" s="57">
        <f>IFERROR($AE689/$AE688-1,"")</f>
        <v/>
      </c>
      <c r="DM688" s="56">
        <f>$AZ688-$AZ689</f>
        <v/>
      </c>
      <c r="DN688" s="56">
        <f>$BA688-$BA689</f>
        <v/>
      </c>
      <c r="DO688" s="56">
        <f>$BB688-$BB689</f>
        <v/>
      </c>
      <c r="DP688" s="56">
        <f>$BC688-$BC689</f>
        <v/>
      </c>
      <c r="DQ688" s="56">
        <f>$BD688-$BD689</f>
        <v/>
      </c>
      <c r="DR688" s="56">
        <f>$BE688-$BE689</f>
        <v/>
      </c>
      <c r="DS688" s="56">
        <f>$BF688-$BF689</f>
        <v/>
      </c>
      <c r="DT688" s="56">
        <f>$BG688-$BG689</f>
        <v/>
      </c>
      <c r="DU688" s="56">
        <f>$BH688-$BH689</f>
        <v/>
      </c>
      <c r="DV688" s="56">
        <f>$BI688-$BI689</f>
        <v/>
      </c>
      <c r="DW688" s="56">
        <f>$BJ688-$BJ689</f>
        <v/>
      </c>
      <c r="DX688" s="56">
        <f>$BK688-$BK689</f>
        <v/>
      </c>
      <c r="DY688" s="56">
        <f>$BL688-$BL689</f>
        <v/>
      </c>
      <c r="DZ688" s="56">
        <f>$BM688-$BM689</f>
        <v/>
      </c>
      <c r="EA688" s="56">
        <f>$BN688-$BN689</f>
        <v/>
      </c>
      <c r="EB688" s="56">
        <f>$BO688-$BO689</f>
        <v/>
      </c>
      <c r="EC688" s="56">
        <f>$BP688-$BP689</f>
        <v/>
      </c>
      <c r="ED688" s="56">
        <f>$BQ688-$BQ689</f>
        <v/>
      </c>
      <c r="EE688" s="56">
        <f>$BR688-$BR689</f>
        <v/>
      </c>
      <c r="EF688" s="56">
        <f>$BS688-$BS689</f>
        <v/>
      </c>
      <c r="EG688" s="56">
        <f>$BT688-$BT689</f>
        <v/>
      </c>
      <c r="EH688" s="56">
        <f>$BU688-$BU689</f>
        <v/>
      </c>
    </row>
    <row r="689">
      <c r="BV689" s="56">
        <f>($D689-$D690)*100</f>
        <v/>
      </c>
      <c r="BW689" s="56">
        <f>($C689-$C690)*100</f>
        <v/>
      </c>
      <c r="BX689" s="57">
        <f>IFERROR($I689/$I690-1,"")</f>
        <v/>
      </c>
      <c r="BY689" s="56">
        <f>($AF689-$AF690)*100</f>
        <v/>
      </c>
      <c r="BZ689" s="56">
        <f>($AG689-$AG690)*100</f>
        <v/>
      </c>
      <c r="CA689" s="56">
        <f>($AH689-$AH690)*100</f>
        <v/>
      </c>
      <c r="CB689" s="56">
        <f>($AI689-$AI690)*100</f>
        <v/>
      </c>
      <c r="CC689" s="56">
        <f>($AJ689-$AJ690)*100</f>
        <v/>
      </c>
      <c r="CD689" s="56">
        <f>($AK689-$AK690)*100</f>
        <v/>
      </c>
      <c r="CE689" s="56">
        <f>($AL689-$AL690)*100</f>
        <v/>
      </c>
      <c r="CF689" s="56">
        <f>($AM689-$AM690)*100</f>
        <v/>
      </c>
      <c r="CG689" s="56">
        <f>($AN689-$AN690)*100</f>
        <v/>
      </c>
      <c r="CH689" s="56">
        <f>($AO689-$AO690)*100</f>
        <v/>
      </c>
      <c r="CI689" s="56">
        <f>($AP689-$AP690)*100</f>
        <v/>
      </c>
      <c r="CJ689" s="56">
        <f>($AQ689-$AQ690)*100</f>
        <v/>
      </c>
      <c r="CK689" s="56">
        <f>($AR689-$AR690)*100</f>
        <v/>
      </c>
      <c r="CL689" s="56">
        <f>($AS689-$AS690)*100</f>
        <v/>
      </c>
      <c r="CM689" s="56">
        <f>($AT689-$AT690)*100</f>
        <v/>
      </c>
      <c r="CN689" s="56">
        <f>($AU689-$AU690)*100</f>
        <v/>
      </c>
      <c r="CO689" s="56">
        <f>($AV689-$AV690)*100</f>
        <v/>
      </c>
      <c r="CP689" s="56">
        <f>($AW689-$AW690)*100</f>
        <v/>
      </c>
      <c r="CQ689" s="56">
        <f>($AX689-$AX690)*100</f>
        <v/>
      </c>
      <c r="CR689" s="56">
        <f>($AY689-$AY690)*100</f>
        <v/>
      </c>
      <c r="CS689" s="57">
        <f>IFERROR($L690/$L689-1,"")</f>
        <v/>
      </c>
      <c r="CT689" s="57">
        <f>IFERROR($M690/$M689-1,"")</f>
        <v/>
      </c>
      <c r="CU689" s="57">
        <f>IFERROR($N690/$N689-1,"")</f>
        <v/>
      </c>
      <c r="CV689" s="57">
        <f>IFERROR($O690/$O689-1,"")</f>
        <v/>
      </c>
      <c r="CW689" s="57">
        <f>IFERROR($P690/$P689-1,"")</f>
        <v/>
      </c>
      <c r="CX689" s="57">
        <f>IFERROR($Q690/$Q689-1,"")</f>
        <v/>
      </c>
      <c r="CY689" s="57">
        <f>IFERROR($R690/$R689-1,"")</f>
        <v/>
      </c>
      <c r="CZ689" s="57">
        <f>IFERROR($S690/$S689-1,"")</f>
        <v/>
      </c>
      <c r="DA689" s="57">
        <f>IFERROR($T690/$T689-1,"")</f>
        <v/>
      </c>
      <c r="DB689" s="57">
        <f>IFERROR($U690/$U689-1,"")</f>
        <v/>
      </c>
      <c r="DC689" s="57">
        <f>IFERROR($V690/$V689-1,"")</f>
        <v/>
      </c>
      <c r="DD689" s="57">
        <f>IFERROR($W690/$W689-1,"")</f>
        <v/>
      </c>
      <c r="DE689" s="57">
        <f>IFERROR($X690/$X689-1,"")</f>
        <v/>
      </c>
      <c r="DF689" s="57">
        <f>IFERROR($Y690/$Y689-1,"")</f>
        <v/>
      </c>
      <c r="DG689" s="57">
        <f>IFERROR($Z690/$Z689-1,"")</f>
        <v/>
      </c>
      <c r="DH689" s="57">
        <f>IFERROR($AA690/$AA689-1,"")</f>
        <v/>
      </c>
      <c r="DI689" s="57">
        <f>IFERROR($AB690/$AB689-1,"")</f>
        <v/>
      </c>
      <c r="DJ689" s="57">
        <f>IFERROR($AC690/$AC689-1,"")</f>
        <v/>
      </c>
      <c r="DK689" s="57">
        <f>IFERROR($AD690/$AD689-1,"")</f>
        <v/>
      </c>
      <c r="DL689" s="57">
        <f>IFERROR($AE690/$AE689-1,"")</f>
        <v/>
      </c>
      <c r="DM689" s="56">
        <f>$AZ689-$AZ690</f>
        <v/>
      </c>
      <c r="DN689" s="56">
        <f>$BA689-$BA690</f>
        <v/>
      </c>
      <c r="DO689" s="56">
        <f>$BB689-$BB690</f>
        <v/>
      </c>
      <c r="DP689" s="56">
        <f>$BC689-$BC690</f>
        <v/>
      </c>
      <c r="DQ689" s="56">
        <f>$BD689-$BD690</f>
        <v/>
      </c>
      <c r="DR689" s="56">
        <f>$BE689-$BE690</f>
        <v/>
      </c>
      <c r="DS689" s="56">
        <f>$BF689-$BF690</f>
        <v/>
      </c>
      <c r="DT689" s="56">
        <f>$BG689-$BG690</f>
        <v/>
      </c>
      <c r="DU689" s="56">
        <f>$BH689-$BH690</f>
        <v/>
      </c>
      <c r="DV689" s="56">
        <f>$BI689-$BI690</f>
        <v/>
      </c>
      <c r="DW689" s="56">
        <f>$BJ689-$BJ690</f>
        <v/>
      </c>
      <c r="DX689" s="56">
        <f>$BK689-$BK690</f>
        <v/>
      </c>
      <c r="DY689" s="56">
        <f>$BL689-$BL690</f>
        <v/>
      </c>
      <c r="DZ689" s="56">
        <f>$BM689-$BM690</f>
        <v/>
      </c>
      <c r="EA689" s="56">
        <f>$BN689-$BN690</f>
        <v/>
      </c>
      <c r="EB689" s="56">
        <f>$BO689-$BO690</f>
        <v/>
      </c>
      <c r="EC689" s="56">
        <f>$BP689-$BP690</f>
        <v/>
      </c>
      <c r="ED689" s="56">
        <f>$BQ689-$BQ690</f>
        <v/>
      </c>
      <c r="EE689" s="56">
        <f>$BR689-$BR690</f>
        <v/>
      </c>
      <c r="EF689" s="56">
        <f>$BS689-$BS690</f>
        <v/>
      </c>
      <c r="EG689" s="56">
        <f>$BT689-$BT690</f>
        <v/>
      </c>
      <c r="EH689" s="56">
        <f>$BU689-$BU690</f>
        <v/>
      </c>
    </row>
    <row r="690">
      <c r="BV690" s="56">
        <f>($D690-$D691)*100</f>
        <v/>
      </c>
      <c r="BW690" s="56">
        <f>($C690-$C691)*100</f>
        <v/>
      </c>
      <c r="BX690" s="57">
        <f>IFERROR($I690/$I691-1,"")</f>
        <v/>
      </c>
      <c r="BY690" s="56">
        <f>($AF690-$AF691)*100</f>
        <v/>
      </c>
      <c r="BZ690" s="56">
        <f>($AG690-$AG691)*100</f>
        <v/>
      </c>
      <c r="CA690" s="56">
        <f>($AH690-$AH691)*100</f>
        <v/>
      </c>
      <c r="CB690" s="56">
        <f>($AI690-$AI691)*100</f>
        <v/>
      </c>
      <c r="CC690" s="56">
        <f>($AJ690-$AJ691)*100</f>
        <v/>
      </c>
      <c r="CD690" s="56">
        <f>($AK690-$AK691)*100</f>
        <v/>
      </c>
      <c r="CE690" s="56">
        <f>($AL690-$AL691)*100</f>
        <v/>
      </c>
      <c r="CF690" s="56">
        <f>($AM690-$AM691)*100</f>
        <v/>
      </c>
      <c r="CG690" s="56">
        <f>($AN690-$AN691)*100</f>
        <v/>
      </c>
      <c r="CH690" s="56">
        <f>($AO690-$AO691)*100</f>
        <v/>
      </c>
      <c r="CI690" s="56">
        <f>($AP690-$AP691)*100</f>
        <v/>
      </c>
      <c r="CJ690" s="56">
        <f>($AQ690-$AQ691)*100</f>
        <v/>
      </c>
      <c r="CK690" s="56">
        <f>($AR690-$AR691)*100</f>
        <v/>
      </c>
      <c r="CL690" s="56">
        <f>($AS690-$AS691)*100</f>
        <v/>
      </c>
      <c r="CM690" s="56">
        <f>($AT690-$AT691)*100</f>
        <v/>
      </c>
      <c r="CN690" s="56">
        <f>($AU690-$AU691)*100</f>
        <v/>
      </c>
      <c r="CO690" s="56">
        <f>($AV690-$AV691)*100</f>
        <v/>
      </c>
      <c r="CP690" s="56">
        <f>($AW690-$AW691)*100</f>
        <v/>
      </c>
      <c r="CQ690" s="56">
        <f>($AX690-$AX691)*100</f>
        <v/>
      </c>
      <c r="CR690" s="56">
        <f>($AY690-$AY691)*100</f>
        <v/>
      </c>
      <c r="CS690" s="57">
        <f>IFERROR($L691/$L690-1,"")</f>
        <v/>
      </c>
      <c r="CT690" s="57">
        <f>IFERROR($M691/$M690-1,"")</f>
        <v/>
      </c>
      <c r="CU690" s="57">
        <f>IFERROR($N691/$N690-1,"")</f>
        <v/>
      </c>
      <c r="CV690" s="57">
        <f>IFERROR($O691/$O690-1,"")</f>
        <v/>
      </c>
      <c r="CW690" s="57">
        <f>IFERROR($P691/$P690-1,"")</f>
        <v/>
      </c>
      <c r="CX690" s="57">
        <f>IFERROR($Q691/$Q690-1,"")</f>
        <v/>
      </c>
      <c r="CY690" s="57">
        <f>IFERROR($R691/$R690-1,"")</f>
        <v/>
      </c>
      <c r="CZ690" s="57">
        <f>IFERROR($S691/$S690-1,"")</f>
        <v/>
      </c>
      <c r="DA690" s="57">
        <f>IFERROR($T691/$T690-1,"")</f>
        <v/>
      </c>
      <c r="DB690" s="57">
        <f>IFERROR($U691/$U690-1,"")</f>
        <v/>
      </c>
      <c r="DC690" s="57">
        <f>IFERROR($V691/$V690-1,"")</f>
        <v/>
      </c>
      <c r="DD690" s="57">
        <f>IFERROR($W691/$W690-1,"")</f>
        <v/>
      </c>
      <c r="DE690" s="57">
        <f>IFERROR($X691/$X690-1,"")</f>
        <v/>
      </c>
      <c r="DF690" s="57">
        <f>IFERROR($Y691/$Y690-1,"")</f>
        <v/>
      </c>
      <c r="DG690" s="57">
        <f>IFERROR($Z691/$Z690-1,"")</f>
        <v/>
      </c>
      <c r="DH690" s="57">
        <f>IFERROR($AA691/$AA690-1,"")</f>
        <v/>
      </c>
      <c r="DI690" s="57">
        <f>IFERROR($AB691/$AB690-1,"")</f>
        <v/>
      </c>
      <c r="DJ690" s="57">
        <f>IFERROR($AC691/$AC690-1,"")</f>
        <v/>
      </c>
      <c r="DK690" s="57">
        <f>IFERROR($AD691/$AD690-1,"")</f>
        <v/>
      </c>
      <c r="DL690" s="57">
        <f>IFERROR($AE691/$AE690-1,"")</f>
        <v/>
      </c>
      <c r="DM690" s="56">
        <f>$AZ690-$AZ691</f>
        <v/>
      </c>
      <c r="DN690" s="56">
        <f>$BA690-$BA691</f>
        <v/>
      </c>
      <c r="DO690" s="56">
        <f>$BB690-$BB691</f>
        <v/>
      </c>
      <c r="DP690" s="56">
        <f>$BC690-$BC691</f>
        <v/>
      </c>
      <c r="DQ690" s="56">
        <f>$BD690-$BD691</f>
        <v/>
      </c>
      <c r="DR690" s="56">
        <f>$BE690-$BE691</f>
        <v/>
      </c>
      <c r="DS690" s="56">
        <f>$BF690-$BF691</f>
        <v/>
      </c>
      <c r="DT690" s="56">
        <f>$BG690-$BG691</f>
        <v/>
      </c>
      <c r="DU690" s="56">
        <f>$BH690-$BH691</f>
        <v/>
      </c>
      <c r="DV690" s="56">
        <f>$BI690-$BI691</f>
        <v/>
      </c>
      <c r="DW690" s="56">
        <f>$BJ690-$BJ691</f>
        <v/>
      </c>
      <c r="DX690" s="56">
        <f>$BK690-$BK691</f>
        <v/>
      </c>
      <c r="DY690" s="56">
        <f>$BL690-$BL691</f>
        <v/>
      </c>
      <c r="DZ690" s="56">
        <f>$BM690-$BM691</f>
        <v/>
      </c>
      <c r="EA690" s="56">
        <f>$BN690-$BN691</f>
        <v/>
      </c>
      <c r="EB690" s="56">
        <f>$BO690-$BO691</f>
        <v/>
      </c>
      <c r="EC690" s="56">
        <f>$BP690-$BP691</f>
        <v/>
      </c>
      <c r="ED690" s="56">
        <f>$BQ690-$BQ691</f>
        <v/>
      </c>
      <c r="EE690" s="56">
        <f>$BR690-$BR691</f>
        <v/>
      </c>
      <c r="EF690" s="56">
        <f>$BS690-$BS691</f>
        <v/>
      </c>
      <c r="EG690" s="56">
        <f>$BT690-$BT691</f>
        <v/>
      </c>
      <c r="EH690" s="56">
        <f>$BU690-$BU691</f>
        <v/>
      </c>
    </row>
    <row r="691">
      <c r="BV691" s="56">
        <f>($D691-$D692)*100</f>
        <v/>
      </c>
      <c r="BW691" s="56">
        <f>($C691-$C692)*100</f>
        <v/>
      </c>
      <c r="BX691" s="57">
        <f>IFERROR($I691/$I692-1,"")</f>
        <v/>
      </c>
      <c r="BY691" s="56">
        <f>($AF691-$AF692)*100</f>
        <v/>
      </c>
      <c r="BZ691" s="56">
        <f>($AG691-$AG692)*100</f>
        <v/>
      </c>
      <c r="CA691" s="56">
        <f>($AH691-$AH692)*100</f>
        <v/>
      </c>
      <c r="CB691" s="56">
        <f>($AI691-$AI692)*100</f>
        <v/>
      </c>
      <c r="CC691" s="56">
        <f>($AJ691-$AJ692)*100</f>
        <v/>
      </c>
      <c r="CD691" s="56">
        <f>($AK691-$AK692)*100</f>
        <v/>
      </c>
      <c r="CE691" s="56">
        <f>($AL691-$AL692)*100</f>
        <v/>
      </c>
      <c r="CF691" s="56">
        <f>($AM691-$AM692)*100</f>
        <v/>
      </c>
      <c r="CG691" s="56">
        <f>($AN691-$AN692)*100</f>
        <v/>
      </c>
      <c r="CH691" s="56">
        <f>($AO691-$AO692)*100</f>
        <v/>
      </c>
      <c r="CI691" s="56">
        <f>($AP691-$AP692)*100</f>
        <v/>
      </c>
      <c r="CJ691" s="56">
        <f>($AQ691-$AQ692)*100</f>
        <v/>
      </c>
      <c r="CK691" s="56">
        <f>($AR691-$AR692)*100</f>
        <v/>
      </c>
      <c r="CL691" s="56">
        <f>($AS691-$AS692)*100</f>
        <v/>
      </c>
      <c r="CM691" s="56">
        <f>($AT691-$AT692)*100</f>
        <v/>
      </c>
      <c r="CN691" s="56">
        <f>($AU691-$AU692)*100</f>
        <v/>
      </c>
      <c r="CO691" s="56">
        <f>($AV691-$AV692)*100</f>
        <v/>
      </c>
      <c r="CP691" s="56">
        <f>($AW691-$AW692)*100</f>
        <v/>
      </c>
      <c r="CQ691" s="56">
        <f>($AX691-$AX692)*100</f>
        <v/>
      </c>
      <c r="CR691" s="56">
        <f>($AY691-$AY692)*100</f>
        <v/>
      </c>
      <c r="CS691" s="57">
        <f>IFERROR($L692/$L691-1,"")</f>
        <v/>
      </c>
      <c r="CT691" s="57">
        <f>IFERROR($M692/$M691-1,"")</f>
        <v/>
      </c>
      <c r="CU691" s="57">
        <f>IFERROR($N692/$N691-1,"")</f>
        <v/>
      </c>
      <c r="CV691" s="57">
        <f>IFERROR($O692/$O691-1,"")</f>
        <v/>
      </c>
      <c r="CW691" s="57">
        <f>IFERROR($P692/$P691-1,"")</f>
        <v/>
      </c>
      <c r="CX691" s="57">
        <f>IFERROR($Q692/$Q691-1,"")</f>
        <v/>
      </c>
      <c r="CY691" s="57">
        <f>IFERROR($R692/$R691-1,"")</f>
        <v/>
      </c>
      <c r="CZ691" s="57">
        <f>IFERROR($S692/$S691-1,"")</f>
        <v/>
      </c>
      <c r="DA691" s="57">
        <f>IFERROR($T692/$T691-1,"")</f>
        <v/>
      </c>
      <c r="DB691" s="57">
        <f>IFERROR($U692/$U691-1,"")</f>
        <v/>
      </c>
      <c r="DC691" s="57">
        <f>IFERROR($V692/$V691-1,"")</f>
        <v/>
      </c>
      <c r="DD691" s="57">
        <f>IFERROR($W692/$W691-1,"")</f>
        <v/>
      </c>
      <c r="DE691" s="57">
        <f>IFERROR($X692/$X691-1,"")</f>
        <v/>
      </c>
      <c r="DF691" s="57">
        <f>IFERROR($Y692/$Y691-1,"")</f>
        <v/>
      </c>
      <c r="DG691" s="57">
        <f>IFERROR($Z692/$Z691-1,"")</f>
        <v/>
      </c>
      <c r="DH691" s="57">
        <f>IFERROR($AA692/$AA691-1,"")</f>
        <v/>
      </c>
      <c r="DI691" s="57">
        <f>IFERROR($AB692/$AB691-1,"")</f>
        <v/>
      </c>
      <c r="DJ691" s="57">
        <f>IFERROR($AC692/$AC691-1,"")</f>
        <v/>
      </c>
      <c r="DK691" s="57">
        <f>IFERROR($AD692/$AD691-1,"")</f>
        <v/>
      </c>
      <c r="DL691" s="57">
        <f>IFERROR($AE692/$AE691-1,"")</f>
        <v/>
      </c>
      <c r="DM691" s="56">
        <f>$AZ691-$AZ692</f>
        <v/>
      </c>
      <c r="DN691" s="56">
        <f>$BA691-$BA692</f>
        <v/>
      </c>
      <c r="DO691" s="56">
        <f>$BB691-$BB692</f>
        <v/>
      </c>
      <c r="DP691" s="56">
        <f>$BC691-$BC692</f>
        <v/>
      </c>
      <c r="DQ691" s="56">
        <f>$BD691-$BD692</f>
        <v/>
      </c>
      <c r="DR691" s="56">
        <f>$BE691-$BE692</f>
        <v/>
      </c>
      <c r="DS691" s="56">
        <f>$BF691-$BF692</f>
        <v/>
      </c>
      <c r="DT691" s="56">
        <f>$BG691-$BG692</f>
        <v/>
      </c>
      <c r="DU691" s="56">
        <f>$BH691-$BH692</f>
        <v/>
      </c>
      <c r="DV691" s="56">
        <f>$BI691-$BI692</f>
        <v/>
      </c>
      <c r="DW691" s="56">
        <f>$BJ691-$BJ692</f>
        <v/>
      </c>
      <c r="DX691" s="56">
        <f>$BK691-$BK692</f>
        <v/>
      </c>
      <c r="DY691" s="56">
        <f>$BL691-$BL692</f>
        <v/>
      </c>
      <c r="DZ691" s="56">
        <f>$BM691-$BM692</f>
        <v/>
      </c>
      <c r="EA691" s="56">
        <f>$BN691-$BN692</f>
        <v/>
      </c>
      <c r="EB691" s="56">
        <f>$BO691-$BO692</f>
        <v/>
      </c>
      <c r="EC691" s="56">
        <f>$BP691-$BP692</f>
        <v/>
      </c>
      <c r="ED691" s="56">
        <f>$BQ691-$BQ692</f>
        <v/>
      </c>
      <c r="EE691" s="56">
        <f>$BR691-$BR692</f>
        <v/>
      </c>
      <c r="EF691" s="56">
        <f>$BS691-$BS692</f>
        <v/>
      </c>
      <c r="EG691" s="56">
        <f>$BT691-$BT692</f>
        <v/>
      </c>
      <c r="EH691" s="56">
        <f>$BU691-$BU692</f>
        <v/>
      </c>
    </row>
    <row r="692">
      <c r="BV692" s="56">
        <f>($D692-$D693)*100</f>
        <v/>
      </c>
      <c r="BW692" s="56">
        <f>($C692-$C693)*100</f>
        <v/>
      </c>
      <c r="BX692" s="57">
        <f>IFERROR($I692/$I693-1,"")</f>
        <v/>
      </c>
      <c r="BY692" s="56">
        <f>($AF692-$AF693)*100</f>
        <v/>
      </c>
      <c r="BZ692" s="56">
        <f>($AG692-$AG693)*100</f>
        <v/>
      </c>
      <c r="CA692" s="56">
        <f>($AH692-$AH693)*100</f>
        <v/>
      </c>
      <c r="CB692" s="56">
        <f>($AI692-$AI693)*100</f>
        <v/>
      </c>
      <c r="CC692" s="56">
        <f>($AJ692-$AJ693)*100</f>
        <v/>
      </c>
      <c r="CD692" s="56">
        <f>($AK692-$AK693)*100</f>
        <v/>
      </c>
      <c r="CE692" s="56">
        <f>($AL692-$AL693)*100</f>
        <v/>
      </c>
      <c r="CF692" s="56">
        <f>($AM692-$AM693)*100</f>
        <v/>
      </c>
      <c r="CG692" s="56">
        <f>($AN692-$AN693)*100</f>
        <v/>
      </c>
      <c r="CH692" s="56">
        <f>($AO692-$AO693)*100</f>
        <v/>
      </c>
      <c r="CI692" s="56">
        <f>($AP692-$AP693)*100</f>
        <v/>
      </c>
      <c r="CJ692" s="56">
        <f>($AQ692-$AQ693)*100</f>
        <v/>
      </c>
      <c r="CK692" s="56">
        <f>($AR692-$AR693)*100</f>
        <v/>
      </c>
      <c r="CL692" s="56">
        <f>($AS692-$AS693)*100</f>
        <v/>
      </c>
      <c r="CM692" s="56">
        <f>($AT692-$AT693)*100</f>
        <v/>
      </c>
      <c r="CN692" s="56">
        <f>($AU692-$AU693)*100</f>
        <v/>
      </c>
      <c r="CO692" s="56">
        <f>($AV692-$AV693)*100</f>
        <v/>
      </c>
      <c r="CP692" s="56">
        <f>($AW692-$AW693)*100</f>
        <v/>
      </c>
      <c r="CQ692" s="56">
        <f>($AX692-$AX693)*100</f>
        <v/>
      </c>
      <c r="CR692" s="56">
        <f>($AY692-$AY693)*100</f>
        <v/>
      </c>
      <c r="CS692" s="57">
        <f>IFERROR($L693/$L692-1,"")</f>
        <v/>
      </c>
      <c r="CT692" s="57">
        <f>IFERROR($M693/$M692-1,"")</f>
        <v/>
      </c>
      <c r="CU692" s="57">
        <f>IFERROR($N693/$N692-1,"")</f>
        <v/>
      </c>
      <c r="CV692" s="57">
        <f>IFERROR($O693/$O692-1,"")</f>
        <v/>
      </c>
      <c r="CW692" s="57">
        <f>IFERROR($P693/$P692-1,"")</f>
        <v/>
      </c>
      <c r="CX692" s="57">
        <f>IFERROR($Q693/$Q692-1,"")</f>
        <v/>
      </c>
      <c r="CY692" s="57">
        <f>IFERROR($R693/$R692-1,"")</f>
        <v/>
      </c>
      <c r="CZ692" s="57">
        <f>IFERROR($S693/$S692-1,"")</f>
        <v/>
      </c>
      <c r="DA692" s="57">
        <f>IFERROR($T693/$T692-1,"")</f>
        <v/>
      </c>
      <c r="DB692" s="57">
        <f>IFERROR($U693/$U692-1,"")</f>
        <v/>
      </c>
      <c r="DC692" s="57">
        <f>IFERROR($V693/$V692-1,"")</f>
        <v/>
      </c>
      <c r="DD692" s="57">
        <f>IFERROR($W693/$W692-1,"")</f>
        <v/>
      </c>
      <c r="DE692" s="57">
        <f>IFERROR($X693/$X692-1,"")</f>
        <v/>
      </c>
      <c r="DF692" s="57">
        <f>IFERROR($Y693/$Y692-1,"")</f>
        <v/>
      </c>
      <c r="DG692" s="57">
        <f>IFERROR($Z693/$Z692-1,"")</f>
        <v/>
      </c>
      <c r="DH692" s="57">
        <f>IFERROR($AA693/$AA692-1,"")</f>
        <v/>
      </c>
      <c r="DI692" s="57">
        <f>IFERROR($AB693/$AB692-1,"")</f>
        <v/>
      </c>
      <c r="DJ692" s="57">
        <f>IFERROR($AC693/$AC692-1,"")</f>
        <v/>
      </c>
      <c r="DK692" s="57">
        <f>IFERROR($AD693/$AD692-1,"")</f>
        <v/>
      </c>
      <c r="DL692" s="57">
        <f>IFERROR($AE693/$AE692-1,"")</f>
        <v/>
      </c>
      <c r="DM692" s="56">
        <f>$AZ692-$AZ693</f>
        <v/>
      </c>
      <c r="DN692" s="56">
        <f>$BA692-$BA693</f>
        <v/>
      </c>
      <c r="DO692" s="56">
        <f>$BB692-$BB693</f>
        <v/>
      </c>
      <c r="DP692" s="56">
        <f>$BC692-$BC693</f>
        <v/>
      </c>
      <c r="DQ692" s="56">
        <f>$BD692-$BD693</f>
        <v/>
      </c>
      <c r="DR692" s="56">
        <f>$BE692-$BE693</f>
        <v/>
      </c>
      <c r="DS692" s="56">
        <f>$BF692-$BF693</f>
        <v/>
      </c>
      <c r="DT692" s="56">
        <f>$BG692-$BG693</f>
        <v/>
      </c>
      <c r="DU692" s="56">
        <f>$BH692-$BH693</f>
        <v/>
      </c>
      <c r="DV692" s="56">
        <f>$BI692-$BI693</f>
        <v/>
      </c>
      <c r="DW692" s="56">
        <f>$BJ692-$BJ693</f>
        <v/>
      </c>
      <c r="DX692" s="56">
        <f>$BK692-$BK693</f>
        <v/>
      </c>
      <c r="DY692" s="56">
        <f>$BL692-$BL693</f>
        <v/>
      </c>
      <c r="DZ692" s="56">
        <f>$BM692-$BM693</f>
        <v/>
      </c>
      <c r="EA692" s="56">
        <f>$BN692-$BN693</f>
        <v/>
      </c>
      <c r="EB692" s="56">
        <f>$BO692-$BO693</f>
        <v/>
      </c>
      <c r="EC692" s="56">
        <f>$BP692-$BP693</f>
        <v/>
      </c>
      <c r="ED692" s="56">
        <f>$BQ692-$BQ693</f>
        <v/>
      </c>
      <c r="EE692" s="56">
        <f>$BR692-$BR693</f>
        <v/>
      </c>
      <c r="EF692" s="56">
        <f>$BS692-$BS693</f>
        <v/>
      </c>
      <c r="EG692" s="56">
        <f>$BT692-$BT693</f>
        <v/>
      </c>
      <c r="EH692" s="56">
        <f>$BU692-$BU693</f>
        <v/>
      </c>
    </row>
    <row r="693">
      <c r="BV693" s="56">
        <f>($D693-$D694)*100</f>
        <v/>
      </c>
      <c r="BW693" s="56">
        <f>($C693-$C694)*100</f>
        <v/>
      </c>
      <c r="BX693" s="57">
        <f>IFERROR($I693/$I694-1,"")</f>
        <v/>
      </c>
      <c r="BY693" s="56">
        <f>($AF693-$AF694)*100</f>
        <v/>
      </c>
      <c r="BZ693" s="56">
        <f>($AG693-$AG694)*100</f>
        <v/>
      </c>
      <c r="CA693" s="56">
        <f>($AH693-$AH694)*100</f>
        <v/>
      </c>
      <c r="CB693" s="56">
        <f>($AI693-$AI694)*100</f>
        <v/>
      </c>
      <c r="CC693" s="56">
        <f>($AJ693-$AJ694)*100</f>
        <v/>
      </c>
      <c r="CD693" s="56">
        <f>($AK693-$AK694)*100</f>
        <v/>
      </c>
      <c r="CE693" s="56">
        <f>($AL693-$AL694)*100</f>
        <v/>
      </c>
      <c r="CF693" s="56">
        <f>($AM693-$AM694)*100</f>
        <v/>
      </c>
      <c r="CG693" s="56">
        <f>($AN693-$AN694)*100</f>
        <v/>
      </c>
      <c r="CH693" s="56">
        <f>($AO693-$AO694)*100</f>
        <v/>
      </c>
      <c r="CI693" s="56">
        <f>($AP693-$AP694)*100</f>
        <v/>
      </c>
      <c r="CJ693" s="56">
        <f>($AQ693-$AQ694)*100</f>
        <v/>
      </c>
      <c r="CK693" s="56">
        <f>($AR693-$AR694)*100</f>
        <v/>
      </c>
      <c r="CL693" s="56">
        <f>($AS693-$AS694)*100</f>
        <v/>
      </c>
      <c r="CM693" s="56">
        <f>($AT693-$AT694)*100</f>
        <v/>
      </c>
      <c r="CN693" s="56">
        <f>($AU693-$AU694)*100</f>
        <v/>
      </c>
      <c r="CO693" s="56">
        <f>($AV693-$AV694)*100</f>
        <v/>
      </c>
      <c r="CP693" s="56">
        <f>($AW693-$AW694)*100</f>
        <v/>
      </c>
      <c r="CQ693" s="56">
        <f>($AX693-$AX694)*100</f>
        <v/>
      </c>
      <c r="CR693" s="56">
        <f>($AY693-$AY694)*100</f>
        <v/>
      </c>
      <c r="CS693" s="57">
        <f>IFERROR($L694/$L693-1,"")</f>
        <v/>
      </c>
      <c r="CT693" s="57">
        <f>IFERROR($M694/$M693-1,"")</f>
        <v/>
      </c>
      <c r="CU693" s="57">
        <f>IFERROR($N694/$N693-1,"")</f>
        <v/>
      </c>
      <c r="CV693" s="57">
        <f>IFERROR($O694/$O693-1,"")</f>
        <v/>
      </c>
      <c r="CW693" s="57">
        <f>IFERROR($P694/$P693-1,"")</f>
        <v/>
      </c>
      <c r="CX693" s="57">
        <f>IFERROR($Q694/$Q693-1,"")</f>
        <v/>
      </c>
      <c r="CY693" s="57">
        <f>IFERROR($R694/$R693-1,"")</f>
        <v/>
      </c>
      <c r="CZ693" s="57">
        <f>IFERROR($S694/$S693-1,"")</f>
        <v/>
      </c>
      <c r="DA693" s="57">
        <f>IFERROR($T694/$T693-1,"")</f>
        <v/>
      </c>
      <c r="DB693" s="57">
        <f>IFERROR($U694/$U693-1,"")</f>
        <v/>
      </c>
      <c r="DC693" s="57">
        <f>IFERROR($V694/$V693-1,"")</f>
        <v/>
      </c>
      <c r="DD693" s="57">
        <f>IFERROR($W694/$W693-1,"")</f>
        <v/>
      </c>
      <c r="DE693" s="57">
        <f>IFERROR($X694/$X693-1,"")</f>
        <v/>
      </c>
      <c r="DF693" s="57">
        <f>IFERROR($Y694/$Y693-1,"")</f>
        <v/>
      </c>
      <c r="DG693" s="57">
        <f>IFERROR($Z694/$Z693-1,"")</f>
        <v/>
      </c>
      <c r="DH693" s="57">
        <f>IFERROR($AA694/$AA693-1,"")</f>
        <v/>
      </c>
      <c r="DI693" s="57">
        <f>IFERROR($AB694/$AB693-1,"")</f>
        <v/>
      </c>
      <c r="DJ693" s="57">
        <f>IFERROR($AC694/$AC693-1,"")</f>
        <v/>
      </c>
      <c r="DK693" s="57">
        <f>IFERROR($AD694/$AD693-1,"")</f>
        <v/>
      </c>
      <c r="DL693" s="57">
        <f>IFERROR($AE694/$AE693-1,"")</f>
        <v/>
      </c>
      <c r="DM693" s="56">
        <f>$AZ693-$AZ694</f>
        <v/>
      </c>
      <c r="DN693" s="56">
        <f>$BA693-$BA694</f>
        <v/>
      </c>
      <c r="DO693" s="56">
        <f>$BB693-$BB694</f>
        <v/>
      </c>
      <c r="DP693" s="56">
        <f>$BC693-$BC694</f>
        <v/>
      </c>
      <c r="DQ693" s="56">
        <f>$BD693-$BD694</f>
        <v/>
      </c>
      <c r="DR693" s="56">
        <f>$BE693-$BE694</f>
        <v/>
      </c>
      <c r="DS693" s="56">
        <f>$BF693-$BF694</f>
        <v/>
      </c>
      <c r="DT693" s="56">
        <f>$BG693-$BG694</f>
        <v/>
      </c>
      <c r="DU693" s="56">
        <f>$BH693-$BH694</f>
        <v/>
      </c>
      <c r="DV693" s="56">
        <f>$BI693-$BI694</f>
        <v/>
      </c>
      <c r="DW693" s="56">
        <f>$BJ693-$BJ694</f>
        <v/>
      </c>
      <c r="DX693" s="56">
        <f>$BK693-$BK694</f>
        <v/>
      </c>
      <c r="DY693" s="56">
        <f>$BL693-$BL694</f>
        <v/>
      </c>
      <c r="DZ693" s="56">
        <f>$BM693-$BM694</f>
        <v/>
      </c>
      <c r="EA693" s="56">
        <f>$BN693-$BN694</f>
        <v/>
      </c>
      <c r="EB693" s="56">
        <f>$BO693-$BO694</f>
        <v/>
      </c>
      <c r="EC693" s="56">
        <f>$BP693-$BP694</f>
        <v/>
      </c>
      <c r="ED693" s="56">
        <f>$BQ693-$BQ694</f>
        <v/>
      </c>
      <c r="EE693" s="56">
        <f>$BR693-$BR694</f>
        <v/>
      </c>
      <c r="EF693" s="56">
        <f>$BS693-$BS694</f>
        <v/>
      </c>
      <c r="EG693" s="56">
        <f>$BT693-$BT694</f>
        <v/>
      </c>
      <c r="EH693" s="56">
        <f>$BU693-$BU694</f>
        <v/>
      </c>
    </row>
    <row r="694">
      <c r="BV694" s="56">
        <f>($D694-$D695)*100</f>
        <v/>
      </c>
      <c r="BW694" s="56">
        <f>($C694-$C695)*100</f>
        <v/>
      </c>
      <c r="BX694" s="57">
        <f>IFERROR($I694/$I695-1,"")</f>
        <v/>
      </c>
      <c r="BY694" s="56">
        <f>($AF694-$AF695)*100</f>
        <v/>
      </c>
      <c r="BZ694" s="56">
        <f>($AG694-$AG695)*100</f>
        <v/>
      </c>
      <c r="CA694" s="56">
        <f>($AH694-$AH695)*100</f>
        <v/>
      </c>
      <c r="CB694" s="56">
        <f>($AI694-$AI695)*100</f>
        <v/>
      </c>
      <c r="CC694" s="56">
        <f>($AJ694-$AJ695)*100</f>
        <v/>
      </c>
      <c r="CD694" s="56">
        <f>($AK694-$AK695)*100</f>
        <v/>
      </c>
      <c r="CE694" s="56">
        <f>($AL694-$AL695)*100</f>
        <v/>
      </c>
      <c r="CF694" s="56">
        <f>($AM694-$AM695)*100</f>
        <v/>
      </c>
      <c r="CG694" s="56">
        <f>($AN694-$AN695)*100</f>
        <v/>
      </c>
      <c r="CH694" s="56">
        <f>($AO694-$AO695)*100</f>
        <v/>
      </c>
      <c r="CI694" s="56">
        <f>($AP694-$AP695)*100</f>
        <v/>
      </c>
      <c r="CJ694" s="56">
        <f>($AQ694-$AQ695)*100</f>
        <v/>
      </c>
      <c r="CK694" s="56">
        <f>($AR694-$AR695)*100</f>
        <v/>
      </c>
      <c r="CL694" s="56">
        <f>($AS694-$AS695)*100</f>
        <v/>
      </c>
      <c r="CM694" s="56">
        <f>($AT694-$AT695)*100</f>
        <v/>
      </c>
      <c r="CN694" s="56">
        <f>($AU694-$AU695)*100</f>
        <v/>
      </c>
      <c r="CO694" s="56">
        <f>($AV694-$AV695)*100</f>
        <v/>
      </c>
      <c r="CP694" s="56">
        <f>($AW694-$AW695)*100</f>
        <v/>
      </c>
      <c r="CQ694" s="56">
        <f>($AX694-$AX695)*100</f>
        <v/>
      </c>
      <c r="CR694" s="56">
        <f>($AY694-$AY695)*100</f>
        <v/>
      </c>
      <c r="CS694" s="57">
        <f>IFERROR($L695/$L694-1,"")</f>
        <v/>
      </c>
      <c r="CT694" s="57">
        <f>IFERROR($M695/$M694-1,"")</f>
        <v/>
      </c>
      <c r="CU694" s="57">
        <f>IFERROR($N695/$N694-1,"")</f>
        <v/>
      </c>
      <c r="CV694" s="57">
        <f>IFERROR($O695/$O694-1,"")</f>
        <v/>
      </c>
      <c r="CW694" s="57">
        <f>IFERROR($P695/$P694-1,"")</f>
        <v/>
      </c>
      <c r="CX694" s="57">
        <f>IFERROR($Q695/$Q694-1,"")</f>
        <v/>
      </c>
      <c r="CY694" s="57">
        <f>IFERROR($R695/$R694-1,"")</f>
        <v/>
      </c>
      <c r="CZ694" s="57">
        <f>IFERROR($S695/$S694-1,"")</f>
        <v/>
      </c>
      <c r="DA694" s="57">
        <f>IFERROR($T695/$T694-1,"")</f>
        <v/>
      </c>
      <c r="DB694" s="57">
        <f>IFERROR($U695/$U694-1,"")</f>
        <v/>
      </c>
      <c r="DC694" s="57">
        <f>IFERROR($V695/$V694-1,"")</f>
        <v/>
      </c>
      <c r="DD694" s="57">
        <f>IFERROR($W695/$W694-1,"")</f>
        <v/>
      </c>
      <c r="DE694" s="57">
        <f>IFERROR($X695/$X694-1,"")</f>
        <v/>
      </c>
      <c r="DF694" s="57">
        <f>IFERROR($Y695/$Y694-1,"")</f>
        <v/>
      </c>
      <c r="DG694" s="57">
        <f>IFERROR($Z695/$Z694-1,"")</f>
        <v/>
      </c>
      <c r="DH694" s="57">
        <f>IFERROR($AA695/$AA694-1,"")</f>
        <v/>
      </c>
      <c r="DI694" s="57">
        <f>IFERROR($AB695/$AB694-1,"")</f>
        <v/>
      </c>
      <c r="DJ694" s="57">
        <f>IFERROR($AC695/$AC694-1,"")</f>
        <v/>
      </c>
      <c r="DK694" s="57">
        <f>IFERROR($AD695/$AD694-1,"")</f>
        <v/>
      </c>
      <c r="DL694" s="57">
        <f>IFERROR($AE695/$AE694-1,"")</f>
        <v/>
      </c>
      <c r="DM694" s="56">
        <f>$AZ694-$AZ695</f>
        <v/>
      </c>
      <c r="DN694" s="56">
        <f>$BA694-$BA695</f>
        <v/>
      </c>
      <c r="DO694" s="56">
        <f>$BB694-$BB695</f>
        <v/>
      </c>
      <c r="DP694" s="56">
        <f>$BC694-$BC695</f>
        <v/>
      </c>
      <c r="DQ694" s="56">
        <f>$BD694-$BD695</f>
        <v/>
      </c>
      <c r="DR694" s="56">
        <f>$BE694-$BE695</f>
        <v/>
      </c>
      <c r="DS694" s="56">
        <f>$BF694-$BF695</f>
        <v/>
      </c>
      <c r="DT694" s="56">
        <f>$BG694-$BG695</f>
        <v/>
      </c>
      <c r="DU694" s="56">
        <f>$BH694-$BH695</f>
        <v/>
      </c>
      <c r="DV694" s="56">
        <f>$BI694-$BI695</f>
        <v/>
      </c>
      <c r="DW694" s="56">
        <f>$BJ694-$BJ695</f>
        <v/>
      </c>
      <c r="DX694" s="56">
        <f>$BK694-$BK695</f>
        <v/>
      </c>
      <c r="DY694" s="56">
        <f>$BL694-$BL695</f>
        <v/>
      </c>
      <c r="DZ694" s="56">
        <f>$BM694-$BM695</f>
        <v/>
      </c>
      <c r="EA694" s="56">
        <f>$BN694-$BN695</f>
        <v/>
      </c>
      <c r="EB694" s="56">
        <f>$BO694-$BO695</f>
        <v/>
      </c>
      <c r="EC694" s="56">
        <f>$BP694-$BP695</f>
        <v/>
      </c>
      <c r="ED694" s="56">
        <f>$BQ694-$BQ695</f>
        <v/>
      </c>
      <c r="EE694" s="56">
        <f>$BR694-$BR695</f>
        <v/>
      </c>
      <c r="EF694" s="56">
        <f>$BS694-$BS695</f>
        <v/>
      </c>
      <c r="EG694" s="56">
        <f>$BT694-$BT695</f>
        <v/>
      </c>
      <c r="EH694" s="56">
        <f>$BU694-$BU695</f>
        <v/>
      </c>
    </row>
    <row r="695">
      <c r="BV695" s="56">
        <f>($D695-$D696)*100</f>
        <v/>
      </c>
      <c r="BW695" s="56">
        <f>($C695-$C696)*100</f>
        <v/>
      </c>
      <c r="BX695" s="57">
        <f>IFERROR($I695/$I696-1,"")</f>
        <v/>
      </c>
      <c r="BY695" s="56">
        <f>($AF695-$AF696)*100</f>
        <v/>
      </c>
      <c r="BZ695" s="56">
        <f>($AG695-$AG696)*100</f>
        <v/>
      </c>
      <c r="CA695" s="56">
        <f>($AH695-$AH696)*100</f>
        <v/>
      </c>
      <c r="CB695" s="56">
        <f>($AI695-$AI696)*100</f>
        <v/>
      </c>
      <c r="CC695" s="56">
        <f>($AJ695-$AJ696)*100</f>
        <v/>
      </c>
      <c r="CD695" s="56">
        <f>($AK695-$AK696)*100</f>
        <v/>
      </c>
      <c r="CE695" s="56">
        <f>($AL695-$AL696)*100</f>
        <v/>
      </c>
      <c r="CF695" s="56">
        <f>($AM695-$AM696)*100</f>
        <v/>
      </c>
      <c r="CG695" s="56">
        <f>($AN695-$AN696)*100</f>
        <v/>
      </c>
      <c r="CH695" s="56">
        <f>($AO695-$AO696)*100</f>
        <v/>
      </c>
      <c r="CI695" s="56">
        <f>($AP695-$AP696)*100</f>
        <v/>
      </c>
      <c r="CJ695" s="56">
        <f>($AQ695-$AQ696)*100</f>
        <v/>
      </c>
      <c r="CK695" s="56">
        <f>($AR695-$AR696)*100</f>
        <v/>
      </c>
      <c r="CL695" s="56">
        <f>($AS695-$AS696)*100</f>
        <v/>
      </c>
      <c r="CM695" s="56">
        <f>($AT695-$AT696)*100</f>
        <v/>
      </c>
      <c r="CN695" s="56">
        <f>($AU695-$AU696)*100</f>
        <v/>
      </c>
      <c r="CO695" s="56">
        <f>($AV695-$AV696)*100</f>
        <v/>
      </c>
      <c r="CP695" s="56">
        <f>($AW695-$AW696)*100</f>
        <v/>
      </c>
      <c r="CQ695" s="56">
        <f>($AX695-$AX696)*100</f>
        <v/>
      </c>
      <c r="CR695" s="56">
        <f>($AY695-$AY696)*100</f>
        <v/>
      </c>
      <c r="CS695" s="57">
        <f>IFERROR($L696/$L695-1,"")</f>
        <v/>
      </c>
      <c r="CT695" s="57">
        <f>IFERROR($M696/$M695-1,"")</f>
        <v/>
      </c>
      <c r="CU695" s="57">
        <f>IFERROR($N696/$N695-1,"")</f>
        <v/>
      </c>
      <c r="CV695" s="57">
        <f>IFERROR($O696/$O695-1,"")</f>
        <v/>
      </c>
      <c r="CW695" s="57">
        <f>IFERROR($P696/$P695-1,"")</f>
        <v/>
      </c>
      <c r="CX695" s="57">
        <f>IFERROR($Q696/$Q695-1,"")</f>
        <v/>
      </c>
      <c r="CY695" s="57">
        <f>IFERROR($R696/$R695-1,"")</f>
        <v/>
      </c>
      <c r="CZ695" s="57">
        <f>IFERROR($S696/$S695-1,"")</f>
        <v/>
      </c>
      <c r="DA695" s="57">
        <f>IFERROR($T696/$T695-1,"")</f>
        <v/>
      </c>
      <c r="DB695" s="57">
        <f>IFERROR($U696/$U695-1,"")</f>
        <v/>
      </c>
      <c r="DC695" s="57">
        <f>IFERROR($V696/$V695-1,"")</f>
        <v/>
      </c>
      <c r="DD695" s="57">
        <f>IFERROR($W696/$W695-1,"")</f>
        <v/>
      </c>
      <c r="DE695" s="57">
        <f>IFERROR($X696/$X695-1,"")</f>
        <v/>
      </c>
      <c r="DF695" s="57">
        <f>IFERROR($Y696/$Y695-1,"")</f>
        <v/>
      </c>
      <c r="DG695" s="57">
        <f>IFERROR($Z696/$Z695-1,"")</f>
        <v/>
      </c>
      <c r="DH695" s="57">
        <f>IFERROR($AA696/$AA695-1,"")</f>
        <v/>
      </c>
      <c r="DI695" s="57">
        <f>IFERROR($AB696/$AB695-1,"")</f>
        <v/>
      </c>
      <c r="DJ695" s="57">
        <f>IFERROR($AC696/$AC695-1,"")</f>
        <v/>
      </c>
      <c r="DK695" s="57">
        <f>IFERROR($AD696/$AD695-1,"")</f>
        <v/>
      </c>
      <c r="DL695" s="57">
        <f>IFERROR($AE696/$AE695-1,"")</f>
        <v/>
      </c>
      <c r="DM695" s="56">
        <f>$AZ695-$AZ696</f>
        <v/>
      </c>
      <c r="DN695" s="56">
        <f>$BA695-$BA696</f>
        <v/>
      </c>
      <c r="DO695" s="56">
        <f>$BB695-$BB696</f>
        <v/>
      </c>
      <c r="DP695" s="56">
        <f>$BC695-$BC696</f>
        <v/>
      </c>
      <c r="DQ695" s="56">
        <f>$BD695-$BD696</f>
        <v/>
      </c>
      <c r="DR695" s="56">
        <f>$BE695-$BE696</f>
        <v/>
      </c>
      <c r="DS695" s="56">
        <f>$BF695-$BF696</f>
        <v/>
      </c>
      <c r="DT695" s="56">
        <f>$BG695-$BG696</f>
        <v/>
      </c>
      <c r="DU695" s="56">
        <f>$BH695-$BH696</f>
        <v/>
      </c>
      <c r="DV695" s="56">
        <f>$BI695-$BI696</f>
        <v/>
      </c>
      <c r="DW695" s="56">
        <f>$BJ695-$BJ696</f>
        <v/>
      </c>
      <c r="DX695" s="56">
        <f>$BK695-$BK696</f>
        <v/>
      </c>
      <c r="DY695" s="56">
        <f>$BL695-$BL696</f>
        <v/>
      </c>
      <c r="DZ695" s="56">
        <f>$BM695-$BM696</f>
        <v/>
      </c>
      <c r="EA695" s="56">
        <f>$BN695-$BN696</f>
        <v/>
      </c>
      <c r="EB695" s="56">
        <f>$BO695-$BO696</f>
        <v/>
      </c>
      <c r="EC695" s="56">
        <f>$BP695-$BP696</f>
        <v/>
      </c>
      <c r="ED695" s="56">
        <f>$BQ695-$BQ696</f>
        <v/>
      </c>
      <c r="EE695" s="56">
        <f>$BR695-$BR696</f>
        <v/>
      </c>
      <c r="EF695" s="56">
        <f>$BS695-$BS696</f>
        <v/>
      </c>
      <c r="EG695" s="56">
        <f>$BT695-$BT696</f>
        <v/>
      </c>
      <c r="EH695" s="56">
        <f>$BU695-$BU696</f>
        <v/>
      </c>
    </row>
    <row r="696">
      <c r="BV696" s="56">
        <f>($D696-$D697)*100</f>
        <v/>
      </c>
      <c r="BW696" s="56">
        <f>($C696-$C697)*100</f>
        <v/>
      </c>
      <c r="BX696" s="57">
        <f>IFERROR($I696/$I697-1,"")</f>
        <v/>
      </c>
      <c r="BY696" s="56">
        <f>($AF696-$AF697)*100</f>
        <v/>
      </c>
      <c r="BZ696" s="56">
        <f>($AG696-$AG697)*100</f>
        <v/>
      </c>
      <c r="CA696" s="56">
        <f>($AH696-$AH697)*100</f>
        <v/>
      </c>
      <c r="CB696" s="56">
        <f>($AI696-$AI697)*100</f>
        <v/>
      </c>
      <c r="CC696" s="56">
        <f>($AJ696-$AJ697)*100</f>
        <v/>
      </c>
      <c r="CD696" s="56">
        <f>($AK696-$AK697)*100</f>
        <v/>
      </c>
      <c r="CE696" s="56">
        <f>($AL696-$AL697)*100</f>
        <v/>
      </c>
      <c r="CF696" s="56">
        <f>($AM696-$AM697)*100</f>
        <v/>
      </c>
      <c r="CG696" s="56">
        <f>($AN696-$AN697)*100</f>
        <v/>
      </c>
      <c r="CH696" s="56">
        <f>($AO696-$AO697)*100</f>
        <v/>
      </c>
      <c r="CI696" s="56">
        <f>($AP696-$AP697)*100</f>
        <v/>
      </c>
      <c r="CJ696" s="56">
        <f>($AQ696-$AQ697)*100</f>
        <v/>
      </c>
      <c r="CK696" s="56">
        <f>($AR696-$AR697)*100</f>
        <v/>
      </c>
      <c r="CL696" s="56">
        <f>($AS696-$AS697)*100</f>
        <v/>
      </c>
      <c r="CM696" s="56">
        <f>($AT696-$AT697)*100</f>
        <v/>
      </c>
      <c r="CN696" s="56">
        <f>($AU696-$AU697)*100</f>
        <v/>
      </c>
      <c r="CO696" s="56">
        <f>($AV696-$AV697)*100</f>
        <v/>
      </c>
      <c r="CP696" s="56">
        <f>($AW696-$AW697)*100</f>
        <v/>
      </c>
      <c r="CQ696" s="56">
        <f>($AX696-$AX697)*100</f>
        <v/>
      </c>
      <c r="CR696" s="56">
        <f>($AY696-$AY697)*100</f>
        <v/>
      </c>
      <c r="CS696" s="57">
        <f>IFERROR($L697/$L696-1,"")</f>
        <v/>
      </c>
      <c r="CT696" s="57">
        <f>IFERROR($M697/$M696-1,"")</f>
        <v/>
      </c>
      <c r="CU696" s="57">
        <f>IFERROR($N697/$N696-1,"")</f>
        <v/>
      </c>
      <c r="CV696" s="57">
        <f>IFERROR($O697/$O696-1,"")</f>
        <v/>
      </c>
      <c r="CW696" s="57">
        <f>IFERROR($P697/$P696-1,"")</f>
        <v/>
      </c>
      <c r="CX696" s="57">
        <f>IFERROR($Q697/$Q696-1,"")</f>
        <v/>
      </c>
      <c r="CY696" s="57">
        <f>IFERROR($R697/$R696-1,"")</f>
        <v/>
      </c>
      <c r="CZ696" s="57">
        <f>IFERROR($S697/$S696-1,"")</f>
        <v/>
      </c>
      <c r="DA696" s="57">
        <f>IFERROR($T697/$T696-1,"")</f>
        <v/>
      </c>
      <c r="DB696" s="57">
        <f>IFERROR($U697/$U696-1,"")</f>
        <v/>
      </c>
      <c r="DC696" s="57">
        <f>IFERROR($V697/$V696-1,"")</f>
        <v/>
      </c>
      <c r="DD696" s="57">
        <f>IFERROR($W697/$W696-1,"")</f>
        <v/>
      </c>
      <c r="DE696" s="57">
        <f>IFERROR($X697/$X696-1,"")</f>
        <v/>
      </c>
      <c r="DF696" s="57">
        <f>IFERROR($Y697/$Y696-1,"")</f>
        <v/>
      </c>
      <c r="DG696" s="57">
        <f>IFERROR($Z697/$Z696-1,"")</f>
        <v/>
      </c>
      <c r="DH696" s="57">
        <f>IFERROR($AA697/$AA696-1,"")</f>
        <v/>
      </c>
      <c r="DI696" s="57">
        <f>IFERROR($AB697/$AB696-1,"")</f>
        <v/>
      </c>
      <c r="DJ696" s="57">
        <f>IFERROR($AC697/$AC696-1,"")</f>
        <v/>
      </c>
      <c r="DK696" s="57">
        <f>IFERROR($AD697/$AD696-1,"")</f>
        <v/>
      </c>
      <c r="DL696" s="57">
        <f>IFERROR($AE697/$AE696-1,"")</f>
        <v/>
      </c>
      <c r="DM696" s="56">
        <f>$AZ696-$AZ697</f>
        <v/>
      </c>
      <c r="DN696" s="56">
        <f>$BA696-$BA697</f>
        <v/>
      </c>
      <c r="DO696" s="56">
        <f>$BB696-$BB697</f>
        <v/>
      </c>
      <c r="DP696" s="56">
        <f>$BC696-$BC697</f>
        <v/>
      </c>
      <c r="DQ696" s="56">
        <f>$BD696-$BD697</f>
        <v/>
      </c>
      <c r="DR696" s="56">
        <f>$BE696-$BE697</f>
        <v/>
      </c>
      <c r="DS696" s="56">
        <f>$BF696-$BF697</f>
        <v/>
      </c>
      <c r="DT696" s="56">
        <f>$BG696-$BG697</f>
        <v/>
      </c>
      <c r="DU696" s="56">
        <f>$BH696-$BH697</f>
        <v/>
      </c>
      <c r="DV696" s="56">
        <f>$BI696-$BI697</f>
        <v/>
      </c>
      <c r="DW696" s="56">
        <f>$BJ696-$BJ697</f>
        <v/>
      </c>
      <c r="DX696" s="56">
        <f>$BK696-$BK697</f>
        <v/>
      </c>
      <c r="DY696" s="56">
        <f>$BL696-$BL697</f>
        <v/>
      </c>
      <c r="DZ696" s="56">
        <f>$BM696-$BM697</f>
        <v/>
      </c>
      <c r="EA696" s="56">
        <f>$BN696-$BN697</f>
        <v/>
      </c>
      <c r="EB696" s="56">
        <f>$BO696-$BO697</f>
        <v/>
      </c>
      <c r="EC696" s="56">
        <f>$BP696-$BP697</f>
        <v/>
      </c>
      <c r="ED696" s="56">
        <f>$BQ696-$BQ697</f>
        <v/>
      </c>
      <c r="EE696" s="56">
        <f>$BR696-$BR697</f>
        <v/>
      </c>
      <c r="EF696" s="56">
        <f>$BS696-$BS697</f>
        <v/>
      </c>
      <c r="EG696" s="56">
        <f>$BT696-$BT697</f>
        <v/>
      </c>
      <c r="EH696" s="56">
        <f>$BU696-$BU697</f>
        <v/>
      </c>
    </row>
    <row r="697">
      <c r="BV697" s="56">
        <f>($D697-$D698)*100</f>
        <v/>
      </c>
      <c r="BW697" s="56">
        <f>($C697-$C698)*100</f>
        <v/>
      </c>
      <c r="BX697" s="57">
        <f>IFERROR($I697/$I698-1,"")</f>
        <v/>
      </c>
      <c r="BY697" s="56">
        <f>($AF697-$AF698)*100</f>
        <v/>
      </c>
      <c r="BZ697" s="56">
        <f>($AG697-$AG698)*100</f>
        <v/>
      </c>
      <c r="CA697" s="56">
        <f>($AH697-$AH698)*100</f>
        <v/>
      </c>
      <c r="CB697" s="56">
        <f>($AI697-$AI698)*100</f>
        <v/>
      </c>
      <c r="CC697" s="56">
        <f>($AJ697-$AJ698)*100</f>
        <v/>
      </c>
      <c r="CD697" s="56">
        <f>($AK697-$AK698)*100</f>
        <v/>
      </c>
      <c r="CE697" s="56">
        <f>($AL697-$AL698)*100</f>
        <v/>
      </c>
      <c r="CF697" s="56">
        <f>($AM697-$AM698)*100</f>
        <v/>
      </c>
      <c r="CG697" s="56">
        <f>($AN697-$AN698)*100</f>
        <v/>
      </c>
      <c r="CH697" s="56">
        <f>($AO697-$AO698)*100</f>
        <v/>
      </c>
      <c r="CI697" s="56">
        <f>($AP697-$AP698)*100</f>
        <v/>
      </c>
      <c r="CJ697" s="56">
        <f>($AQ697-$AQ698)*100</f>
        <v/>
      </c>
      <c r="CK697" s="56">
        <f>($AR697-$AR698)*100</f>
        <v/>
      </c>
      <c r="CL697" s="56">
        <f>($AS697-$AS698)*100</f>
        <v/>
      </c>
      <c r="CM697" s="56">
        <f>($AT697-$AT698)*100</f>
        <v/>
      </c>
      <c r="CN697" s="56">
        <f>($AU697-$AU698)*100</f>
        <v/>
      </c>
      <c r="CO697" s="56">
        <f>($AV697-$AV698)*100</f>
        <v/>
      </c>
      <c r="CP697" s="56">
        <f>($AW697-$AW698)*100</f>
        <v/>
      </c>
      <c r="CQ697" s="56">
        <f>($AX697-$AX698)*100</f>
        <v/>
      </c>
      <c r="CR697" s="56">
        <f>($AY697-$AY698)*100</f>
        <v/>
      </c>
      <c r="CS697" s="57">
        <f>IFERROR($L698/$L697-1,"")</f>
        <v/>
      </c>
      <c r="CT697" s="57">
        <f>IFERROR($M698/$M697-1,"")</f>
        <v/>
      </c>
      <c r="CU697" s="57">
        <f>IFERROR($N698/$N697-1,"")</f>
        <v/>
      </c>
      <c r="CV697" s="57">
        <f>IFERROR($O698/$O697-1,"")</f>
        <v/>
      </c>
      <c r="CW697" s="57">
        <f>IFERROR($P698/$P697-1,"")</f>
        <v/>
      </c>
      <c r="CX697" s="57">
        <f>IFERROR($Q698/$Q697-1,"")</f>
        <v/>
      </c>
      <c r="CY697" s="57">
        <f>IFERROR($R698/$R697-1,"")</f>
        <v/>
      </c>
      <c r="CZ697" s="57">
        <f>IFERROR($S698/$S697-1,"")</f>
        <v/>
      </c>
      <c r="DA697" s="57">
        <f>IFERROR($T698/$T697-1,"")</f>
        <v/>
      </c>
      <c r="DB697" s="57">
        <f>IFERROR($U698/$U697-1,"")</f>
        <v/>
      </c>
      <c r="DC697" s="57">
        <f>IFERROR($V698/$V697-1,"")</f>
        <v/>
      </c>
      <c r="DD697" s="57">
        <f>IFERROR($W698/$W697-1,"")</f>
        <v/>
      </c>
      <c r="DE697" s="57">
        <f>IFERROR($X698/$X697-1,"")</f>
        <v/>
      </c>
      <c r="DF697" s="57">
        <f>IFERROR($Y698/$Y697-1,"")</f>
        <v/>
      </c>
      <c r="DG697" s="57">
        <f>IFERROR($Z698/$Z697-1,"")</f>
        <v/>
      </c>
      <c r="DH697" s="57">
        <f>IFERROR($AA698/$AA697-1,"")</f>
        <v/>
      </c>
      <c r="DI697" s="57">
        <f>IFERROR($AB698/$AB697-1,"")</f>
        <v/>
      </c>
      <c r="DJ697" s="57">
        <f>IFERROR($AC698/$AC697-1,"")</f>
        <v/>
      </c>
      <c r="DK697" s="57">
        <f>IFERROR($AD698/$AD697-1,"")</f>
        <v/>
      </c>
      <c r="DL697" s="57">
        <f>IFERROR($AE698/$AE697-1,"")</f>
        <v/>
      </c>
      <c r="DM697" s="56">
        <f>$AZ697-$AZ698</f>
        <v/>
      </c>
      <c r="DN697" s="56">
        <f>$BA697-$BA698</f>
        <v/>
      </c>
      <c r="DO697" s="56">
        <f>$BB697-$BB698</f>
        <v/>
      </c>
      <c r="DP697" s="56">
        <f>$BC697-$BC698</f>
        <v/>
      </c>
      <c r="DQ697" s="56">
        <f>$BD697-$BD698</f>
        <v/>
      </c>
      <c r="DR697" s="56">
        <f>$BE697-$BE698</f>
        <v/>
      </c>
      <c r="DS697" s="56">
        <f>$BF697-$BF698</f>
        <v/>
      </c>
      <c r="DT697" s="56">
        <f>$BG697-$BG698</f>
        <v/>
      </c>
      <c r="DU697" s="56">
        <f>$BH697-$BH698</f>
        <v/>
      </c>
      <c r="DV697" s="56">
        <f>$BI697-$BI698</f>
        <v/>
      </c>
      <c r="DW697" s="56">
        <f>$BJ697-$BJ698</f>
        <v/>
      </c>
      <c r="DX697" s="56">
        <f>$BK697-$BK698</f>
        <v/>
      </c>
      <c r="DY697" s="56">
        <f>$BL697-$BL698</f>
        <v/>
      </c>
      <c r="DZ697" s="56">
        <f>$BM697-$BM698</f>
        <v/>
      </c>
      <c r="EA697" s="56">
        <f>$BN697-$BN698</f>
        <v/>
      </c>
      <c r="EB697" s="56">
        <f>$BO697-$BO698</f>
        <v/>
      </c>
      <c r="EC697" s="56">
        <f>$BP697-$BP698</f>
        <v/>
      </c>
      <c r="ED697" s="56">
        <f>$BQ697-$BQ698</f>
        <v/>
      </c>
      <c r="EE697" s="56">
        <f>$BR697-$BR698</f>
        <v/>
      </c>
      <c r="EF697" s="56">
        <f>$BS697-$BS698</f>
        <v/>
      </c>
      <c r="EG697" s="56">
        <f>$BT697-$BT698</f>
        <v/>
      </c>
      <c r="EH697" s="56">
        <f>$BU697-$BU698</f>
        <v/>
      </c>
    </row>
    <row r="698">
      <c r="BV698" s="56">
        <f>($D698-$D699)*100</f>
        <v/>
      </c>
      <c r="BW698" s="56">
        <f>($C698-$C699)*100</f>
        <v/>
      </c>
      <c r="BX698" s="57">
        <f>IFERROR($I698/$I699-1,"")</f>
        <v/>
      </c>
      <c r="BY698" s="56">
        <f>($AF698-$AF699)*100</f>
        <v/>
      </c>
      <c r="BZ698" s="56">
        <f>($AG698-$AG699)*100</f>
        <v/>
      </c>
      <c r="CA698" s="56">
        <f>($AH698-$AH699)*100</f>
        <v/>
      </c>
      <c r="CB698" s="56">
        <f>($AI698-$AI699)*100</f>
        <v/>
      </c>
      <c r="CC698" s="56">
        <f>($AJ698-$AJ699)*100</f>
        <v/>
      </c>
      <c r="CD698" s="56">
        <f>($AK698-$AK699)*100</f>
        <v/>
      </c>
      <c r="CE698" s="56">
        <f>($AL698-$AL699)*100</f>
        <v/>
      </c>
      <c r="CF698" s="56">
        <f>($AM698-$AM699)*100</f>
        <v/>
      </c>
      <c r="CG698" s="56">
        <f>($AN698-$AN699)*100</f>
        <v/>
      </c>
      <c r="CH698" s="56">
        <f>($AO698-$AO699)*100</f>
        <v/>
      </c>
      <c r="CI698" s="56">
        <f>($AP698-$AP699)*100</f>
        <v/>
      </c>
      <c r="CJ698" s="56">
        <f>($AQ698-$AQ699)*100</f>
        <v/>
      </c>
      <c r="CK698" s="56">
        <f>($AR698-$AR699)*100</f>
        <v/>
      </c>
      <c r="CL698" s="56">
        <f>($AS698-$AS699)*100</f>
        <v/>
      </c>
      <c r="CM698" s="56">
        <f>($AT698-$AT699)*100</f>
        <v/>
      </c>
      <c r="CN698" s="56">
        <f>($AU698-$AU699)*100</f>
        <v/>
      </c>
      <c r="CO698" s="56">
        <f>($AV698-$AV699)*100</f>
        <v/>
      </c>
      <c r="CP698" s="56">
        <f>($AW698-$AW699)*100</f>
        <v/>
      </c>
      <c r="CQ698" s="56">
        <f>($AX698-$AX699)*100</f>
        <v/>
      </c>
      <c r="CR698" s="56">
        <f>($AY698-$AY699)*100</f>
        <v/>
      </c>
      <c r="CS698" s="57">
        <f>IFERROR($L699/$L698-1,"")</f>
        <v/>
      </c>
      <c r="CT698" s="57">
        <f>IFERROR($M699/$M698-1,"")</f>
        <v/>
      </c>
      <c r="CU698" s="57">
        <f>IFERROR($N699/$N698-1,"")</f>
        <v/>
      </c>
      <c r="CV698" s="57">
        <f>IFERROR($O699/$O698-1,"")</f>
        <v/>
      </c>
      <c r="CW698" s="57">
        <f>IFERROR($P699/$P698-1,"")</f>
        <v/>
      </c>
      <c r="CX698" s="57">
        <f>IFERROR($Q699/$Q698-1,"")</f>
        <v/>
      </c>
      <c r="CY698" s="57">
        <f>IFERROR($R699/$R698-1,"")</f>
        <v/>
      </c>
      <c r="CZ698" s="57">
        <f>IFERROR($S699/$S698-1,"")</f>
        <v/>
      </c>
      <c r="DA698" s="57">
        <f>IFERROR($T699/$T698-1,"")</f>
        <v/>
      </c>
      <c r="DB698" s="57">
        <f>IFERROR($U699/$U698-1,"")</f>
        <v/>
      </c>
      <c r="DC698" s="57">
        <f>IFERROR($V699/$V698-1,"")</f>
        <v/>
      </c>
      <c r="DD698" s="57">
        <f>IFERROR($W699/$W698-1,"")</f>
        <v/>
      </c>
      <c r="DE698" s="57">
        <f>IFERROR($X699/$X698-1,"")</f>
        <v/>
      </c>
      <c r="DF698" s="57">
        <f>IFERROR($Y699/$Y698-1,"")</f>
        <v/>
      </c>
      <c r="DG698" s="57">
        <f>IFERROR($Z699/$Z698-1,"")</f>
        <v/>
      </c>
      <c r="DH698" s="57">
        <f>IFERROR($AA699/$AA698-1,"")</f>
        <v/>
      </c>
      <c r="DI698" s="57">
        <f>IFERROR($AB699/$AB698-1,"")</f>
        <v/>
      </c>
      <c r="DJ698" s="57">
        <f>IFERROR($AC699/$AC698-1,"")</f>
        <v/>
      </c>
      <c r="DK698" s="57">
        <f>IFERROR($AD699/$AD698-1,"")</f>
        <v/>
      </c>
      <c r="DL698" s="57">
        <f>IFERROR($AE699/$AE698-1,"")</f>
        <v/>
      </c>
      <c r="DM698" s="56">
        <f>$AZ698-$AZ699</f>
        <v/>
      </c>
      <c r="DN698" s="56">
        <f>$BA698-$BA699</f>
        <v/>
      </c>
      <c r="DO698" s="56">
        <f>$BB698-$BB699</f>
        <v/>
      </c>
      <c r="DP698" s="56">
        <f>$BC698-$BC699</f>
        <v/>
      </c>
      <c r="DQ698" s="56">
        <f>$BD698-$BD699</f>
        <v/>
      </c>
      <c r="DR698" s="56">
        <f>$BE698-$BE699</f>
        <v/>
      </c>
      <c r="DS698" s="56">
        <f>$BF698-$BF699</f>
        <v/>
      </c>
      <c r="DT698" s="56">
        <f>$BG698-$BG699</f>
        <v/>
      </c>
      <c r="DU698" s="56">
        <f>$BH698-$BH699</f>
        <v/>
      </c>
      <c r="DV698" s="56">
        <f>$BI698-$BI699</f>
        <v/>
      </c>
      <c r="DW698" s="56">
        <f>$BJ698-$BJ699</f>
        <v/>
      </c>
      <c r="DX698" s="56">
        <f>$BK698-$BK699</f>
        <v/>
      </c>
      <c r="DY698" s="56">
        <f>$BL698-$BL699</f>
        <v/>
      </c>
      <c r="DZ698" s="56">
        <f>$BM698-$BM699</f>
        <v/>
      </c>
      <c r="EA698" s="56">
        <f>$BN698-$BN699</f>
        <v/>
      </c>
      <c r="EB698" s="56">
        <f>$BO698-$BO699</f>
        <v/>
      </c>
      <c r="EC698" s="56">
        <f>$BP698-$BP699</f>
        <v/>
      </c>
      <c r="ED698" s="56">
        <f>$BQ698-$BQ699</f>
        <v/>
      </c>
      <c r="EE698" s="56">
        <f>$BR698-$BR699</f>
        <v/>
      </c>
      <c r="EF698" s="56">
        <f>$BS698-$BS699</f>
        <v/>
      </c>
      <c r="EG698" s="56">
        <f>$BT698-$BT699</f>
        <v/>
      </c>
      <c r="EH698" s="56">
        <f>$BU698-$BU699</f>
        <v/>
      </c>
    </row>
    <row r="699">
      <c r="BV699" s="56">
        <f>($D699-$D700)*100</f>
        <v/>
      </c>
      <c r="BW699" s="56">
        <f>($C699-$C700)*100</f>
        <v/>
      </c>
      <c r="BX699" s="57">
        <f>IFERROR($I699/$I700-1,"")</f>
        <v/>
      </c>
      <c r="BY699" s="56">
        <f>($AF699-$AF700)*100</f>
        <v/>
      </c>
      <c r="BZ699" s="56">
        <f>($AG699-$AG700)*100</f>
        <v/>
      </c>
      <c r="CA699" s="56">
        <f>($AH699-$AH700)*100</f>
        <v/>
      </c>
      <c r="CB699" s="56">
        <f>($AI699-$AI700)*100</f>
        <v/>
      </c>
      <c r="CC699" s="56">
        <f>($AJ699-$AJ700)*100</f>
        <v/>
      </c>
      <c r="CD699" s="56">
        <f>($AK699-$AK700)*100</f>
        <v/>
      </c>
      <c r="CE699" s="56">
        <f>($AL699-$AL700)*100</f>
        <v/>
      </c>
      <c r="CF699" s="56">
        <f>($AM699-$AM700)*100</f>
        <v/>
      </c>
      <c r="CG699" s="56">
        <f>($AN699-$AN700)*100</f>
        <v/>
      </c>
      <c r="CH699" s="56">
        <f>($AO699-$AO700)*100</f>
        <v/>
      </c>
      <c r="CI699" s="56">
        <f>($AP699-$AP700)*100</f>
        <v/>
      </c>
      <c r="CJ699" s="56">
        <f>($AQ699-$AQ700)*100</f>
        <v/>
      </c>
      <c r="CK699" s="56">
        <f>($AR699-$AR700)*100</f>
        <v/>
      </c>
      <c r="CL699" s="56">
        <f>($AS699-$AS700)*100</f>
        <v/>
      </c>
      <c r="CM699" s="56">
        <f>($AT699-$AT700)*100</f>
        <v/>
      </c>
      <c r="CN699" s="56">
        <f>($AU699-$AU700)*100</f>
        <v/>
      </c>
      <c r="CO699" s="56">
        <f>($AV699-$AV700)*100</f>
        <v/>
      </c>
      <c r="CP699" s="56">
        <f>($AW699-$AW700)*100</f>
        <v/>
      </c>
      <c r="CQ699" s="56">
        <f>($AX699-$AX700)*100</f>
        <v/>
      </c>
      <c r="CR699" s="56">
        <f>($AY699-$AY700)*100</f>
        <v/>
      </c>
      <c r="CS699" s="57">
        <f>IFERROR($L700/$L699-1,"")</f>
        <v/>
      </c>
      <c r="CT699" s="57">
        <f>IFERROR($M700/$M699-1,"")</f>
        <v/>
      </c>
      <c r="CU699" s="57">
        <f>IFERROR($N700/$N699-1,"")</f>
        <v/>
      </c>
      <c r="CV699" s="57">
        <f>IFERROR($O700/$O699-1,"")</f>
        <v/>
      </c>
      <c r="CW699" s="57">
        <f>IFERROR($P700/$P699-1,"")</f>
        <v/>
      </c>
      <c r="CX699" s="57">
        <f>IFERROR($Q700/$Q699-1,"")</f>
        <v/>
      </c>
      <c r="CY699" s="57">
        <f>IFERROR($R700/$R699-1,"")</f>
        <v/>
      </c>
      <c r="CZ699" s="57">
        <f>IFERROR($S700/$S699-1,"")</f>
        <v/>
      </c>
      <c r="DA699" s="57">
        <f>IFERROR($T700/$T699-1,"")</f>
        <v/>
      </c>
      <c r="DB699" s="57">
        <f>IFERROR($U700/$U699-1,"")</f>
        <v/>
      </c>
      <c r="DC699" s="57">
        <f>IFERROR($V700/$V699-1,"")</f>
        <v/>
      </c>
      <c r="DD699" s="57">
        <f>IFERROR($W700/$W699-1,"")</f>
        <v/>
      </c>
      <c r="DE699" s="57">
        <f>IFERROR($X700/$X699-1,"")</f>
        <v/>
      </c>
      <c r="DF699" s="57">
        <f>IFERROR($Y700/$Y699-1,"")</f>
        <v/>
      </c>
      <c r="DG699" s="57">
        <f>IFERROR($Z700/$Z699-1,"")</f>
        <v/>
      </c>
      <c r="DH699" s="57">
        <f>IFERROR($AA700/$AA699-1,"")</f>
        <v/>
      </c>
      <c r="DI699" s="57">
        <f>IFERROR($AB700/$AB699-1,"")</f>
        <v/>
      </c>
      <c r="DJ699" s="57">
        <f>IFERROR($AC700/$AC699-1,"")</f>
        <v/>
      </c>
      <c r="DK699" s="57">
        <f>IFERROR($AD700/$AD699-1,"")</f>
        <v/>
      </c>
      <c r="DL699" s="57">
        <f>IFERROR($AE700/$AE699-1,"")</f>
        <v/>
      </c>
      <c r="DM699" s="56">
        <f>$AZ699-$AZ700</f>
        <v/>
      </c>
      <c r="DN699" s="56">
        <f>$BA699-$BA700</f>
        <v/>
      </c>
      <c r="DO699" s="56">
        <f>$BB699-$BB700</f>
        <v/>
      </c>
      <c r="DP699" s="56">
        <f>$BC699-$BC700</f>
        <v/>
      </c>
      <c r="DQ699" s="56">
        <f>$BD699-$BD700</f>
        <v/>
      </c>
      <c r="DR699" s="56">
        <f>$BE699-$BE700</f>
        <v/>
      </c>
      <c r="DS699" s="56">
        <f>$BF699-$BF700</f>
        <v/>
      </c>
      <c r="DT699" s="56">
        <f>$BG699-$BG700</f>
        <v/>
      </c>
      <c r="DU699" s="56">
        <f>$BH699-$BH700</f>
        <v/>
      </c>
      <c r="DV699" s="56">
        <f>$BI699-$BI700</f>
        <v/>
      </c>
      <c r="DW699" s="56">
        <f>$BJ699-$BJ700</f>
        <v/>
      </c>
      <c r="DX699" s="56">
        <f>$BK699-$BK700</f>
        <v/>
      </c>
      <c r="DY699" s="56">
        <f>$BL699-$BL700</f>
        <v/>
      </c>
      <c r="DZ699" s="56">
        <f>$BM699-$BM700</f>
        <v/>
      </c>
      <c r="EA699" s="56">
        <f>$BN699-$BN700</f>
        <v/>
      </c>
      <c r="EB699" s="56">
        <f>$BO699-$BO700</f>
        <v/>
      </c>
      <c r="EC699" s="56">
        <f>$BP699-$BP700</f>
        <v/>
      </c>
      <c r="ED699" s="56">
        <f>$BQ699-$BQ700</f>
        <v/>
      </c>
      <c r="EE699" s="56">
        <f>$BR699-$BR700</f>
        <v/>
      </c>
      <c r="EF699" s="56">
        <f>$BS699-$BS700</f>
        <v/>
      </c>
      <c r="EG699" s="56">
        <f>$BT699-$BT700</f>
        <v/>
      </c>
      <c r="EH699" s="56">
        <f>$BU699-$BU700</f>
        <v/>
      </c>
    </row>
    <row r="700">
      <c r="BV700" s="56">
        <f>($D700-$D701)*100</f>
        <v/>
      </c>
      <c r="BW700" s="56">
        <f>($C700-$C701)*100</f>
        <v/>
      </c>
      <c r="BX700" s="57">
        <f>IFERROR($I700/$I701-1,"")</f>
        <v/>
      </c>
      <c r="BY700" s="56">
        <f>($AF700-$AF701)*100</f>
        <v/>
      </c>
      <c r="BZ700" s="56">
        <f>($AG700-$AG701)*100</f>
        <v/>
      </c>
      <c r="CA700" s="56">
        <f>($AH700-$AH701)*100</f>
        <v/>
      </c>
      <c r="CB700" s="56">
        <f>($AI700-$AI701)*100</f>
        <v/>
      </c>
      <c r="CC700" s="56">
        <f>($AJ700-$AJ701)*100</f>
        <v/>
      </c>
      <c r="CD700" s="56">
        <f>($AK700-$AK701)*100</f>
        <v/>
      </c>
      <c r="CE700" s="56">
        <f>($AL700-$AL701)*100</f>
        <v/>
      </c>
      <c r="CF700" s="56">
        <f>($AM700-$AM701)*100</f>
        <v/>
      </c>
      <c r="CG700" s="56">
        <f>($AN700-$AN701)*100</f>
        <v/>
      </c>
      <c r="CH700" s="56">
        <f>($AO700-$AO701)*100</f>
        <v/>
      </c>
      <c r="CI700" s="56">
        <f>($AP700-$AP701)*100</f>
        <v/>
      </c>
      <c r="CJ700" s="56">
        <f>($AQ700-$AQ701)*100</f>
        <v/>
      </c>
      <c r="CK700" s="56">
        <f>($AR700-$AR701)*100</f>
        <v/>
      </c>
      <c r="CL700" s="56">
        <f>($AS700-$AS701)*100</f>
        <v/>
      </c>
      <c r="CM700" s="56">
        <f>($AT700-$AT701)*100</f>
        <v/>
      </c>
      <c r="CN700" s="56">
        <f>($AU700-$AU701)*100</f>
        <v/>
      </c>
      <c r="CO700" s="56">
        <f>($AV700-$AV701)*100</f>
        <v/>
      </c>
      <c r="CP700" s="56">
        <f>($AW700-$AW701)*100</f>
        <v/>
      </c>
      <c r="CQ700" s="56">
        <f>($AX700-$AX701)*100</f>
        <v/>
      </c>
      <c r="CR700" s="56">
        <f>($AY700-$AY701)*100</f>
        <v/>
      </c>
      <c r="CS700" s="57">
        <f>IFERROR($L701/$L700-1,"")</f>
        <v/>
      </c>
      <c r="CT700" s="57">
        <f>IFERROR($M701/$M700-1,"")</f>
        <v/>
      </c>
      <c r="CU700" s="57">
        <f>IFERROR($N701/$N700-1,"")</f>
        <v/>
      </c>
      <c r="CV700" s="57">
        <f>IFERROR($O701/$O700-1,"")</f>
        <v/>
      </c>
      <c r="CW700" s="57">
        <f>IFERROR($P701/$P700-1,"")</f>
        <v/>
      </c>
      <c r="CX700" s="57">
        <f>IFERROR($Q701/$Q700-1,"")</f>
        <v/>
      </c>
      <c r="CY700" s="57">
        <f>IFERROR($R701/$R700-1,"")</f>
        <v/>
      </c>
      <c r="CZ700" s="57">
        <f>IFERROR($S701/$S700-1,"")</f>
        <v/>
      </c>
      <c r="DA700" s="57">
        <f>IFERROR($T701/$T700-1,"")</f>
        <v/>
      </c>
      <c r="DB700" s="57">
        <f>IFERROR($U701/$U700-1,"")</f>
        <v/>
      </c>
      <c r="DC700" s="57">
        <f>IFERROR($V701/$V700-1,"")</f>
        <v/>
      </c>
      <c r="DD700" s="57">
        <f>IFERROR($W701/$W700-1,"")</f>
        <v/>
      </c>
      <c r="DE700" s="57">
        <f>IFERROR($X701/$X700-1,"")</f>
        <v/>
      </c>
      <c r="DF700" s="57">
        <f>IFERROR($Y701/$Y700-1,"")</f>
        <v/>
      </c>
      <c r="DG700" s="57">
        <f>IFERROR($Z701/$Z700-1,"")</f>
        <v/>
      </c>
      <c r="DH700" s="57">
        <f>IFERROR($AA701/$AA700-1,"")</f>
        <v/>
      </c>
      <c r="DI700" s="57">
        <f>IFERROR($AB701/$AB700-1,"")</f>
        <v/>
      </c>
      <c r="DJ700" s="57">
        <f>IFERROR($AC701/$AC700-1,"")</f>
        <v/>
      </c>
      <c r="DK700" s="57">
        <f>IFERROR($AD701/$AD700-1,"")</f>
        <v/>
      </c>
      <c r="DL700" s="57">
        <f>IFERROR($AE701/$AE700-1,"")</f>
        <v/>
      </c>
      <c r="DM700" s="56">
        <f>$AZ700-$AZ701</f>
        <v/>
      </c>
      <c r="DN700" s="56">
        <f>$BA700-$BA701</f>
        <v/>
      </c>
      <c r="DO700" s="56">
        <f>$BB700-$BB701</f>
        <v/>
      </c>
      <c r="DP700" s="56">
        <f>$BC700-$BC701</f>
        <v/>
      </c>
      <c r="DQ700" s="56">
        <f>$BD700-$BD701</f>
        <v/>
      </c>
      <c r="DR700" s="56">
        <f>$BE700-$BE701</f>
        <v/>
      </c>
      <c r="DS700" s="56">
        <f>$BF700-$BF701</f>
        <v/>
      </c>
      <c r="DT700" s="56">
        <f>$BG700-$BG701</f>
        <v/>
      </c>
      <c r="DU700" s="56">
        <f>$BH700-$BH701</f>
        <v/>
      </c>
      <c r="DV700" s="56">
        <f>$BI700-$BI701</f>
        <v/>
      </c>
      <c r="DW700" s="56">
        <f>$BJ700-$BJ701</f>
        <v/>
      </c>
      <c r="DX700" s="56">
        <f>$BK700-$BK701</f>
        <v/>
      </c>
      <c r="DY700" s="56">
        <f>$BL700-$BL701</f>
        <v/>
      </c>
      <c r="DZ700" s="56">
        <f>$BM700-$BM701</f>
        <v/>
      </c>
      <c r="EA700" s="56">
        <f>$BN700-$BN701</f>
        <v/>
      </c>
      <c r="EB700" s="56">
        <f>$BO700-$BO701</f>
        <v/>
      </c>
      <c r="EC700" s="56">
        <f>$BP700-$BP701</f>
        <v/>
      </c>
      <c r="ED700" s="56">
        <f>$BQ700-$BQ701</f>
        <v/>
      </c>
      <c r="EE700" s="56">
        <f>$BR700-$BR701</f>
        <v/>
      </c>
      <c r="EF700" s="56">
        <f>$BS700-$BS701</f>
        <v/>
      </c>
      <c r="EG700" s="56">
        <f>$BT700-$BT701</f>
        <v/>
      </c>
      <c r="EH700" s="56">
        <f>$BU700-$BU701</f>
        <v/>
      </c>
    </row>
    <row r="701">
      <c r="BV701" s="56">
        <f>($D701-$D702)*100</f>
        <v/>
      </c>
      <c r="BW701" s="56">
        <f>($C701-$C702)*100</f>
        <v/>
      </c>
      <c r="BX701" s="57">
        <f>IFERROR($I701/$I702-1,"")</f>
        <v/>
      </c>
      <c r="BY701" s="56">
        <f>($AF701-$AF702)*100</f>
        <v/>
      </c>
      <c r="BZ701" s="56">
        <f>($AG701-$AG702)*100</f>
        <v/>
      </c>
      <c r="CA701" s="56">
        <f>($AH701-$AH702)*100</f>
        <v/>
      </c>
      <c r="CB701" s="56">
        <f>($AI701-$AI702)*100</f>
        <v/>
      </c>
      <c r="CC701" s="56">
        <f>($AJ701-$AJ702)*100</f>
        <v/>
      </c>
      <c r="CD701" s="56">
        <f>($AK701-$AK702)*100</f>
        <v/>
      </c>
      <c r="CE701" s="56">
        <f>($AL701-$AL702)*100</f>
        <v/>
      </c>
      <c r="CF701" s="56">
        <f>($AM701-$AM702)*100</f>
        <v/>
      </c>
      <c r="CG701" s="56">
        <f>($AN701-$AN702)*100</f>
        <v/>
      </c>
      <c r="CH701" s="56">
        <f>($AO701-$AO702)*100</f>
        <v/>
      </c>
      <c r="CI701" s="56">
        <f>($AP701-$AP702)*100</f>
        <v/>
      </c>
      <c r="CJ701" s="56">
        <f>($AQ701-$AQ702)*100</f>
        <v/>
      </c>
      <c r="CK701" s="56">
        <f>($AR701-$AR702)*100</f>
        <v/>
      </c>
      <c r="CL701" s="56">
        <f>($AS701-$AS702)*100</f>
        <v/>
      </c>
      <c r="CM701" s="56">
        <f>($AT701-$AT702)*100</f>
        <v/>
      </c>
      <c r="CN701" s="56">
        <f>($AU701-$AU702)*100</f>
        <v/>
      </c>
      <c r="CO701" s="56">
        <f>($AV701-$AV702)*100</f>
        <v/>
      </c>
      <c r="CP701" s="56">
        <f>($AW701-$AW702)*100</f>
        <v/>
      </c>
      <c r="CQ701" s="56">
        <f>($AX701-$AX702)*100</f>
        <v/>
      </c>
      <c r="CR701" s="56">
        <f>($AY701-$AY702)*100</f>
        <v/>
      </c>
      <c r="CS701" s="57">
        <f>IFERROR($L702/$L701-1,"")</f>
        <v/>
      </c>
      <c r="CT701" s="57">
        <f>IFERROR($M702/$M701-1,"")</f>
        <v/>
      </c>
      <c r="CU701" s="57">
        <f>IFERROR($N702/$N701-1,"")</f>
        <v/>
      </c>
      <c r="CV701" s="57">
        <f>IFERROR($O702/$O701-1,"")</f>
        <v/>
      </c>
      <c r="CW701" s="57">
        <f>IFERROR($P702/$P701-1,"")</f>
        <v/>
      </c>
      <c r="CX701" s="57">
        <f>IFERROR($Q702/$Q701-1,"")</f>
        <v/>
      </c>
      <c r="CY701" s="57">
        <f>IFERROR($R702/$R701-1,"")</f>
        <v/>
      </c>
      <c r="CZ701" s="57">
        <f>IFERROR($S702/$S701-1,"")</f>
        <v/>
      </c>
      <c r="DA701" s="57">
        <f>IFERROR($T702/$T701-1,"")</f>
        <v/>
      </c>
      <c r="DB701" s="57">
        <f>IFERROR($U702/$U701-1,"")</f>
        <v/>
      </c>
      <c r="DC701" s="57">
        <f>IFERROR($V702/$V701-1,"")</f>
        <v/>
      </c>
      <c r="DD701" s="57">
        <f>IFERROR($W702/$W701-1,"")</f>
        <v/>
      </c>
      <c r="DE701" s="57">
        <f>IFERROR($X702/$X701-1,"")</f>
        <v/>
      </c>
      <c r="DF701" s="57">
        <f>IFERROR($Y702/$Y701-1,"")</f>
        <v/>
      </c>
      <c r="DG701" s="57">
        <f>IFERROR($Z702/$Z701-1,"")</f>
        <v/>
      </c>
      <c r="DH701" s="57">
        <f>IFERROR($AA702/$AA701-1,"")</f>
        <v/>
      </c>
      <c r="DI701" s="57">
        <f>IFERROR($AB702/$AB701-1,"")</f>
        <v/>
      </c>
      <c r="DJ701" s="57">
        <f>IFERROR($AC702/$AC701-1,"")</f>
        <v/>
      </c>
      <c r="DK701" s="57">
        <f>IFERROR($AD702/$AD701-1,"")</f>
        <v/>
      </c>
      <c r="DL701" s="57">
        <f>IFERROR($AE702/$AE701-1,"")</f>
        <v/>
      </c>
      <c r="DM701" s="56">
        <f>$AZ701-$AZ702</f>
        <v/>
      </c>
      <c r="DN701" s="56">
        <f>$BA701-$BA702</f>
        <v/>
      </c>
      <c r="DO701" s="56">
        <f>$BB701-$BB702</f>
        <v/>
      </c>
      <c r="DP701" s="56">
        <f>$BC701-$BC702</f>
        <v/>
      </c>
      <c r="DQ701" s="56">
        <f>$BD701-$BD702</f>
        <v/>
      </c>
      <c r="DR701" s="56">
        <f>$BE701-$BE702</f>
        <v/>
      </c>
      <c r="DS701" s="56">
        <f>$BF701-$BF702</f>
        <v/>
      </c>
      <c r="DT701" s="56">
        <f>$BG701-$BG702</f>
        <v/>
      </c>
      <c r="DU701" s="56">
        <f>$BH701-$BH702</f>
        <v/>
      </c>
      <c r="DV701" s="56">
        <f>$BI701-$BI702</f>
        <v/>
      </c>
      <c r="DW701" s="56">
        <f>$BJ701-$BJ702</f>
        <v/>
      </c>
      <c r="DX701" s="56">
        <f>$BK701-$BK702</f>
        <v/>
      </c>
      <c r="DY701" s="56">
        <f>$BL701-$BL702</f>
        <v/>
      </c>
      <c r="DZ701" s="56">
        <f>$BM701-$BM702</f>
        <v/>
      </c>
      <c r="EA701" s="56">
        <f>$BN701-$BN702</f>
        <v/>
      </c>
      <c r="EB701" s="56">
        <f>$BO701-$BO702</f>
        <v/>
      </c>
      <c r="EC701" s="56">
        <f>$BP701-$BP702</f>
        <v/>
      </c>
      <c r="ED701" s="56">
        <f>$BQ701-$BQ702</f>
        <v/>
      </c>
      <c r="EE701" s="56">
        <f>$BR701-$BR702</f>
        <v/>
      </c>
      <c r="EF701" s="56">
        <f>$BS701-$BS702</f>
        <v/>
      </c>
      <c r="EG701" s="56">
        <f>$BT701-$BT702</f>
        <v/>
      </c>
      <c r="EH701" s="56">
        <f>$BU701-$BU702</f>
        <v/>
      </c>
    </row>
    <row r="702">
      <c r="BV702" s="56">
        <f>($D702-$D703)*100</f>
        <v/>
      </c>
      <c r="BW702" s="56">
        <f>($C702-$C703)*100</f>
        <v/>
      </c>
      <c r="BX702" s="57">
        <f>IFERROR($I702/$I703-1,"")</f>
        <v/>
      </c>
      <c r="BY702" s="56">
        <f>($AF702-$AF703)*100</f>
        <v/>
      </c>
      <c r="BZ702" s="56">
        <f>($AG702-$AG703)*100</f>
        <v/>
      </c>
      <c r="CA702" s="56">
        <f>($AH702-$AH703)*100</f>
        <v/>
      </c>
      <c r="CB702" s="56">
        <f>($AI702-$AI703)*100</f>
        <v/>
      </c>
      <c r="CC702" s="56">
        <f>($AJ702-$AJ703)*100</f>
        <v/>
      </c>
      <c r="CD702" s="56">
        <f>($AK702-$AK703)*100</f>
        <v/>
      </c>
      <c r="CE702" s="56">
        <f>($AL702-$AL703)*100</f>
        <v/>
      </c>
      <c r="CF702" s="56">
        <f>($AM702-$AM703)*100</f>
        <v/>
      </c>
      <c r="CG702" s="56">
        <f>($AN702-$AN703)*100</f>
        <v/>
      </c>
      <c r="CH702" s="56">
        <f>($AO702-$AO703)*100</f>
        <v/>
      </c>
      <c r="CI702" s="56">
        <f>($AP702-$AP703)*100</f>
        <v/>
      </c>
      <c r="CJ702" s="56">
        <f>($AQ702-$AQ703)*100</f>
        <v/>
      </c>
      <c r="CK702" s="56">
        <f>($AR702-$AR703)*100</f>
        <v/>
      </c>
      <c r="CL702" s="56">
        <f>($AS702-$AS703)*100</f>
        <v/>
      </c>
      <c r="CM702" s="56">
        <f>($AT702-$AT703)*100</f>
        <v/>
      </c>
      <c r="CN702" s="56">
        <f>($AU702-$AU703)*100</f>
        <v/>
      </c>
      <c r="CO702" s="56">
        <f>($AV702-$AV703)*100</f>
        <v/>
      </c>
      <c r="CP702" s="56">
        <f>($AW702-$AW703)*100</f>
        <v/>
      </c>
      <c r="CQ702" s="56">
        <f>($AX702-$AX703)*100</f>
        <v/>
      </c>
      <c r="CR702" s="56">
        <f>($AY702-$AY703)*100</f>
        <v/>
      </c>
      <c r="CS702" s="57">
        <f>IFERROR($L703/$L702-1,"")</f>
        <v/>
      </c>
      <c r="CT702" s="57">
        <f>IFERROR($M703/$M702-1,"")</f>
        <v/>
      </c>
      <c r="CU702" s="57">
        <f>IFERROR($N703/$N702-1,"")</f>
        <v/>
      </c>
      <c r="CV702" s="57">
        <f>IFERROR($O703/$O702-1,"")</f>
        <v/>
      </c>
      <c r="CW702" s="57">
        <f>IFERROR($P703/$P702-1,"")</f>
        <v/>
      </c>
      <c r="CX702" s="57">
        <f>IFERROR($Q703/$Q702-1,"")</f>
        <v/>
      </c>
      <c r="CY702" s="57">
        <f>IFERROR($R703/$R702-1,"")</f>
        <v/>
      </c>
      <c r="CZ702" s="57">
        <f>IFERROR($S703/$S702-1,"")</f>
        <v/>
      </c>
      <c r="DA702" s="57">
        <f>IFERROR($T703/$T702-1,"")</f>
        <v/>
      </c>
      <c r="DB702" s="57">
        <f>IFERROR($U703/$U702-1,"")</f>
        <v/>
      </c>
      <c r="DC702" s="57">
        <f>IFERROR($V703/$V702-1,"")</f>
        <v/>
      </c>
      <c r="DD702" s="57">
        <f>IFERROR($W703/$W702-1,"")</f>
        <v/>
      </c>
      <c r="DE702" s="57">
        <f>IFERROR($X703/$X702-1,"")</f>
        <v/>
      </c>
      <c r="DF702" s="57">
        <f>IFERROR($Y703/$Y702-1,"")</f>
        <v/>
      </c>
      <c r="DG702" s="57">
        <f>IFERROR($Z703/$Z702-1,"")</f>
        <v/>
      </c>
      <c r="DH702" s="57">
        <f>IFERROR($AA703/$AA702-1,"")</f>
        <v/>
      </c>
      <c r="DI702" s="57">
        <f>IFERROR($AB703/$AB702-1,"")</f>
        <v/>
      </c>
      <c r="DJ702" s="57">
        <f>IFERROR($AC703/$AC702-1,"")</f>
        <v/>
      </c>
      <c r="DK702" s="57">
        <f>IFERROR($AD703/$AD702-1,"")</f>
        <v/>
      </c>
      <c r="DL702" s="57">
        <f>IFERROR($AE703/$AE702-1,"")</f>
        <v/>
      </c>
      <c r="DM702" s="56">
        <f>$AZ702-$AZ703</f>
        <v/>
      </c>
      <c r="DN702" s="56">
        <f>$BA702-$BA703</f>
        <v/>
      </c>
      <c r="DO702" s="56">
        <f>$BB702-$BB703</f>
        <v/>
      </c>
      <c r="DP702" s="56">
        <f>$BC702-$BC703</f>
        <v/>
      </c>
      <c r="DQ702" s="56">
        <f>$BD702-$BD703</f>
        <v/>
      </c>
      <c r="DR702" s="56">
        <f>$BE702-$BE703</f>
        <v/>
      </c>
      <c r="DS702" s="56">
        <f>$BF702-$BF703</f>
        <v/>
      </c>
      <c r="DT702" s="56">
        <f>$BG702-$BG703</f>
        <v/>
      </c>
      <c r="DU702" s="56">
        <f>$BH702-$BH703</f>
        <v/>
      </c>
      <c r="DV702" s="56">
        <f>$BI702-$BI703</f>
        <v/>
      </c>
      <c r="DW702" s="56">
        <f>$BJ702-$BJ703</f>
        <v/>
      </c>
      <c r="DX702" s="56">
        <f>$BK702-$BK703</f>
        <v/>
      </c>
      <c r="DY702" s="56">
        <f>$BL702-$BL703</f>
        <v/>
      </c>
      <c r="DZ702" s="56">
        <f>$BM702-$BM703</f>
        <v/>
      </c>
      <c r="EA702" s="56">
        <f>$BN702-$BN703</f>
        <v/>
      </c>
      <c r="EB702" s="56">
        <f>$BO702-$BO703</f>
        <v/>
      </c>
      <c r="EC702" s="56">
        <f>$BP702-$BP703</f>
        <v/>
      </c>
      <c r="ED702" s="56">
        <f>$BQ702-$BQ703</f>
        <v/>
      </c>
      <c r="EE702" s="56">
        <f>$BR702-$BR703</f>
        <v/>
      </c>
      <c r="EF702" s="56">
        <f>$BS702-$BS703</f>
        <v/>
      </c>
      <c r="EG702" s="56">
        <f>$BT702-$BT703</f>
        <v/>
      </c>
      <c r="EH702" s="56">
        <f>$BU702-$BU703</f>
        <v/>
      </c>
    </row>
    <row r="703">
      <c r="BV703" s="56">
        <f>($D703-$D704)*100</f>
        <v/>
      </c>
      <c r="BW703" s="56">
        <f>($C703-$C704)*100</f>
        <v/>
      </c>
      <c r="BX703" s="57">
        <f>IFERROR($I703/$I704-1,"")</f>
        <v/>
      </c>
      <c r="BY703" s="56">
        <f>($AF703-$AF704)*100</f>
        <v/>
      </c>
      <c r="BZ703" s="56">
        <f>($AG703-$AG704)*100</f>
        <v/>
      </c>
      <c r="CA703" s="56">
        <f>($AH703-$AH704)*100</f>
        <v/>
      </c>
      <c r="CB703" s="56">
        <f>($AI703-$AI704)*100</f>
        <v/>
      </c>
      <c r="CC703" s="56">
        <f>($AJ703-$AJ704)*100</f>
        <v/>
      </c>
      <c r="CD703" s="56">
        <f>($AK703-$AK704)*100</f>
        <v/>
      </c>
      <c r="CE703" s="56">
        <f>($AL703-$AL704)*100</f>
        <v/>
      </c>
      <c r="CF703" s="56">
        <f>($AM703-$AM704)*100</f>
        <v/>
      </c>
      <c r="CG703" s="56">
        <f>($AN703-$AN704)*100</f>
        <v/>
      </c>
      <c r="CH703" s="56">
        <f>($AO703-$AO704)*100</f>
        <v/>
      </c>
      <c r="CI703" s="56">
        <f>($AP703-$AP704)*100</f>
        <v/>
      </c>
      <c r="CJ703" s="56">
        <f>($AQ703-$AQ704)*100</f>
        <v/>
      </c>
      <c r="CK703" s="56">
        <f>($AR703-$AR704)*100</f>
        <v/>
      </c>
      <c r="CL703" s="56">
        <f>($AS703-$AS704)*100</f>
        <v/>
      </c>
      <c r="CM703" s="56">
        <f>($AT703-$AT704)*100</f>
        <v/>
      </c>
      <c r="CN703" s="56">
        <f>($AU703-$AU704)*100</f>
        <v/>
      </c>
      <c r="CO703" s="56">
        <f>($AV703-$AV704)*100</f>
        <v/>
      </c>
      <c r="CP703" s="56">
        <f>($AW703-$AW704)*100</f>
        <v/>
      </c>
      <c r="CQ703" s="56">
        <f>($AX703-$AX704)*100</f>
        <v/>
      </c>
      <c r="CR703" s="56">
        <f>($AY703-$AY704)*100</f>
        <v/>
      </c>
      <c r="CS703" s="57">
        <f>IFERROR($L704/$L703-1,"")</f>
        <v/>
      </c>
      <c r="CT703" s="57">
        <f>IFERROR($M704/$M703-1,"")</f>
        <v/>
      </c>
      <c r="CU703" s="57">
        <f>IFERROR($N704/$N703-1,"")</f>
        <v/>
      </c>
      <c r="CV703" s="57">
        <f>IFERROR($O704/$O703-1,"")</f>
        <v/>
      </c>
      <c r="CW703" s="57">
        <f>IFERROR($P704/$P703-1,"")</f>
        <v/>
      </c>
      <c r="CX703" s="57">
        <f>IFERROR($Q704/$Q703-1,"")</f>
        <v/>
      </c>
      <c r="CY703" s="57">
        <f>IFERROR($R704/$R703-1,"")</f>
        <v/>
      </c>
      <c r="CZ703" s="57">
        <f>IFERROR($S704/$S703-1,"")</f>
        <v/>
      </c>
      <c r="DA703" s="57">
        <f>IFERROR($T704/$T703-1,"")</f>
        <v/>
      </c>
      <c r="DB703" s="57">
        <f>IFERROR($U704/$U703-1,"")</f>
        <v/>
      </c>
      <c r="DC703" s="57">
        <f>IFERROR($V704/$V703-1,"")</f>
        <v/>
      </c>
      <c r="DD703" s="57">
        <f>IFERROR($W704/$W703-1,"")</f>
        <v/>
      </c>
      <c r="DE703" s="57">
        <f>IFERROR($X704/$X703-1,"")</f>
        <v/>
      </c>
      <c r="DF703" s="57">
        <f>IFERROR($Y704/$Y703-1,"")</f>
        <v/>
      </c>
      <c r="DG703" s="57">
        <f>IFERROR($Z704/$Z703-1,"")</f>
        <v/>
      </c>
      <c r="DH703" s="57">
        <f>IFERROR($AA704/$AA703-1,"")</f>
        <v/>
      </c>
      <c r="DI703" s="57">
        <f>IFERROR($AB704/$AB703-1,"")</f>
        <v/>
      </c>
      <c r="DJ703" s="57">
        <f>IFERROR($AC704/$AC703-1,"")</f>
        <v/>
      </c>
      <c r="DK703" s="57">
        <f>IFERROR($AD704/$AD703-1,"")</f>
        <v/>
      </c>
      <c r="DL703" s="57">
        <f>IFERROR($AE704/$AE703-1,"")</f>
        <v/>
      </c>
      <c r="DM703" s="56">
        <f>$AZ703-$AZ704</f>
        <v/>
      </c>
      <c r="DN703" s="56">
        <f>$BA703-$BA704</f>
        <v/>
      </c>
      <c r="DO703" s="56">
        <f>$BB703-$BB704</f>
        <v/>
      </c>
      <c r="DP703" s="56">
        <f>$BC703-$BC704</f>
        <v/>
      </c>
      <c r="DQ703" s="56">
        <f>$BD703-$BD704</f>
        <v/>
      </c>
      <c r="DR703" s="56">
        <f>$BE703-$BE704</f>
        <v/>
      </c>
      <c r="DS703" s="56">
        <f>$BF703-$BF704</f>
        <v/>
      </c>
      <c r="DT703" s="56">
        <f>$BG703-$BG704</f>
        <v/>
      </c>
      <c r="DU703" s="56">
        <f>$BH703-$BH704</f>
        <v/>
      </c>
      <c r="DV703" s="56">
        <f>$BI703-$BI704</f>
        <v/>
      </c>
      <c r="DW703" s="56">
        <f>$BJ703-$BJ704</f>
        <v/>
      </c>
      <c r="DX703" s="56">
        <f>$BK703-$BK704</f>
        <v/>
      </c>
      <c r="DY703" s="56">
        <f>$BL703-$BL704</f>
        <v/>
      </c>
      <c r="DZ703" s="56">
        <f>$BM703-$BM704</f>
        <v/>
      </c>
      <c r="EA703" s="56">
        <f>$BN703-$BN704</f>
        <v/>
      </c>
      <c r="EB703" s="56">
        <f>$BO703-$BO704</f>
        <v/>
      </c>
      <c r="EC703" s="56">
        <f>$BP703-$BP704</f>
        <v/>
      </c>
      <c r="ED703" s="56">
        <f>$BQ703-$BQ704</f>
        <v/>
      </c>
      <c r="EE703" s="56">
        <f>$BR703-$BR704</f>
        <v/>
      </c>
      <c r="EF703" s="56">
        <f>$BS703-$BS704</f>
        <v/>
      </c>
      <c r="EG703" s="56">
        <f>$BT703-$BT704</f>
        <v/>
      </c>
      <c r="EH703" s="56">
        <f>$BU703-$BU704</f>
        <v/>
      </c>
    </row>
    <row r="704">
      <c r="BV704" s="56">
        <f>($D704-$D705)*100</f>
        <v/>
      </c>
      <c r="BW704" s="56">
        <f>($C704-$C705)*100</f>
        <v/>
      </c>
      <c r="BX704" s="57">
        <f>IFERROR($I704/$I705-1,"")</f>
        <v/>
      </c>
      <c r="BY704" s="56">
        <f>($AF704-$AF705)*100</f>
        <v/>
      </c>
      <c r="BZ704" s="56">
        <f>($AG704-$AG705)*100</f>
        <v/>
      </c>
      <c r="CA704" s="56">
        <f>($AH704-$AH705)*100</f>
        <v/>
      </c>
      <c r="CB704" s="56">
        <f>($AI704-$AI705)*100</f>
        <v/>
      </c>
      <c r="CC704" s="56">
        <f>($AJ704-$AJ705)*100</f>
        <v/>
      </c>
      <c r="CD704" s="56">
        <f>($AK704-$AK705)*100</f>
        <v/>
      </c>
      <c r="CE704" s="56">
        <f>($AL704-$AL705)*100</f>
        <v/>
      </c>
      <c r="CF704" s="56">
        <f>($AM704-$AM705)*100</f>
        <v/>
      </c>
      <c r="CG704" s="56">
        <f>($AN704-$AN705)*100</f>
        <v/>
      </c>
      <c r="CH704" s="56">
        <f>($AO704-$AO705)*100</f>
        <v/>
      </c>
      <c r="CI704" s="56">
        <f>($AP704-$AP705)*100</f>
        <v/>
      </c>
      <c r="CJ704" s="56">
        <f>($AQ704-$AQ705)*100</f>
        <v/>
      </c>
      <c r="CK704" s="56">
        <f>($AR704-$AR705)*100</f>
        <v/>
      </c>
      <c r="CL704" s="56">
        <f>($AS704-$AS705)*100</f>
        <v/>
      </c>
      <c r="CM704" s="56">
        <f>($AT704-$AT705)*100</f>
        <v/>
      </c>
      <c r="CN704" s="56">
        <f>($AU704-$AU705)*100</f>
        <v/>
      </c>
      <c r="CO704" s="56">
        <f>($AV704-$AV705)*100</f>
        <v/>
      </c>
      <c r="CP704" s="56">
        <f>($AW704-$AW705)*100</f>
        <v/>
      </c>
      <c r="CQ704" s="56">
        <f>($AX704-$AX705)*100</f>
        <v/>
      </c>
      <c r="CR704" s="56">
        <f>($AY704-$AY705)*100</f>
        <v/>
      </c>
      <c r="CS704" s="57">
        <f>IFERROR($L705/$L704-1,"")</f>
        <v/>
      </c>
      <c r="CT704" s="57">
        <f>IFERROR($M705/$M704-1,"")</f>
        <v/>
      </c>
      <c r="CU704" s="57">
        <f>IFERROR($N705/$N704-1,"")</f>
        <v/>
      </c>
      <c r="CV704" s="57">
        <f>IFERROR($O705/$O704-1,"")</f>
        <v/>
      </c>
      <c r="CW704" s="57">
        <f>IFERROR($P705/$P704-1,"")</f>
        <v/>
      </c>
      <c r="CX704" s="57">
        <f>IFERROR($Q705/$Q704-1,"")</f>
        <v/>
      </c>
      <c r="CY704" s="57">
        <f>IFERROR($R705/$R704-1,"")</f>
        <v/>
      </c>
      <c r="CZ704" s="57">
        <f>IFERROR($S705/$S704-1,"")</f>
        <v/>
      </c>
      <c r="DA704" s="57">
        <f>IFERROR($T705/$T704-1,"")</f>
        <v/>
      </c>
      <c r="DB704" s="57">
        <f>IFERROR($U705/$U704-1,"")</f>
        <v/>
      </c>
      <c r="DC704" s="57">
        <f>IFERROR($V705/$V704-1,"")</f>
        <v/>
      </c>
      <c r="DD704" s="57">
        <f>IFERROR($W705/$W704-1,"")</f>
        <v/>
      </c>
      <c r="DE704" s="57">
        <f>IFERROR($X705/$X704-1,"")</f>
        <v/>
      </c>
      <c r="DF704" s="57">
        <f>IFERROR($Y705/$Y704-1,"")</f>
        <v/>
      </c>
      <c r="DG704" s="57">
        <f>IFERROR($Z705/$Z704-1,"")</f>
        <v/>
      </c>
      <c r="DH704" s="57">
        <f>IFERROR($AA705/$AA704-1,"")</f>
        <v/>
      </c>
      <c r="DI704" s="57">
        <f>IFERROR($AB705/$AB704-1,"")</f>
        <v/>
      </c>
      <c r="DJ704" s="57">
        <f>IFERROR($AC705/$AC704-1,"")</f>
        <v/>
      </c>
      <c r="DK704" s="57">
        <f>IFERROR($AD705/$AD704-1,"")</f>
        <v/>
      </c>
      <c r="DL704" s="57">
        <f>IFERROR($AE705/$AE704-1,"")</f>
        <v/>
      </c>
      <c r="DM704" s="56">
        <f>$AZ704-$AZ705</f>
        <v/>
      </c>
      <c r="DN704" s="56">
        <f>$BA704-$BA705</f>
        <v/>
      </c>
      <c r="DO704" s="56">
        <f>$BB704-$BB705</f>
        <v/>
      </c>
      <c r="DP704" s="56">
        <f>$BC704-$BC705</f>
        <v/>
      </c>
      <c r="DQ704" s="56">
        <f>$BD704-$BD705</f>
        <v/>
      </c>
      <c r="DR704" s="56">
        <f>$BE704-$BE705</f>
        <v/>
      </c>
      <c r="DS704" s="56">
        <f>$BF704-$BF705</f>
        <v/>
      </c>
      <c r="DT704" s="56">
        <f>$BG704-$BG705</f>
        <v/>
      </c>
      <c r="DU704" s="56">
        <f>$BH704-$BH705</f>
        <v/>
      </c>
      <c r="DV704" s="56">
        <f>$BI704-$BI705</f>
        <v/>
      </c>
      <c r="DW704" s="56">
        <f>$BJ704-$BJ705</f>
        <v/>
      </c>
      <c r="DX704" s="56">
        <f>$BK704-$BK705</f>
        <v/>
      </c>
      <c r="DY704" s="56">
        <f>$BL704-$BL705</f>
        <v/>
      </c>
      <c r="DZ704" s="56">
        <f>$BM704-$BM705</f>
        <v/>
      </c>
      <c r="EA704" s="56">
        <f>$BN704-$BN705</f>
        <v/>
      </c>
      <c r="EB704" s="56">
        <f>$BO704-$BO705</f>
        <v/>
      </c>
      <c r="EC704" s="56">
        <f>$BP704-$BP705</f>
        <v/>
      </c>
      <c r="ED704" s="56">
        <f>$BQ704-$BQ705</f>
        <v/>
      </c>
      <c r="EE704" s="56">
        <f>$BR704-$BR705</f>
        <v/>
      </c>
      <c r="EF704" s="56">
        <f>$BS704-$BS705</f>
        <v/>
      </c>
      <c r="EG704" s="56">
        <f>$BT704-$BT705</f>
        <v/>
      </c>
      <c r="EH704" s="56">
        <f>$BU704-$BU705</f>
        <v/>
      </c>
    </row>
    <row r="705">
      <c r="BV705" s="56">
        <f>($D705-$D706)*100</f>
        <v/>
      </c>
      <c r="BW705" s="56">
        <f>($C705-$C706)*100</f>
        <v/>
      </c>
      <c r="BX705" s="57">
        <f>IFERROR($I705/$I706-1,"")</f>
        <v/>
      </c>
      <c r="BY705" s="56">
        <f>($AF705-$AF706)*100</f>
        <v/>
      </c>
      <c r="BZ705" s="56">
        <f>($AG705-$AG706)*100</f>
        <v/>
      </c>
      <c r="CA705" s="56">
        <f>($AH705-$AH706)*100</f>
        <v/>
      </c>
      <c r="CB705" s="56">
        <f>($AI705-$AI706)*100</f>
        <v/>
      </c>
      <c r="CC705" s="56">
        <f>($AJ705-$AJ706)*100</f>
        <v/>
      </c>
      <c r="CD705" s="56">
        <f>($AK705-$AK706)*100</f>
        <v/>
      </c>
      <c r="CE705" s="56">
        <f>($AL705-$AL706)*100</f>
        <v/>
      </c>
      <c r="CF705" s="56">
        <f>($AM705-$AM706)*100</f>
        <v/>
      </c>
      <c r="CG705" s="56">
        <f>($AN705-$AN706)*100</f>
        <v/>
      </c>
      <c r="CH705" s="56">
        <f>($AO705-$AO706)*100</f>
        <v/>
      </c>
      <c r="CI705" s="56">
        <f>($AP705-$AP706)*100</f>
        <v/>
      </c>
      <c r="CJ705" s="56">
        <f>($AQ705-$AQ706)*100</f>
        <v/>
      </c>
      <c r="CK705" s="56">
        <f>($AR705-$AR706)*100</f>
        <v/>
      </c>
      <c r="CL705" s="56">
        <f>($AS705-$AS706)*100</f>
        <v/>
      </c>
      <c r="CM705" s="56">
        <f>($AT705-$AT706)*100</f>
        <v/>
      </c>
      <c r="CN705" s="56">
        <f>($AU705-$AU706)*100</f>
        <v/>
      </c>
      <c r="CO705" s="56">
        <f>($AV705-$AV706)*100</f>
        <v/>
      </c>
      <c r="CP705" s="56">
        <f>($AW705-$AW706)*100</f>
        <v/>
      </c>
      <c r="CQ705" s="56">
        <f>($AX705-$AX706)*100</f>
        <v/>
      </c>
      <c r="CR705" s="56">
        <f>($AY705-$AY706)*100</f>
        <v/>
      </c>
      <c r="CS705" s="57">
        <f>IFERROR($L706/$L705-1,"")</f>
        <v/>
      </c>
      <c r="CT705" s="57">
        <f>IFERROR($M706/$M705-1,"")</f>
        <v/>
      </c>
      <c r="CU705" s="57">
        <f>IFERROR($N706/$N705-1,"")</f>
        <v/>
      </c>
      <c r="CV705" s="57">
        <f>IFERROR($O706/$O705-1,"")</f>
        <v/>
      </c>
      <c r="CW705" s="57">
        <f>IFERROR($P706/$P705-1,"")</f>
        <v/>
      </c>
      <c r="CX705" s="57">
        <f>IFERROR($Q706/$Q705-1,"")</f>
        <v/>
      </c>
      <c r="CY705" s="57">
        <f>IFERROR($R706/$R705-1,"")</f>
        <v/>
      </c>
      <c r="CZ705" s="57">
        <f>IFERROR($S706/$S705-1,"")</f>
        <v/>
      </c>
      <c r="DA705" s="57">
        <f>IFERROR($T706/$T705-1,"")</f>
        <v/>
      </c>
      <c r="DB705" s="57">
        <f>IFERROR($U706/$U705-1,"")</f>
        <v/>
      </c>
      <c r="DC705" s="57">
        <f>IFERROR($V706/$V705-1,"")</f>
        <v/>
      </c>
      <c r="DD705" s="57">
        <f>IFERROR($W706/$W705-1,"")</f>
        <v/>
      </c>
      <c r="DE705" s="57">
        <f>IFERROR($X706/$X705-1,"")</f>
        <v/>
      </c>
      <c r="DF705" s="57">
        <f>IFERROR($Y706/$Y705-1,"")</f>
        <v/>
      </c>
      <c r="DG705" s="57">
        <f>IFERROR($Z706/$Z705-1,"")</f>
        <v/>
      </c>
      <c r="DH705" s="57">
        <f>IFERROR($AA706/$AA705-1,"")</f>
        <v/>
      </c>
      <c r="DI705" s="57">
        <f>IFERROR($AB706/$AB705-1,"")</f>
        <v/>
      </c>
      <c r="DJ705" s="57">
        <f>IFERROR($AC706/$AC705-1,"")</f>
        <v/>
      </c>
      <c r="DK705" s="57">
        <f>IFERROR($AD706/$AD705-1,"")</f>
        <v/>
      </c>
      <c r="DL705" s="57">
        <f>IFERROR($AE706/$AE705-1,"")</f>
        <v/>
      </c>
      <c r="DM705" s="56">
        <f>$AZ705-$AZ706</f>
        <v/>
      </c>
      <c r="DN705" s="56">
        <f>$BA705-$BA706</f>
        <v/>
      </c>
      <c r="DO705" s="56">
        <f>$BB705-$BB706</f>
        <v/>
      </c>
      <c r="DP705" s="56">
        <f>$BC705-$BC706</f>
        <v/>
      </c>
      <c r="DQ705" s="56">
        <f>$BD705-$BD706</f>
        <v/>
      </c>
      <c r="DR705" s="56">
        <f>$BE705-$BE706</f>
        <v/>
      </c>
      <c r="DS705" s="56">
        <f>$BF705-$BF706</f>
        <v/>
      </c>
      <c r="DT705" s="56">
        <f>$BG705-$BG706</f>
        <v/>
      </c>
      <c r="DU705" s="56">
        <f>$BH705-$BH706</f>
        <v/>
      </c>
      <c r="DV705" s="56">
        <f>$BI705-$BI706</f>
        <v/>
      </c>
      <c r="DW705" s="56">
        <f>$BJ705-$BJ706</f>
        <v/>
      </c>
      <c r="DX705" s="56">
        <f>$BK705-$BK706</f>
        <v/>
      </c>
      <c r="DY705" s="56">
        <f>$BL705-$BL706</f>
        <v/>
      </c>
      <c r="DZ705" s="56">
        <f>$BM705-$BM706</f>
        <v/>
      </c>
      <c r="EA705" s="56">
        <f>$BN705-$BN706</f>
        <v/>
      </c>
      <c r="EB705" s="56">
        <f>$BO705-$BO706</f>
        <v/>
      </c>
      <c r="EC705" s="56">
        <f>$BP705-$BP706</f>
        <v/>
      </c>
      <c r="ED705" s="56">
        <f>$BQ705-$BQ706</f>
        <v/>
      </c>
      <c r="EE705" s="56">
        <f>$BR705-$BR706</f>
        <v/>
      </c>
      <c r="EF705" s="56">
        <f>$BS705-$BS706</f>
        <v/>
      </c>
      <c r="EG705" s="56">
        <f>$BT705-$BT706</f>
        <v/>
      </c>
      <c r="EH705" s="56">
        <f>$BU705-$BU706</f>
        <v/>
      </c>
    </row>
    <row r="706">
      <c r="BV706" s="56">
        <f>($D706-$D707)*100</f>
        <v/>
      </c>
      <c r="BW706" s="56">
        <f>($C706-$C707)*100</f>
        <v/>
      </c>
      <c r="BX706" s="57">
        <f>IFERROR($I706/$I707-1,"")</f>
        <v/>
      </c>
      <c r="BY706" s="56">
        <f>($AF706-$AF707)*100</f>
        <v/>
      </c>
      <c r="BZ706" s="56">
        <f>($AG706-$AG707)*100</f>
        <v/>
      </c>
      <c r="CA706" s="56">
        <f>($AH706-$AH707)*100</f>
        <v/>
      </c>
      <c r="CB706" s="56">
        <f>($AI706-$AI707)*100</f>
        <v/>
      </c>
      <c r="CC706" s="56">
        <f>($AJ706-$AJ707)*100</f>
        <v/>
      </c>
      <c r="CD706" s="56">
        <f>($AK706-$AK707)*100</f>
        <v/>
      </c>
      <c r="CE706" s="56">
        <f>($AL706-$AL707)*100</f>
        <v/>
      </c>
      <c r="CF706" s="56">
        <f>($AM706-$AM707)*100</f>
        <v/>
      </c>
      <c r="CG706" s="56">
        <f>($AN706-$AN707)*100</f>
        <v/>
      </c>
      <c r="CH706" s="56">
        <f>($AO706-$AO707)*100</f>
        <v/>
      </c>
      <c r="CI706" s="56">
        <f>($AP706-$AP707)*100</f>
        <v/>
      </c>
      <c r="CJ706" s="56">
        <f>($AQ706-$AQ707)*100</f>
        <v/>
      </c>
      <c r="CK706" s="56">
        <f>($AR706-$AR707)*100</f>
        <v/>
      </c>
      <c r="CL706" s="56">
        <f>($AS706-$AS707)*100</f>
        <v/>
      </c>
      <c r="CM706" s="56">
        <f>($AT706-$AT707)*100</f>
        <v/>
      </c>
      <c r="CN706" s="56">
        <f>($AU706-$AU707)*100</f>
        <v/>
      </c>
      <c r="CO706" s="56">
        <f>($AV706-$AV707)*100</f>
        <v/>
      </c>
      <c r="CP706" s="56">
        <f>($AW706-$AW707)*100</f>
        <v/>
      </c>
      <c r="CQ706" s="56">
        <f>($AX706-$AX707)*100</f>
        <v/>
      </c>
      <c r="CR706" s="56">
        <f>($AY706-$AY707)*100</f>
        <v/>
      </c>
      <c r="CS706" s="57">
        <f>IFERROR($L707/$L706-1,"")</f>
        <v/>
      </c>
      <c r="CT706" s="57">
        <f>IFERROR($M707/$M706-1,"")</f>
        <v/>
      </c>
      <c r="CU706" s="57">
        <f>IFERROR($N707/$N706-1,"")</f>
        <v/>
      </c>
      <c r="CV706" s="57">
        <f>IFERROR($O707/$O706-1,"")</f>
        <v/>
      </c>
      <c r="CW706" s="57">
        <f>IFERROR($P707/$P706-1,"")</f>
        <v/>
      </c>
      <c r="CX706" s="57">
        <f>IFERROR($Q707/$Q706-1,"")</f>
        <v/>
      </c>
      <c r="CY706" s="57">
        <f>IFERROR($R707/$R706-1,"")</f>
        <v/>
      </c>
      <c r="CZ706" s="57">
        <f>IFERROR($S707/$S706-1,"")</f>
        <v/>
      </c>
      <c r="DA706" s="57">
        <f>IFERROR($T707/$T706-1,"")</f>
        <v/>
      </c>
      <c r="DB706" s="57">
        <f>IFERROR($U707/$U706-1,"")</f>
        <v/>
      </c>
      <c r="DC706" s="57">
        <f>IFERROR($V707/$V706-1,"")</f>
        <v/>
      </c>
      <c r="DD706" s="57">
        <f>IFERROR($W707/$W706-1,"")</f>
        <v/>
      </c>
      <c r="DE706" s="57">
        <f>IFERROR($X707/$X706-1,"")</f>
        <v/>
      </c>
      <c r="DF706" s="57">
        <f>IFERROR($Y707/$Y706-1,"")</f>
        <v/>
      </c>
      <c r="DG706" s="57">
        <f>IFERROR($Z707/$Z706-1,"")</f>
        <v/>
      </c>
      <c r="DH706" s="57">
        <f>IFERROR($AA707/$AA706-1,"")</f>
        <v/>
      </c>
      <c r="DI706" s="57">
        <f>IFERROR($AB707/$AB706-1,"")</f>
        <v/>
      </c>
      <c r="DJ706" s="57">
        <f>IFERROR($AC707/$AC706-1,"")</f>
        <v/>
      </c>
      <c r="DK706" s="57">
        <f>IFERROR($AD707/$AD706-1,"")</f>
        <v/>
      </c>
      <c r="DL706" s="57">
        <f>IFERROR($AE707/$AE706-1,"")</f>
        <v/>
      </c>
      <c r="DM706" s="56">
        <f>$AZ706-$AZ707</f>
        <v/>
      </c>
      <c r="DN706" s="56">
        <f>$BA706-$BA707</f>
        <v/>
      </c>
      <c r="DO706" s="56">
        <f>$BB706-$BB707</f>
        <v/>
      </c>
      <c r="DP706" s="56">
        <f>$BC706-$BC707</f>
        <v/>
      </c>
      <c r="DQ706" s="56">
        <f>$BD706-$BD707</f>
        <v/>
      </c>
      <c r="DR706" s="56">
        <f>$BE706-$BE707</f>
        <v/>
      </c>
      <c r="DS706" s="56">
        <f>$BF706-$BF707</f>
        <v/>
      </c>
      <c r="DT706" s="56">
        <f>$BG706-$BG707</f>
        <v/>
      </c>
      <c r="DU706" s="56">
        <f>$BH706-$BH707</f>
        <v/>
      </c>
      <c r="DV706" s="56">
        <f>$BI706-$BI707</f>
        <v/>
      </c>
      <c r="DW706" s="56">
        <f>$BJ706-$BJ707</f>
        <v/>
      </c>
      <c r="DX706" s="56">
        <f>$BK706-$BK707</f>
        <v/>
      </c>
      <c r="DY706" s="56">
        <f>$BL706-$BL707</f>
        <v/>
      </c>
      <c r="DZ706" s="56">
        <f>$BM706-$BM707</f>
        <v/>
      </c>
      <c r="EA706" s="56">
        <f>$BN706-$BN707</f>
        <v/>
      </c>
      <c r="EB706" s="56">
        <f>$BO706-$BO707</f>
        <v/>
      </c>
      <c r="EC706" s="56">
        <f>$BP706-$BP707</f>
        <v/>
      </c>
      <c r="ED706" s="56">
        <f>$BQ706-$BQ707</f>
        <v/>
      </c>
      <c r="EE706" s="56">
        <f>$BR706-$BR707</f>
        <v/>
      </c>
      <c r="EF706" s="56">
        <f>$BS706-$BS707</f>
        <v/>
      </c>
      <c r="EG706" s="56">
        <f>$BT706-$BT707</f>
        <v/>
      </c>
      <c r="EH706" s="56">
        <f>$BU706-$BU707</f>
        <v/>
      </c>
    </row>
    <row r="707">
      <c r="BV707" s="56">
        <f>($D707-$D708)*100</f>
        <v/>
      </c>
      <c r="BW707" s="56">
        <f>($C707-$C708)*100</f>
        <v/>
      </c>
      <c r="BX707" s="57">
        <f>IFERROR($I707/$I708-1,"")</f>
        <v/>
      </c>
      <c r="BY707" s="56">
        <f>($AF707-$AF708)*100</f>
        <v/>
      </c>
      <c r="BZ707" s="56">
        <f>($AG707-$AG708)*100</f>
        <v/>
      </c>
      <c r="CA707" s="56">
        <f>($AH707-$AH708)*100</f>
        <v/>
      </c>
      <c r="CB707" s="56">
        <f>($AI707-$AI708)*100</f>
        <v/>
      </c>
      <c r="CC707" s="56">
        <f>($AJ707-$AJ708)*100</f>
        <v/>
      </c>
      <c r="CD707" s="56">
        <f>($AK707-$AK708)*100</f>
        <v/>
      </c>
      <c r="CE707" s="56">
        <f>($AL707-$AL708)*100</f>
        <v/>
      </c>
      <c r="CF707" s="56">
        <f>($AM707-$AM708)*100</f>
        <v/>
      </c>
      <c r="CG707" s="56">
        <f>($AN707-$AN708)*100</f>
        <v/>
      </c>
      <c r="CH707" s="56">
        <f>($AO707-$AO708)*100</f>
        <v/>
      </c>
      <c r="CI707" s="56">
        <f>($AP707-$AP708)*100</f>
        <v/>
      </c>
      <c r="CJ707" s="56">
        <f>($AQ707-$AQ708)*100</f>
        <v/>
      </c>
      <c r="CK707" s="56">
        <f>($AR707-$AR708)*100</f>
        <v/>
      </c>
      <c r="CL707" s="56">
        <f>($AS707-$AS708)*100</f>
        <v/>
      </c>
      <c r="CM707" s="56">
        <f>($AT707-$AT708)*100</f>
        <v/>
      </c>
      <c r="CN707" s="56">
        <f>($AU707-$AU708)*100</f>
        <v/>
      </c>
      <c r="CO707" s="56">
        <f>($AV707-$AV708)*100</f>
        <v/>
      </c>
      <c r="CP707" s="56">
        <f>($AW707-$AW708)*100</f>
        <v/>
      </c>
      <c r="CQ707" s="56">
        <f>($AX707-$AX708)*100</f>
        <v/>
      </c>
      <c r="CR707" s="56">
        <f>($AY707-$AY708)*100</f>
        <v/>
      </c>
      <c r="CS707" s="57">
        <f>IFERROR($L708/$L707-1,"")</f>
        <v/>
      </c>
      <c r="CT707" s="57">
        <f>IFERROR($M708/$M707-1,"")</f>
        <v/>
      </c>
      <c r="CU707" s="57">
        <f>IFERROR($N708/$N707-1,"")</f>
        <v/>
      </c>
      <c r="CV707" s="57">
        <f>IFERROR($O708/$O707-1,"")</f>
        <v/>
      </c>
      <c r="CW707" s="57">
        <f>IFERROR($P708/$P707-1,"")</f>
        <v/>
      </c>
      <c r="CX707" s="57">
        <f>IFERROR($Q708/$Q707-1,"")</f>
        <v/>
      </c>
      <c r="CY707" s="57">
        <f>IFERROR($R708/$R707-1,"")</f>
        <v/>
      </c>
      <c r="CZ707" s="57">
        <f>IFERROR($S708/$S707-1,"")</f>
        <v/>
      </c>
      <c r="DA707" s="57">
        <f>IFERROR($T708/$T707-1,"")</f>
        <v/>
      </c>
      <c r="DB707" s="57">
        <f>IFERROR($U708/$U707-1,"")</f>
        <v/>
      </c>
      <c r="DC707" s="57">
        <f>IFERROR($V708/$V707-1,"")</f>
        <v/>
      </c>
      <c r="DD707" s="57">
        <f>IFERROR($W708/$W707-1,"")</f>
        <v/>
      </c>
      <c r="DE707" s="57">
        <f>IFERROR($X708/$X707-1,"")</f>
        <v/>
      </c>
      <c r="DF707" s="57">
        <f>IFERROR($Y708/$Y707-1,"")</f>
        <v/>
      </c>
      <c r="DG707" s="57">
        <f>IFERROR($Z708/$Z707-1,"")</f>
        <v/>
      </c>
      <c r="DH707" s="57">
        <f>IFERROR($AA708/$AA707-1,"")</f>
        <v/>
      </c>
      <c r="DI707" s="57">
        <f>IFERROR($AB708/$AB707-1,"")</f>
        <v/>
      </c>
      <c r="DJ707" s="57">
        <f>IFERROR($AC708/$AC707-1,"")</f>
        <v/>
      </c>
      <c r="DK707" s="57">
        <f>IFERROR($AD708/$AD707-1,"")</f>
        <v/>
      </c>
      <c r="DL707" s="57">
        <f>IFERROR($AE708/$AE707-1,"")</f>
        <v/>
      </c>
      <c r="DM707" s="56">
        <f>$AZ707-$AZ708</f>
        <v/>
      </c>
      <c r="DN707" s="56">
        <f>$BA707-$BA708</f>
        <v/>
      </c>
      <c r="DO707" s="56">
        <f>$BB707-$BB708</f>
        <v/>
      </c>
      <c r="DP707" s="56">
        <f>$BC707-$BC708</f>
        <v/>
      </c>
      <c r="DQ707" s="56">
        <f>$BD707-$BD708</f>
        <v/>
      </c>
      <c r="DR707" s="56">
        <f>$BE707-$BE708</f>
        <v/>
      </c>
      <c r="DS707" s="56">
        <f>$BF707-$BF708</f>
        <v/>
      </c>
      <c r="DT707" s="56">
        <f>$BG707-$BG708</f>
        <v/>
      </c>
      <c r="DU707" s="56">
        <f>$BH707-$BH708</f>
        <v/>
      </c>
      <c r="DV707" s="56">
        <f>$BI707-$BI708</f>
        <v/>
      </c>
      <c r="DW707" s="56">
        <f>$BJ707-$BJ708</f>
        <v/>
      </c>
      <c r="DX707" s="56">
        <f>$BK707-$BK708</f>
        <v/>
      </c>
      <c r="DY707" s="56">
        <f>$BL707-$BL708</f>
        <v/>
      </c>
      <c r="DZ707" s="56">
        <f>$BM707-$BM708</f>
        <v/>
      </c>
      <c r="EA707" s="56">
        <f>$BN707-$BN708</f>
        <v/>
      </c>
      <c r="EB707" s="56">
        <f>$BO707-$BO708</f>
        <v/>
      </c>
      <c r="EC707" s="56">
        <f>$BP707-$BP708</f>
        <v/>
      </c>
      <c r="ED707" s="56">
        <f>$BQ707-$BQ708</f>
        <v/>
      </c>
      <c r="EE707" s="56">
        <f>$BR707-$BR708</f>
        <v/>
      </c>
      <c r="EF707" s="56">
        <f>$BS707-$BS708</f>
        <v/>
      </c>
      <c r="EG707" s="56">
        <f>$BT707-$BT708</f>
        <v/>
      </c>
      <c r="EH707" s="56">
        <f>$BU707-$BU708</f>
        <v/>
      </c>
    </row>
    <row r="708">
      <c r="BV708" s="56">
        <f>($D708-$D709)*100</f>
        <v/>
      </c>
      <c r="BW708" s="56">
        <f>($C708-$C709)*100</f>
        <v/>
      </c>
      <c r="BX708" s="57">
        <f>IFERROR($I708/$I709-1,"")</f>
        <v/>
      </c>
      <c r="BY708" s="56">
        <f>($AF708-$AF709)*100</f>
        <v/>
      </c>
      <c r="BZ708" s="56">
        <f>($AG708-$AG709)*100</f>
        <v/>
      </c>
      <c r="CA708" s="56">
        <f>($AH708-$AH709)*100</f>
        <v/>
      </c>
      <c r="CB708" s="56">
        <f>($AI708-$AI709)*100</f>
        <v/>
      </c>
      <c r="CC708" s="56">
        <f>($AJ708-$AJ709)*100</f>
        <v/>
      </c>
      <c r="CD708" s="56">
        <f>($AK708-$AK709)*100</f>
        <v/>
      </c>
      <c r="CE708" s="56">
        <f>($AL708-$AL709)*100</f>
        <v/>
      </c>
      <c r="CF708" s="56">
        <f>($AM708-$AM709)*100</f>
        <v/>
      </c>
      <c r="CG708" s="56">
        <f>($AN708-$AN709)*100</f>
        <v/>
      </c>
      <c r="CH708" s="56">
        <f>($AO708-$AO709)*100</f>
        <v/>
      </c>
      <c r="CI708" s="56">
        <f>($AP708-$AP709)*100</f>
        <v/>
      </c>
      <c r="CJ708" s="56">
        <f>($AQ708-$AQ709)*100</f>
        <v/>
      </c>
      <c r="CK708" s="56">
        <f>($AR708-$AR709)*100</f>
        <v/>
      </c>
      <c r="CL708" s="56">
        <f>($AS708-$AS709)*100</f>
        <v/>
      </c>
      <c r="CM708" s="56">
        <f>($AT708-$AT709)*100</f>
        <v/>
      </c>
      <c r="CN708" s="56">
        <f>($AU708-$AU709)*100</f>
        <v/>
      </c>
      <c r="CO708" s="56">
        <f>($AV708-$AV709)*100</f>
        <v/>
      </c>
      <c r="CP708" s="56">
        <f>($AW708-$AW709)*100</f>
        <v/>
      </c>
      <c r="CQ708" s="56">
        <f>($AX708-$AX709)*100</f>
        <v/>
      </c>
      <c r="CR708" s="56">
        <f>($AY708-$AY709)*100</f>
        <v/>
      </c>
      <c r="CS708" s="57">
        <f>IFERROR($L709/$L708-1,"")</f>
        <v/>
      </c>
      <c r="CT708" s="57">
        <f>IFERROR($M709/$M708-1,"")</f>
        <v/>
      </c>
      <c r="CU708" s="57">
        <f>IFERROR($N709/$N708-1,"")</f>
        <v/>
      </c>
      <c r="CV708" s="57">
        <f>IFERROR($O709/$O708-1,"")</f>
        <v/>
      </c>
      <c r="CW708" s="57">
        <f>IFERROR($P709/$P708-1,"")</f>
        <v/>
      </c>
      <c r="CX708" s="57">
        <f>IFERROR($Q709/$Q708-1,"")</f>
        <v/>
      </c>
      <c r="CY708" s="57">
        <f>IFERROR($R709/$R708-1,"")</f>
        <v/>
      </c>
      <c r="CZ708" s="57">
        <f>IFERROR($S709/$S708-1,"")</f>
        <v/>
      </c>
      <c r="DA708" s="57">
        <f>IFERROR($T709/$T708-1,"")</f>
        <v/>
      </c>
      <c r="DB708" s="57">
        <f>IFERROR($U709/$U708-1,"")</f>
        <v/>
      </c>
      <c r="DC708" s="57">
        <f>IFERROR($V709/$V708-1,"")</f>
        <v/>
      </c>
      <c r="DD708" s="57">
        <f>IFERROR($W709/$W708-1,"")</f>
        <v/>
      </c>
      <c r="DE708" s="57">
        <f>IFERROR($X709/$X708-1,"")</f>
        <v/>
      </c>
      <c r="DF708" s="57">
        <f>IFERROR($Y709/$Y708-1,"")</f>
        <v/>
      </c>
      <c r="DG708" s="57">
        <f>IFERROR($Z709/$Z708-1,"")</f>
        <v/>
      </c>
      <c r="DH708" s="57">
        <f>IFERROR($AA709/$AA708-1,"")</f>
        <v/>
      </c>
      <c r="DI708" s="57">
        <f>IFERROR($AB709/$AB708-1,"")</f>
        <v/>
      </c>
      <c r="DJ708" s="57">
        <f>IFERROR($AC709/$AC708-1,"")</f>
        <v/>
      </c>
      <c r="DK708" s="57">
        <f>IFERROR($AD709/$AD708-1,"")</f>
        <v/>
      </c>
      <c r="DL708" s="57">
        <f>IFERROR($AE709/$AE708-1,"")</f>
        <v/>
      </c>
      <c r="DM708" s="56">
        <f>$AZ708-$AZ709</f>
        <v/>
      </c>
      <c r="DN708" s="56">
        <f>$BA708-$BA709</f>
        <v/>
      </c>
      <c r="DO708" s="56">
        <f>$BB708-$BB709</f>
        <v/>
      </c>
      <c r="DP708" s="56">
        <f>$BC708-$BC709</f>
        <v/>
      </c>
      <c r="DQ708" s="56">
        <f>$BD708-$BD709</f>
        <v/>
      </c>
      <c r="DR708" s="56">
        <f>$BE708-$BE709</f>
        <v/>
      </c>
      <c r="DS708" s="56">
        <f>$BF708-$BF709</f>
        <v/>
      </c>
      <c r="DT708" s="56">
        <f>$BG708-$BG709</f>
        <v/>
      </c>
      <c r="DU708" s="56">
        <f>$BH708-$BH709</f>
        <v/>
      </c>
      <c r="DV708" s="56">
        <f>$BI708-$BI709</f>
        <v/>
      </c>
      <c r="DW708" s="56">
        <f>$BJ708-$BJ709</f>
        <v/>
      </c>
      <c r="DX708" s="56">
        <f>$BK708-$BK709</f>
        <v/>
      </c>
      <c r="DY708" s="56">
        <f>$BL708-$BL709</f>
        <v/>
      </c>
      <c r="DZ708" s="56">
        <f>$BM708-$BM709</f>
        <v/>
      </c>
      <c r="EA708" s="56">
        <f>$BN708-$BN709</f>
        <v/>
      </c>
      <c r="EB708" s="56">
        <f>$BO708-$BO709</f>
        <v/>
      </c>
      <c r="EC708" s="56">
        <f>$BP708-$BP709</f>
        <v/>
      </c>
      <c r="ED708" s="56">
        <f>$BQ708-$BQ709</f>
        <v/>
      </c>
      <c r="EE708" s="56">
        <f>$BR708-$BR709</f>
        <v/>
      </c>
      <c r="EF708" s="56">
        <f>$BS708-$BS709</f>
        <v/>
      </c>
      <c r="EG708" s="56">
        <f>$BT708-$BT709</f>
        <v/>
      </c>
      <c r="EH708" s="56">
        <f>$BU708-$BU709</f>
        <v/>
      </c>
    </row>
    <row r="709">
      <c r="BV709" s="56">
        <f>($D709-$D710)*100</f>
        <v/>
      </c>
      <c r="BW709" s="56">
        <f>($C709-$C710)*100</f>
        <v/>
      </c>
      <c r="BX709" s="57">
        <f>IFERROR($I709/$I710-1,"")</f>
        <v/>
      </c>
      <c r="BY709" s="56">
        <f>($AF709-$AF710)*100</f>
        <v/>
      </c>
      <c r="BZ709" s="56">
        <f>($AG709-$AG710)*100</f>
        <v/>
      </c>
      <c r="CA709" s="56">
        <f>($AH709-$AH710)*100</f>
        <v/>
      </c>
      <c r="CB709" s="56">
        <f>($AI709-$AI710)*100</f>
        <v/>
      </c>
      <c r="CC709" s="56">
        <f>($AJ709-$AJ710)*100</f>
        <v/>
      </c>
      <c r="CD709" s="56">
        <f>($AK709-$AK710)*100</f>
        <v/>
      </c>
      <c r="CE709" s="56">
        <f>($AL709-$AL710)*100</f>
        <v/>
      </c>
      <c r="CF709" s="56">
        <f>($AM709-$AM710)*100</f>
        <v/>
      </c>
      <c r="CG709" s="56">
        <f>($AN709-$AN710)*100</f>
        <v/>
      </c>
      <c r="CH709" s="56">
        <f>($AO709-$AO710)*100</f>
        <v/>
      </c>
      <c r="CI709" s="56">
        <f>($AP709-$AP710)*100</f>
        <v/>
      </c>
      <c r="CJ709" s="56">
        <f>($AQ709-$AQ710)*100</f>
        <v/>
      </c>
      <c r="CK709" s="56">
        <f>($AR709-$AR710)*100</f>
        <v/>
      </c>
      <c r="CL709" s="56">
        <f>($AS709-$AS710)*100</f>
        <v/>
      </c>
      <c r="CM709" s="56">
        <f>($AT709-$AT710)*100</f>
        <v/>
      </c>
      <c r="CN709" s="56">
        <f>($AU709-$AU710)*100</f>
        <v/>
      </c>
      <c r="CO709" s="56">
        <f>($AV709-$AV710)*100</f>
        <v/>
      </c>
      <c r="CP709" s="56">
        <f>($AW709-$AW710)*100</f>
        <v/>
      </c>
      <c r="CQ709" s="56">
        <f>($AX709-$AX710)*100</f>
        <v/>
      </c>
      <c r="CR709" s="56">
        <f>($AY709-$AY710)*100</f>
        <v/>
      </c>
      <c r="CS709" s="57">
        <f>IFERROR($L710/$L709-1,"")</f>
        <v/>
      </c>
      <c r="CT709" s="57">
        <f>IFERROR($M710/$M709-1,"")</f>
        <v/>
      </c>
      <c r="CU709" s="57">
        <f>IFERROR($N710/$N709-1,"")</f>
        <v/>
      </c>
      <c r="CV709" s="57">
        <f>IFERROR($O710/$O709-1,"")</f>
        <v/>
      </c>
      <c r="CW709" s="57">
        <f>IFERROR($P710/$P709-1,"")</f>
        <v/>
      </c>
      <c r="CX709" s="57">
        <f>IFERROR($Q710/$Q709-1,"")</f>
        <v/>
      </c>
      <c r="CY709" s="57">
        <f>IFERROR($R710/$R709-1,"")</f>
        <v/>
      </c>
      <c r="CZ709" s="57">
        <f>IFERROR($S710/$S709-1,"")</f>
        <v/>
      </c>
      <c r="DA709" s="57">
        <f>IFERROR($T710/$T709-1,"")</f>
        <v/>
      </c>
      <c r="DB709" s="57">
        <f>IFERROR($U710/$U709-1,"")</f>
        <v/>
      </c>
      <c r="DC709" s="57">
        <f>IFERROR($V710/$V709-1,"")</f>
        <v/>
      </c>
      <c r="DD709" s="57">
        <f>IFERROR($W710/$W709-1,"")</f>
        <v/>
      </c>
      <c r="DE709" s="57">
        <f>IFERROR($X710/$X709-1,"")</f>
        <v/>
      </c>
      <c r="DF709" s="57">
        <f>IFERROR($Y710/$Y709-1,"")</f>
        <v/>
      </c>
      <c r="DG709" s="57">
        <f>IFERROR($Z710/$Z709-1,"")</f>
        <v/>
      </c>
      <c r="DH709" s="57">
        <f>IFERROR($AA710/$AA709-1,"")</f>
        <v/>
      </c>
      <c r="DI709" s="57">
        <f>IFERROR($AB710/$AB709-1,"")</f>
        <v/>
      </c>
      <c r="DJ709" s="57">
        <f>IFERROR($AC710/$AC709-1,"")</f>
        <v/>
      </c>
      <c r="DK709" s="57">
        <f>IFERROR($AD710/$AD709-1,"")</f>
        <v/>
      </c>
      <c r="DL709" s="57">
        <f>IFERROR($AE710/$AE709-1,"")</f>
        <v/>
      </c>
      <c r="DM709" s="56">
        <f>$AZ709-$AZ710</f>
        <v/>
      </c>
      <c r="DN709" s="56">
        <f>$BA709-$BA710</f>
        <v/>
      </c>
      <c r="DO709" s="56">
        <f>$BB709-$BB710</f>
        <v/>
      </c>
      <c r="DP709" s="56">
        <f>$BC709-$BC710</f>
        <v/>
      </c>
      <c r="DQ709" s="56">
        <f>$BD709-$BD710</f>
        <v/>
      </c>
      <c r="DR709" s="56">
        <f>$BE709-$BE710</f>
        <v/>
      </c>
      <c r="DS709" s="56">
        <f>$BF709-$BF710</f>
        <v/>
      </c>
      <c r="DT709" s="56">
        <f>$BG709-$BG710</f>
        <v/>
      </c>
      <c r="DU709" s="56">
        <f>$BH709-$BH710</f>
        <v/>
      </c>
      <c r="DV709" s="56">
        <f>$BI709-$BI710</f>
        <v/>
      </c>
      <c r="DW709" s="56">
        <f>$BJ709-$BJ710</f>
        <v/>
      </c>
      <c r="DX709" s="56">
        <f>$BK709-$BK710</f>
        <v/>
      </c>
      <c r="DY709" s="56">
        <f>$BL709-$BL710</f>
        <v/>
      </c>
      <c r="DZ709" s="56">
        <f>$BM709-$BM710</f>
        <v/>
      </c>
      <c r="EA709" s="56">
        <f>$BN709-$BN710</f>
        <v/>
      </c>
      <c r="EB709" s="56">
        <f>$BO709-$BO710</f>
        <v/>
      </c>
      <c r="EC709" s="56">
        <f>$BP709-$BP710</f>
        <v/>
      </c>
      <c r="ED709" s="56">
        <f>$BQ709-$BQ710</f>
        <v/>
      </c>
      <c r="EE709" s="56">
        <f>$BR709-$BR710</f>
        <v/>
      </c>
      <c r="EF709" s="56">
        <f>$BS709-$BS710</f>
        <v/>
      </c>
      <c r="EG709" s="56">
        <f>$BT709-$BT710</f>
        <v/>
      </c>
      <c r="EH709" s="56">
        <f>$BU709-$BU710</f>
        <v/>
      </c>
    </row>
    <row r="710">
      <c r="BV710" s="56">
        <f>($D710-$D711)*100</f>
        <v/>
      </c>
      <c r="BW710" s="56">
        <f>($C710-$C711)*100</f>
        <v/>
      </c>
      <c r="BX710" s="57">
        <f>IFERROR($I710/$I711-1,"")</f>
        <v/>
      </c>
      <c r="BY710" s="56">
        <f>($AF710-$AF711)*100</f>
        <v/>
      </c>
      <c r="BZ710" s="56">
        <f>($AG710-$AG711)*100</f>
        <v/>
      </c>
      <c r="CA710" s="56">
        <f>($AH710-$AH711)*100</f>
        <v/>
      </c>
      <c r="CB710" s="56">
        <f>($AI710-$AI711)*100</f>
        <v/>
      </c>
      <c r="CC710" s="56">
        <f>($AJ710-$AJ711)*100</f>
        <v/>
      </c>
      <c r="CD710" s="56">
        <f>($AK710-$AK711)*100</f>
        <v/>
      </c>
      <c r="CE710" s="56">
        <f>($AL710-$AL711)*100</f>
        <v/>
      </c>
      <c r="CF710" s="56">
        <f>($AM710-$AM711)*100</f>
        <v/>
      </c>
      <c r="CG710" s="56">
        <f>($AN710-$AN711)*100</f>
        <v/>
      </c>
      <c r="CH710" s="56">
        <f>($AO710-$AO711)*100</f>
        <v/>
      </c>
      <c r="CI710" s="56">
        <f>($AP710-$AP711)*100</f>
        <v/>
      </c>
      <c r="CJ710" s="56">
        <f>($AQ710-$AQ711)*100</f>
        <v/>
      </c>
      <c r="CK710" s="56">
        <f>($AR710-$AR711)*100</f>
        <v/>
      </c>
      <c r="CL710" s="56">
        <f>($AS710-$AS711)*100</f>
        <v/>
      </c>
      <c r="CM710" s="56">
        <f>($AT710-$AT711)*100</f>
        <v/>
      </c>
      <c r="CN710" s="56">
        <f>($AU710-$AU711)*100</f>
        <v/>
      </c>
      <c r="CO710" s="56">
        <f>($AV710-$AV711)*100</f>
        <v/>
      </c>
      <c r="CP710" s="56">
        <f>($AW710-$AW711)*100</f>
        <v/>
      </c>
      <c r="CQ710" s="56">
        <f>($AX710-$AX711)*100</f>
        <v/>
      </c>
      <c r="CR710" s="56">
        <f>($AY710-$AY711)*100</f>
        <v/>
      </c>
      <c r="CS710" s="57">
        <f>IFERROR($L711/$L710-1,"")</f>
        <v/>
      </c>
      <c r="CT710" s="57">
        <f>IFERROR($M711/$M710-1,"")</f>
        <v/>
      </c>
      <c r="CU710" s="57">
        <f>IFERROR($N711/$N710-1,"")</f>
        <v/>
      </c>
      <c r="CV710" s="57">
        <f>IFERROR($O711/$O710-1,"")</f>
        <v/>
      </c>
      <c r="CW710" s="57">
        <f>IFERROR($P711/$P710-1,"")</f>
        <v/>
      </c>
      <c r="CX710" s="57">
        <f>IFERROR($Q711/$Q710-1,"")</f>
        <v/>
      </c>
      <c r="CY710" s="57">
        <f>IFERROR($R711/$R710-1,"")</f>
        <v/>
      </c>
      <c r="CZ710" s="57">
        <f>IFERROR($S711/$S710-1,"")</f>
        <v/>
      </c>
      <c r="DA710" s="57">
        <f>IFERROR($T711/$T710-1,"")</f>
        <v/>
      </c>
      <c r="DB710" s="57">
        <f>IFERROR($U711/$U710-1,"")</f>
        <v/>
      </c>
      <c r="DC710" s="57">
        <f>IFERROR($V711/$V710-1,"")</f>
        <v/>
      </c>
      <c r="DD710" s="57">
        <f>IFERROR($W711/$W710-1,"")</f>
        <v/>
      </c>
      <c r="DE710" s="57">
        <f>IFERROR($X711/$X710-1,"")</f>
        <v/>
      </c>
      <c r="DF710" s="57">
        <f>IFERROR($Y711/$Y710-1,"")</f>
        <v/>
      </c>
      <c r="DG710" s="57">
        <f>IFERROR($Z711/$Z710-1,"")</f>
        <v/>
      </c>
      <c r="DH710" s="57">
        <f>IFERROR($AA711/$AA710-1,"")</f>
        <v/>
      </c>
      <c r="DI710" s="57">
        <f>IFERROR($AB711/$AB710-1,"")</f>
        <v/>
      </c>
      <c r="DJ710" s="57">
        <f>IFERROR($AC711/$AC710-1,"")</f>
        <v/>
      </c>
      <c r="DK710" s="57">
        <f>IFERROR($AD711/$AD710-1,"")</f>
        <v/>
      </c>
      <c r="DL710" s="57">
        <f>IFERROR($AE711/$AE710-1,"")</f>
        <v/>
      </c>
      <c r="DM710" s="56">
        <f>$AZ710-$AZ711</f>
        <v/>
      </c>
      <c r="DN710" s="56">
        <f>$BA710-$BA711</f>
        <v/>
      </c>
      <c r="DO710" s="56">
        <f>$BB710-$BB711</f>
        <v/>
      </c>
      <c r="DP710" s="56">
        <f>$BC710-$BC711</f>
        <v/>
      </c>
      <c r="DQ710" s="56">
        <f>$BD710-$BD711</f>
        <v/>
      </c>
      <c r="DR710" s="56">
        <f>$BE710-$BE711</f>
        <v/>
      </c>
      <c r="DS710" s="56">
        <f>$BF710-$BF711</f>
        <v/>
      </c>
      <c r="DT710" s="56">
        <f>$BG710-$BG711</f>
        <v/>
      </c>
      <c r="DU710" s="56">
        <f>$BH710-$BH711</f>
        <v/>
      </c>
      <c r="DV710" s="56">
        <f>$BI710-$BI711</f>
        <v/>
      </c>
      <c r="DW710" s="56">
        <f>$BJ710-$BJ711</f>
        <v/>
      </c>
      <c r="DX710" s="56">
        <f>$BK710-$BK711</f>
        <v/>
      </c>
      <c r="DY710" s="56">
        <f>$BL710-$BL711</f>
        <v/>
      </c>
      <c r="DZ710" s="56">
        <f>$BM710-$BM711</f>
        <v/>
      </c>
      <c r="EA710" s="56">
        <f>$BN710-$BN711</f>
        <v/>
      </c>
      <c r="EB710" s="56">
        <f>$BO710-$BO711</f>
        <v/>
      </c>
      <c r="EC710" s="56">
        <f>$BP710-$BP711</f>
        <v/>
      </c>
      <c r="ED710" s="56">
        <f>$BQ710-$BQ711</f>
        <v/>
      </c>
      <c r="EE710" s="56">
        <f>$BR710-$BR711</f>
        <v/>
      </c>
      <c r="EF710" s="56">
        <f>$BS710-$BS711</f>
        <v/>
      </c>
      <c r="EG710" s="56">
        <f>$BT710-$BT711</f>
        <v/>
      </c>
      <c r="EH710" s="56">
        <f>$BU710-$BU711</f>
        <v/>
      </c>
    </row>
    <row r="711">
      <c r="BV711" s="56">
        <f>($D711-$D712)*100</f>
        <v/>
      </c>
      <c r="BW711" s="56">
        <f>($C711-$C712)*100</f>
        <v/>
      </c>
      <c r="BX711" s="57">
        <f>IFERROR($I711/$I712-1,"")</f>
        <v/>
      </c>
      <c r="BY711" s="56">
        <f>($AF711-$AF712)*100</f>
        <v/>
      </c>
      <c r="BZ711" s="56">
        <f>($AG711-$AG712)*100</f>
        <v/>
      </c>
      <c r="CA711" s="56">
        <f>($AH711-$AH712)*100</f>
        <v/>
      </c>
      <c r="CB711" s="56">
        <f>($AI711-$AI712)*100</f>
        <v/>
      </c>
      <c r="CC711" s="56">
        <f>($AJ711-$AJ712)*100</f>
        <v/>
      </c>
      <c r="CD711" s="56">
        <f>($AK711-$AK712)*100</f>
        <v/>
      </c>
      <c r="CE711" s="56">
        <f>($AL711-$AL712)*100</f>
        <v/>
      </c>
      <c r="CF711" s="56">
        <f>($AM711-$AM712)*100</f>
        <v/>
      </c>
      <c r="CG711" s="56">
        <f>($AN711-$AN712)*100</f>
        <v/>
      </c>
      <c r="CH711" s="56">
        <f>($AO711-$AO712)*100</f>
        <v/>
      </c>
      <c r="CI711" s="56">
        <f>($AP711-$AP712)*100</f>
        <v/>
      </c>
      <c r="CJ711" s="56">
        <f>($AQ711-$AQ712)*100</f>
        <v/>
      </c>
      <c r="CK711" s="56">
        <f>($AR711-$AR712)*100</f>
        <v/>
      </c>
      <c r="CL711" s="56">
        <f>($AS711-$AS712)*100</f>
        <v/>
      </c>
      <c r="CM711" s="56">
        <f>($AT711-$AT712)*100</f>
        <v/>
      </c>
      <c r="CN711" s="56">
        <f>($AU711-$AU712)*100</f>
        <v/>
      </c>
      <c r="CO711" s="56">
        <f>($AV711-$AV712)*100</f>
        <v/>
      </c>
      <c r="CP711" s="56">
        <f>($AW711-$AW712)*100</f>
        <v/>
      </c>
      <c r="CQ711" s="56">
        <f>($AX711-$AX712)*100</f>
        <v/>
      </c>
      <c r="CR711" s="56">
        <f>($AY711-$AY712)*100</f>
        <v/>
      </c>
      <c r="CS711" s="57">
        <f>IFERROR($L712/$L711-1,"")</f>
        <v/>
      </c>
      <c r="CT711" s="57">
        <f>IFERROR($M712/$M711-1,"")</f>
        <v/>
      </c>
      <c r="CU711" s="57">
        <f>IFERROR($N712/$N711-1,"")</f>
        <v/>
      </c>
      <c r="CV711" s="57">
        <f>IFERROR($O712/$O711-1,"")</f>
        <v/>
      </c>
      <c r="CW711" s="57">
        <f>IFERROR($P712/$P711-1,"")</f>
        <v/>
      </c>
      <c r="CX711" s="57">
        <f>IFERROR($Q712/$Q711-1,"")</f>
        <v/>
      </c>
      <c r="CY711" s="57">
        <f>IFERROR($R712/$R711-1,"")</f>
        <v/>
      </c>
      <c r="CZ711" s="57">
        <f>IFERROR($S712/$S711-1,"")</f>
        <v/>
      </c>
      <c r="DA711" s="57">
        <f>IFERROR($T712/$T711-1,"")</f>
        <v/>
      </c>
      <c r="DB711" s="57">
        <f>IFERROR($U712/$U711-1,"")</f>
        <v/>
      </c>
      <c r="DC711" s="57">
        <f>IFERROR($V712/$V711-1,"")</f>
        <v/>
      </c>
      <c r="DD711" s="57">
        <f>IFERROR($W712/$W711-1,"")</f>
        <v/>
      </c>
      <c r="DE711" s="57">
        <f>IFERROR($X712/$X711-1,"")</f>
        <v/>
      </c>
      <c r="DF711" s="57">
        <f>IFERROR($Y712/$Y711-1,"")</f>
        <v/>
      </c>
      <c r="DG711" s="57">
        <f>IFERROR($Z712/$Z711-1,"")</f>
        <v/>
      </c>
      <c r="DH711" s="57">
        <f>IFERROR($AA712/$AA711-1,"")</f>
        <v/>
      </c>
      <c r="DI711" s="57">
        <f>IFERROR($AB712/$AB711-1,"")</f>
        <v/>
      </c>
      <c r="DJ711" s="57">
        <f>IFERROR($AC712/$AC711-1,"")</f>
        <v/>
      </c>
      <c r="DK711" s="57">
        <f>IFERROR($AD712/$AD711-1,"")</f>
        <v/>
      </c>
      <c r="DL711" s="57">
        <f>IFERROR($AE712/$AE711-1,"")</f>
        <v/>
      </c>
      <c r="DM711" s="56">
        <f>$AZ711-$AZ712</f>
        <v/>
      </c>
      <c r="DN711" s="56">
        <f>$BA711-$BA712</f>
        <v/>
      </c>
      <c r="DO711" s="56">
        <f>$BB711-$BB712</f>
        <v/>
      </c>
      <c r="DP711" s="56">
        <f>$BC711-$BC712</f>
        <v/>
      </c>
      <c r="DQ711" s="56">
        <f>$BD711-$BD712</f>
        <v/>
      </c>
      <c r="DR711" s="56">
        <f>$BE711-$BE712</f>
        <v/>
      </c>
      <c r="DS711" s="56">
        <f>$BF711-$BF712</f>
        <v/>
      </c>
      <c r="DT711" s="56">
        <f>$BG711-$BG712</f>
        <v/>
      </c>
      <c r="DU711" s="56">
        <f>$BH711-$BH712</f>
        <v/>
      </c>
      <c r="DV711" s="56">
        <f>$BI711-$BI712</f>
        <v/>
      </c>
      <c r="DW711" s="56">
        <f>$BJ711-$BJ712</f>
        <v/>
      </c>
      <c r="DX711" s="56">
        <f>$BK711-$BK712</f>
        <v/>
      </c>
      <c r="DY711" s="56">
        <f>$BL711-$BL712</f>
        <v/>
      </c>
      <c r="DZ711" s="56">
        <f>$BM711-$BM712</f>
        <v/>
      </c>
      <c r="EA711" s="56">
        <f>$BN711-$BN712</f>
        <v/>
      </c>
      <c r="EB711" s="56">
        <f>$BO711-$BO712</f>
        <v/>
      </c>
      <c r="EC711" s="56">
        <f>$BP711-$BP712</f>
        <v/>
      </c>
      <c r="ED711" s="56">
        <f>$BQ711-$BQ712</f>
        <v/>
      </c>
      <c r="EE711" s="56">
        <f>$BR711-$BR712</f>
        <v/>
      </c>
      <c r="EF711" s="56">
        <f>$BS711-$BS712</f>
        <v/>
      </c>
      <c r="EG711" s="56">
        <f>$BT711-$BT712</f>
        <v/>
      </c>
      <c r="EH711" s="56">
        <f>$BU711-$BU712</f>
        <v/>
      </c>
    </row>
    <row r="712">
      <c r="BV712" s="56">
        <f>($D712-$D713)*100</f>
        <v/>
      </c>
      <c r="BW712" s="56">
        <f>($C712-$C713)*100</f>
        <v/>
      </c>
      <c r="BX712" s="57">
        <f>IFERROR($I712/$I713-1,"")</f>
        <v/>
      </c>
      <c r="BY712" s="56">
        <f>($AF712-$AF713)*100</f>
        <v/>
      </c>
      <c r="BZ712" s="56">
        <f>($AG712-$AG713)*100</f>
        <v/>
      </c>
      <c r="CA712" s="56">
        <f>($AH712-$AH713)*100</f>
        <v/>
      </c>
      <c r="CB712" s="56">
        <f>($AI712-$AI713)*100</f>
        <v/>
      </c>
      <c r="CC712" s="56">
        <f>($AJ712-$AJ713)*100</f>
        <v/>
      </c>
      <c r="CD712" s="56">
        <f>($AK712-$AK713)*100</f>
        <v/>
      </c>
      <c r="CE712" s="56">
        <f>($AL712-$AL713)*100</f>
        <v/>
      </c>
      <c r="CF712" s="56">
        <f>($AM712-$AM713)*100</f>
        <v/>
      </c>
      <c r="CG712" s="56">
        <f>($AN712-$AN713)*100</f>
        <v/>
      </c>
      <c r="CH712" s="56">
        <f>($AO712-$AO713)*100</f>
        <v/>
      </c>
      <c r="CI712" s="56">
        <f>($AP712-$AP713)*100</f>
        <v/>
      </c>
      <c r="CJ712" s="56">
        <f>($AQ712-$AQ713)*100</f>
        <v/>
      </c>
      <c r="CK712" s="56">
        <f>($AR712-$AR713)*100</f>
        <v/>
      </c>
      <c r="CL712" s="56">
        <f>($AS712-$AS713)*100</f>
        <v/>
      </c>
      <c r="CM712" s="56">
        <f>($AT712-$AT713)*100</f>
        <v/>
      </c>
      <c r="CN712" s="56">
        <f>($AU712-$AU713)*100</f>
        <v/>
      </c>
      <c r="CO712" s="56">
        <f>($AV712-$AV713)*100</f>
        <v/>
      </c>
      <c r="CP712" s="56">
        <f>($AW712-$AW713)*100</f>
        <v/>
      </c>
      <c r="CQ712" s="56">
        <f>($AX712-$AX713)*100</f>
        <v/>
      </c>
      <c r="CR712" s="56">
        <f>($AY712-$AY713)*100</f>
        <v/>
      </c>
      <c r="CS712" s="57">
        <f>IFERROR($L713/$L712-1,"")</f>
        <v/>
      </c>
      <c r="CT712" s="57">
        <f>IFERROR($M713/$M712-1,"")</f>
        <v/>
      </c>
      <c r="CU712" s="57">
        <f>IFERROR($N713/$N712-1,"")</f>
        <v/>
      </c>
      <c r="CV712" s="57">
        <f>IFERROR($O713/$O712-1,"")</f>
        <v/>
      </c>
      <c r="CW712" s="57">
        <f>IFERROR($P713/$P712-1,"")</f>
        <v/>
      </c>
      <c r="CX712" s="57">
        <f>IFERROR($Q713/$Q712-1,"")</f>
        <v/>
      </c>
      <c r="CY712" s="57">
        <f>IFERROR($R713/$R712-1,"")</f>
        <v/>
      </c>
      <c r="CZ712" s="57">
        <f>IFERROR($S713/$S712-1,"")</f>
        <v/>
      </c>
      <c r="DA712" s="57">
        <f>IFERROR($T713/$T712-1,"")</f>
        <v/>
      </c>
      <c r="DB712" s="57">
        <f>IFERROR($U713/$U712-1,"")</f>
        <v/>
      </c>
      <c r="DC712" s="57">
        <f>IFERROR($V713/$V712-1,"")</f>
        <v/>
      </c>
      <c r="DD712" s="57">
        <f>IFERROR($W713/$W712-1,"")</f>
        <v/>
      </c>
      <c r="DE712" s="57">
        <f>IFERROR($X713/$X712-1,"")</f>
        <v/>
      </c>
      <c r="DF712" s="57">
        <f>IFERROR($Y713/$Y712-1,"")</f>
        <v/>
      </c>
      <c r="DG712" s="57">
        <f>IFERROR($Z713/$Z712-1,"")</f>
        <v/>
      </c>
      <c r="DH712" s="57">
        <f>IFERROR($AA713/$AA712-1,"")</f>
        <v/>
      </c>
      <c r="DI712" s="57">
        <f>IFERROR($AB713/$AB712-1,"")</f>
        <v/>
      </c>
      <c r="DJ712" s="57">
        <f>IFERROR($AC713/$AC712-1,"")</f>
        <v/>
      </c>
      <c r="DK712" s="57">
        <f>IFERROR($AD713/$AD712-1,"")</f>
        <v/>
      </c>
      <c r="DL712" s="57">
        <f>IFERROR($AE713/$AE712-1,"")</f>
        <v/>
      </c>
      <c r="DM712" s="56">
        <f>$AZ712-$AZ713</f>
        <v/>
      </c>
      <c r="DN712" s="56">
        <f>$BA712-$BA713</f>
        <v/>
      </c>
      <c r="DO712" s="56">
        <f>$BB712-$BB713</f>
        <v/>
      </c>
      <c r="DP712" s="56">
        <f>$BC712-$BC713</f>
        <v/>
      </c>
      <c r="DQ712" s="56">
        <f>$BD712-$BD713</f>
        <v/>
      </c>
      <c r="DR712" s="56">
        <f>$BE712-$BE713</f>
        <v/>
      </c>
      <c r="DS712" s="56">
        <f>$BF712-$BF713</f>
        <v/>
      </c>
      <c r="DT712" s="56">
        <f>$BG712-$BG713</f>
        <v/>
      </c>
      <c r="DU712" s="56">
        <f>$BH712-$BH713</f>
        <v/>
      </c>
      <c r="DV712" s="56">
        <f>$BI712-$BI713</f>
        <v/>
      </c>
      <c r="DW712" s="56">
        <f>$BJ712-$BJ713</f>
        <v/>
      </c>
      <c r="DX712" s="56">
        <f>$BK712-$BK713</f>
        <v/>
      </c>
      <c r="DY712" s="56">
        <f>$BL712-$BL713</f>
        <v/>
      </c>
      <c r="DZ712" s="56">
        <f>$BM712-$BM713</f>
        <v/>
      </c>
      <c r="EA712" s="56">
        <f>$BN712-$BN713</f>
        <v/>
      </c>
      <c r="EB712" s="56">
        <f>$BO712-$BO713</f>
        <v/>
      </c>
      <c r="EC712" s="56">
        <f>$BP712-$BP713</f>
        <v/>
      </c>
      <c r="ED712" s="56">
        <f>$BQ712-$BQ713</f>
        <v/>
      </c>
      <c r="EE712" s="56">
        <f>$BR712-$BR713</f>
        <v/>
      </c>
      <c r="EF712" s="56">
        <f>$BS712-$BS713</f>
        <v/>
      </c>
      <c r="EG712" s="56">
        <f>$BT712-$BT713</f>
        <v/>
      </c>
      <c r="EH712" s="56">
        <f>$BU712-$BU713</f>
        <v/>
      </c>
    </row>
    <row r="713">
      <c r="BV713" s="56">
        <f>($D713-$D714)*100</f>
        <v/>
      </c>
      <c r="BW713" s="56">
        <f>($C713-$C714)*100</f>
        <v/>
      </c>
      <c r="BX713" s="57">
        <f>IFERROR($I713/$I714-1,"")</f>
        <v/>
      </c>
      <c r="BY713" s="56">
        <f>($AF713-$AF714)*100</f>
        <v/>
      </c>
      <c r="BZ713" s="56">
        <f>($AG713-$AG714)*100</f>
        <v/>
      </c>
      <c r="CA713" s="56">
        <f>($AH713-$AH714)*100</f>
        <v/>
      </c>
      <c r="CB713" s="56">
        <f>($AI713-$AI714)*100</f>
        <v/>
      </c>
      <c r="CC713" s="56">
        <f>($AJ713-$AJ714)*100</f>
        <v/>
      </c>
      <c r="CD713" s="56">
        <f>($AK713-$AK714)*100</f>
        <v/>
      </c>
      <c r="CE713" s="56">
        <f>($AL713-$AL714)*100</f>
        <v/>
      </c>
      <c r="CF713" s="56">
        <f>($AM713-$AM714)*100</f>
        <v/>
      </c>
      <c r="CG713" s="56">
        <f>($AN713-$AN714)*100</f>
        <v/>
      </c>
      <c r="CH713" s="56">
        <f>($AO713-$AO714)*100</f>
        <v/>
      </c>
      <c r="CI713" s="56">
        <f>($AP713-$AP714)*100</f>
        <v/>
      </c>
      <c r="CJ713" s="56">
        <f>($AQ713-$AQ714)*100</f>
        <v/>
      </c>
      <c r="CK713" s="56">
        <f>($AR713-$AR714)*100</f>
        <v/>
      </c>
      <c r="CL713" s="56">
        <f>($AS713-$AS714)*100</f>
        <v/>
      </c>
      <c r="CM713" s="56">
        <f>($AT713-$AT714)*100</f>
        <v/>
      </c>
      <c r="CN713" s="56">
        <f>($AU713-$AU714)*100</f>
        <v/>
      </c>
      <c r="CO713" s="56">
        <f>($AV713-$AV714)*100</f>
        <v/>
      </c>
      <c r="CP713" s="56">
        <f>($AW713-$AW714)*100</f>
        <v/>
      </c>
      <c r="CQ713" s="56">
        <f>($AX713-$AX714)*100</f>
        <v/>
      </c>
      <c r="CR713" s="56">
        <f>($AY713-$AY714)*100</f>
        <v/>
      </c>
      <c r="CS713" s="57">
        <f>IFERROR($L714/$L713-1,"")</f>
        <v/>
      </c>
      <c r="CT713" s="57">
        <f>IFERROR($M714/$M713-1,"")</f>
        <v/>
      </c>
      <c r="CU713" s="57">
        <f>IFERROR($N714/$N713-1,"")</f>
        <v/>
      </c>
      <c r="CV713" s="57">
        <f>IFERROR($O714/$O713-1,"")</f>
        <v/>
      </c>
      <c r="CW713" s="57">
        <f>IFERROR($P714/$P713-1,"")</f>
        <v/>
      </c>
      <c r="CX713" s="57">
        <f>IFERROR($Q714/$Q713-1,"")</f>
        <v/>
      </c>
      <c r="CY713" s="57">
        <f>IFERROR($R714/$R713-1,"")</f>
        <v/>
      </c>
      <c r="CZ713" s="57">
        <f>IFERROR($S714/$S713-1,"")</f>
        <v/>
      </c>
      <c r="DA713" s="57">
        <f>IFERROR($T714/$T713-1,"")</f>
        <v/>
      </c>
      <c r="DB713" s="57">
        <f>IFERROR($U714/$U713-1,"")</f>
        <v/>
      </c>
      <c r="DC713" s="57">
        <f>IFERROR($V714/$V713-1,"")</f>
        <v/>
      </c>
      <c r="DD713" s="57">
        <f>IFERROR($W714/$W713-1,"")</f>
        <v/>
      </c>
      <c r="DE713" s="57">
        <f>IFERROR($X714/$X713-1,"")</f>
        <v/>
      </c>
      <c r="DF713" s="57">
        <f>IFERROR($Y714/$Y713-1,"")</f>
        <v/>
      </c>
      <c r="DG713" s="57">
        <f>IFERROR($Z714/$Z713-1,"")</f>
        <v/>
      </c>
      <c r="DH713" s="57">
        <f>IFERROR($AA714/$AA713-1,"")</f>
        <v/>
      </c>
      <c r="DI713" s="57">
        <f>IFERROR($AB714/$AB713-1,"")</f>
        <v/>
      </c>
      <c r="DJ713" s="57">
        <f>IFERROR($AC714/$AC713-1,"")</f>
        <v/>
      </c>
      <c r="DK713" s="57">
        <f>IFERROR($AD714/$AD713-1,"")</f>
        <v/>
      </c>
      <c r="DL713" s="57">
        <f>IFERROR($AE714/$AE713-1,"")</f>
        <v/>
      </c>
      <c r="DM713" s="56">
        <f>$AZ713-$AZ714</f>
        <v/>
      </c>
      <c r="DN713" s="56">
        <f>$BA713-$BA714</f>
        <v/>
      </c>
      <c r="DO713" s="56">
        <f>$BB713-$BB714</f>
        <v/>
      </c>
      <c r="DP713" s="56">
        <f>$BC713-$BC714</f>
        <v/>
      </c>
      <c r="DQ713" s="56">
        <f>$BD713-$BD714</f>
        <v/>
      </c>
      <c r="DR713" s="56">
        <f>$BE713-$BE714</f>
        <v/>
      </c>
      <c r="DS713" s="56">
        <f>$BF713-$BF714</f>
        <v/>
      </c>
      <c r="DT713" s="56">
        <f>$BG713-$BG714</f>
        <v/>
      </c>
      <c r="DU713" s="56">
        <f>$BH713-$BH714</f>
        <v/>
      </c>
      <c r="DV713" s="56">
        <f>$BI713-$BI714</f>
        <v/>
      </c>
      <c r="DW713" s="56">
        <f>$BJ713-$BJ714</f>
        <v/>
      </c>
      <c r="DX713" s="56">
        <f>$BK713-$BK714</f>
        <v/>
      </c>
      <c r="DY713" s="56">
        <f>$BL713-$BL714</f>
        <v/>
      </c>
      <c r="DZ713" s="56">
        <f>$BM713-$BM714</f>
        <v/>
      </c>
      <c r="EA713" s="56">
        <f>$BN713-$BN714</f>
        <v/>
      </c>
      <c r="EB713" s="56">
        <f>$BO713-$BO714</f>
        <v/>
      </c>
      <c r="EC713" s="56">
        <f>$BP713-$BP714</f>
        <v/>
      </c>
      <c r="ED713" s="56">
        <f>$BQ713-$BQ714</f>
        <v/>
      </c>
      <c r="EE713" s="56">
        <f>$BR713-$BR714</f>
        <v/>
      </c>
      <c r="EF713" s="56">
        <f>$BS713-$BS714</f>
        <v/>
      </c>
      <c r="EG713" s="56">
        <f>$BT713-$BT714</f>
        <v/>
      </c>
      <c r="EH713" s="56">
        <f>$BU713-$BU714</f>
        <v/>
      </c>
    </row>
    <row r="714">
      <c r="BV714" s="56">
        <f>($D714-$D715)*100</f>
        <v/>
      </c>
      <c r="BW714" s="56">
        <f>($C714-$C715)*100</f>
        <v/>
      </c>
      <c r="BX714" s="57">
        <f>IFERROR($I714/$I715-1,"")</f>
        <v/>
      </c>
      <c r="BY714" s="56">
        <f>($AF714-$AF715)*100</f>
        <v/>
      </c>
      <c r="BZ714" s="56">
        <f>($AG714-$AG715)*100</f>
        <v/>
      </c>
      <c r="CA714" s="56">
        <f>($AH714-$AH715)*100</f>
        <v/>
      </c>
      <c r="CB714" s="56">
        <f>($AI714-$AI715)*100</f>
        <v/>
      </c>
      <c r="CC714" s="56">
        <f>($AJ714-$AJ715)*100</f>
        <v/>
      </c>
      <c r="CD714" s="56">
        <f>($AK714-$AK715)*100</f>
        <v/>
      </c>
      <c r="CE714" s="56">
        <f>($AL714-$AL715)*100</f>
        <v/>
      </c>
      <c r="CF714" s="56">
        <f>($AM714-$AM715)*100</f>
        <v/>
      </c>
      <c r="CG714" s="56">
        <f>($AN714-$AN715)*100</f>
        <v/>
      </c>
      <c r="CH714" s="56">
        <f>($AO714-$AO715)*100</f>
        <v/>
      </c>
      <c r="CI714" s="56">
        <f>($AP714-$AP715)*100</f>
        <v/>
      </c>
      <c r="CJ714" s="56">
        <f>($AQ714-$AQ715)*100</f>
        <v/>
      </c>
      <c r="CK714" s="56">
        <f>($AR714-$AR715)*100</f>
        <v/>
      </c>
      <c r="CL714" s="56">
        <f>($AS714-$AS715)*100</f>
        <v/>
      </c>
      <c r="CM714" s="56">
        <f>($AT714-$AT715)*100</f>
        <v/>
      </c>
      <c r="CN714" s="56">
        <f>($AU714-$AU715)*100</f>
        <v/>
      </c>
      <c r="CO714" s="56">
        <f>($AV714-$AV715)*100</f>
        <v/>
      </c>
      <c r="CP714" s="56">
        <f>($AW714-$AW715)*100</f>
        <v/>
      </c>
      <c r="CQ714" s="56">
        <f>($AX714-$AX715)*100</f>
        <v/>
      </c>
      <c r="CR714" s="56">
        <f>($AY714-$AY715)*100</f>
        <v/>
      </c>
      <c r="CS714" s="57">
        <f>IFERROR($L715/$L714-1,"")</f>
        <v/>
      </c>
      <c r="CT714" s="57">
        <f>IFERROR($M715/$M714-1,"")</f>
        <v/>
      </c>
      <c r="CU714" s="57">
        <f>IFERROR($N715/$N714-1,"")</f>
        <v/>
      </c>
      <c r="CV714" s="57">
        <f>IFERROR($O715/$O714-1,"")</f>
        <v/>
      </c>
      <c r="CW714" s="57">
        <f>IFERROR($P715/$P714-1,"")</f>
        <v/>
      </c>
      <c r="CX714" s="57">
        <f>IFERROR($Q715/$Q714-1,"")</f>
        <v/>
      </c>
      <c r="CY714" s="57">
        <f>IFERROR($R715/$R714-1,"")</f>
        <v/>
      </c>
      <c r="CZ714" s="57">
        <f>IFERROR($S715/$S714-1,"")</f>
        <v/>
      </c>
      <c r="DA714" s="57">
        <f>IFERROR($T715/$T714-1,"")</f>
        <v/>
      </c>
      <c r="DB714" s="57">
        <f>IFERROR($U715/$U714-1,"")</f>
        <v/>
      </c>
      <c r="DC714" s="57">
        <f>IFERROR($V715/$V714-1,"")</f>
        <v/>
      </c>
      <c r="DD714" s="57">
        <f>IFERROR($W715/$W714-1,"")</f>
        <v/>
      </c>
      <c r="DE714" s="57">
        <f>IFERROR($X715/$X714-1,"")</f>
        <v/>
      </c>
      <c r="DF714" s="57">
        <f>IFERROR($Y715/$Y714-1,"")</f>
        <v/>
      </c>
      <c r="DG714" s="57">
        <f>IFERROR($Z715/$Z714-1,"")</f>
        <v/>
      </c>
      <c r="DH714" s="57">
        <f>IFERROR($AA715/$AA714-1,"")</f>
        <v/>
      </c>
      <c r="DI714" s="57">
        <f>IFERROR($AB715/$AB714-1,"")</f>
        <v/>
      </c>
      <c r="DJ714" s="57">
        <f>IFERROR($AC715/$AC714-1,"")</f>
        <v/>
      </c>
      <c r="DK714" s="57">
        <f>IFERROR($AD715/$AD714-1,"")</f>
        <v/>
      </c>
      <c r="DL714" s="57">
        <f>IFERROR($AE715/$AE714-1,"")</f>
        <v/>
      </c>
      <c r="DM714" s="56">
        <f>$AZ714-$AZ715</f>
        <v/>
      </c>
      <c r="DN714" s="56">
        <f>$BA714-$BA715</f>
        <v/>
      </c>
      <c r="DO714" s="56">
        <f>$BB714-$BB715</f>
        <v/>
      </c>
      <c r="DP714" s="56">
        <f>$BC714-$BC715</f>
        <v/>
      </c>
      <c r="DQ714" s="56">
        <f>$BD714-$BD715</f>
        <v/>
      </c>
      <c r="DR714" s="56">
        <f>$BE714-$BE715</f>
        <v/>
      </c>
      <c r="DS714" s="56">
        <f>$BF714-$BF715</f>
        <v/>
      </c>
      <c r="DT714" s="56">
        <f>$BG714-$BG715</f>
        <v/>
      </c>
      <c r="DU714" s="56">
        <f>$BH714-$BH715</f>
        <v/>
      </c>
      <c r="DV714" s="56">
        <f>$BI714-$BI715</f>
        <v/>
      </c>
      <c r="DW714" s="56">
        <f>$BJ714-$BJ715</f>
        <v/>
      </c>
      <c r="DX714" s="56">
        <f>$BK714-$BK715</f>
        <v/>
      </c>
      <c r="DY714" s="56">
        <f>$BL714-$BL715</f>
        <v/>
      </c>
      <c r="DZ714" s="56">
        <f>$BM714-$BM715</f>
        <v/>
      </c>
      <c r="EA714" s="56">
        <f>$BN714-$BN715</f>
        <v/>
      </c>
      <c r="EB714" s="56">
        <f>$BO714-$BO715</f>
        <v/>
      </c>
      <c r="EC714" s="56">
        <f>$BP714-$BP715</f>
        <v/>
      </c>
      <c r="ED714" s="56">
        <f>$BQ714-$BQ715</f>
        <v/>
      </c>
      <c r="EE714" s="56">
        <f>$BR714-$BR715</f>
        <v/>
      </c>
      <c r="EF714" s="56">
        <f>$BS714-$BS715</f>
        <v/>
      </c>
      <c r="EG714" s="56">
        <f>$BT714-$BT715</f>
        <v/>
      </c>
      <c r="EH714" s="56">
        <f>$BU714-$BU715</f>
        <v/>
      </c>
    </row>
    <row r="715">
      <c r="BV715" s="56">
        <f>($D715-$D716)*100</f>
        <v/>
      </c>
      <c r="BW715" s="56">
        <f>($C715-$C716)*100</f>
        <v/>
      </c>
      <c r="BX715" s="57">
        <f>IFERROR($I715/$I716-1,"")</f>
        <v/>
      </c>
      <c r="BY715" s="56">
        <f>($AF715-$AF716)*100</f>
        <v/>
      </c>
      <c r="BZ715" s="56">
        <f>($AG715-$AG716)*100</f>
        <v/>
      </c>
      <c r="CA715" s="56">
        <f>($AH715-$AH716)*100</f>
        <v/>
      </c>
      <c r="CB715" s="56">
        <f>($AI715-$AI716)*100</f>
        <v/>
      </c>
      <c r="CC715" s="56">
        <f>($AJ715-$AJ716)*100</f>
        <v/>
      </c>
      <c r="CD715" s="56">
        <f>($AK715-$AK716)*100</f>
        <v/>
      </c>
      <c r="CE715" s="56">
        <f>($AL715-$AL716)*100</f>
        <v/>
      </c>
      <c r="CF715" s="56">
        <f>($AM715-$AM716)*100</f>
        <v/>
      </c>
      <c r="CG715" s="56">
        <f>($AN715-$AN716)*100</f>
        <v/>
      </c>
      <c r="CH715" s="56">
        <f>($AO715-$AO716)*100</f>
        <v/>
      </c>
      <c r="CI715" s="56">
        <f>($AP715-$AP716)*100</f>
        <v/>
      </c>
      <c r="CJ715" s="56">
        <f>($AQ715-$AQ716)*100</f>
        <v/>
      </c>
      <c r="CK715" s="56">
        <f>($AR715-$AR716)*100</f>
        <v/>
      </c>
      <c r="CL715" s="56">
        <f>($AS715-$AS716)*100</f>
        <v/>
      </c>
      <c r="CM715" s="56">
        <f>($AT715-$AT716)*100</f>
        <v/>
      </c>
      <c r="CN715" s="56">
        <f>($AU715-$AU716)*100</f>
        <v/>
      </c>
      <c r="CO715" s="56">
        <f>($AV715-$AV716)*100</f>
        <v/>
      </c>
      <c r="CP715" s="56">
        <f>($AW715-$AW716)*100</f>
        <v/>
      </c>
      <c r="CQ715" s="56">
        <f>($AX715-$AX716)*100</f>
        <v/>
      </c>
      <c r="CR715" s="56">
        <f>($AY715-$AY716)*100</f>
        <v/>
      </c>
      <c r="CS715" s="57">
        <f>IFERROR($L716/$L715-1,"")</f>
        <v/>
      </c>
      <c r="CT715" s="57">
        <f>IFERROR($M716/$M715-1,"")</f>
        <v/>
      </c>
      <c r="CU715" s="57">
        <f>IFERROR($N716/$N715-1,"")</f>
        <v/>
      </c>
      <c r="CV715" s="57">
        <f>IFERROR($O716/$O715-1,"")</f>
        <v/>
      </c>
      <c r="CW715" s="57">
        <f>IFERROR($P716/$P715-1,"")</f>
        <v/>
      </c>
      <c r="CX715" s="57">
        <f>IFERROR($Q716/$Q715-1,"")</f>
        <v/>
      </c>
      <c r="CY715" s="57">
        <f>IFERROR($R716/$R715-1,"")</f>
        <v/>
      </c>
      <c r="CZ715" s="57">
        <f>IFERROR($S716/$S715-1,"")</f>
        <v/>
      </c>
      <c r="DA715" s="57">
        <f>IFERROR($T716/$T715-1,"")</f>
        <v/>
      </c>
      <c r="DB715" s="57">
        <f>IFERROR($U716/$U715-1,"")</f>
        <v/>
      </c>
      <c r="DC715" s="57">
        <f>IFERROR($V716/$V715-1,"")</f>
        <v/>
      </c>
      <c r="DD715" s="57">
        <f>IFERROR($W716/$W715-1,"")</f>
        <v/>
      </c>
      <c r="DE715" s="57">
        <f>IFERROR($X716/$X715-1,"")</f>
        <v/>
      </c>
      <c r="DF715" s="57">
        <f>IFERROR($Y716/$Y715-1,"")</f>
        <v/>
      </c>
      <c r="DG715" s="57">
        <f>IFERROR($Z716/$Z715-1,"")</f>
        <v/>
      </c>
      <c r="DH715" s="57">
        <f>IFERROR($AA716/$AA715-1,"")</f>
        <v/>
      </c>
      <c r="DI715" s="57">
        <f>IFERROR($AB716/$AB715-1,"")</f>
        <v/>
      </c>
      <c r="DJ715" s="57">
        <f>IFERROR($AC716/$AC715-1,"")</f>
        <v/>
      </c>
      <c r="DK715" s="57">
        <f>IFERROR($AD716/$AD715-1,"")</f>
        <v/>
      </c>
      <c r="DL715" s="57">
        <f>IFERROR($AE716/$AE715-1,"")</f>
        <v/>
      </c>
      <c r="DM715" s="56">
        <f>$AZ715-$AZ716</f>
        <v/>
      </c>
      <c r="DN715" s="56">
        <f>$BA715-$BA716</f>
        <v/>
      </c>
      <c r="DO715" s="56">
        <f>$BB715-$BB716</f>
        <v/>
      </c>
      <c r="DP715" s="56">
        <f>$BC715-$BC716</f>
        <v/>
      </c>
      <c r="DQ715" s="56">
        <f>$BD715-$BD716</f>
        <v/>
      </c>
      <c r="DR715" s="56">
        <f>$BE715-$BE716</f>
        <v/>
      </c>
      <c r="DS715" s="56">
        <f>$BF715-$BF716</f>
        <v/>
      </c>
      <c r="DT715" s="56">
        <f>$BG715-$BG716</f>
        <v/>
      </c>
      <c r="DU715" s="56">
        <f>$BH715-$BH716</f>
        <v/>
      </c>
      <c r="DV715" s="56">
        <f>$BI715-$BI716</f>
        <v/>
      </c>
      <c r="DW715" s="56">
        <f>$BJ715-$BJ716</f>
        <v/>
      </c>
      <c r="DX715" s="56">
        <f>$BK715-$BK716</f>
        <v/>
      </c>
      <c r="DY715" s="56">
        <f>$BL715-$BL716</f>
        <v/>
      </c>
      <c r="DZ715" s="56">
        <f>$BM715-$BM716</f>
        <v/>
      </c>
      <c r="EA715" s="56">
        <f>$BN715-$BN716</f>
        <v/>
      </c>
      <c r="EB715" s="56">
        <f>$BO715-$BO716</f>
        <v/>
      </c>
      <c r="EC715" s="56">
        <f>$BP715-$BP716</f>
        <v/>
      </c>
      <c r="ED715" s="56">
        <f>$BQ715-$BQ716</f>
        <v/>
      </c>
      <c r="EE715" s="56">
        <f>$BR715-$BR716</f>
        <v/>
      </c>
      <c r="EF715" s="56">
        <f>$BS715-$BS716</f>
        <v/>
      </c>
      <c r="EG715" s="56">
        <f>$BT715-$BT716</f>
        <v/>
      </c>
      <c r="EH715" s="56">
        <f>$BU715-$BU716</f>
        <v/>
      </c>
    </row>
    <row r="716">
      <c r="BV716" s="56">
        <f>($D716-$D717)*100</f>
        <v/>
      </c>
      <c r="BW716" s="56">
        <f>($C716-$C717)*100</f>
        <v/>
      </c>
      <c r="BX716" s="57">
        <f>IFERROR($I716/$I717-1,"")</f>
        <v/>
      </c>
      <c r="BY716" s="56">
        <f>($AF716-$AF717)*100</f>
        <v/>
      </c>
      <c r="BZ716" s="56">
        <f>($AG716-$AG717)*100</f>
        <v/>
      </c>
      <c r="CA716" s="56">
        <f>($AH716-$AH717)*100</f>
        <v/>
      </c>
      <c r="CB716" s="56">
        <f>($AI716-$AI717)*100</f>
        <v/>
      </c>
      <c r="CC716" s="56">
        <f>($AJ716-$AJ717)*100</f>
        <v/>
      </c>
      <c r="CD716" s="56">
        <f>($AK716-$AK717)*100</f>
        <v/>
      </c>
      <c r="CE716" s="56">
        <f>($AL716-$AL717)*100</f>
        <v/>
      </c>
      <c r="CF716" s="56">
        <f>($AM716-$AM717)*100</f>
        <v/>
      </c>
      <c r="CG716" s="56">
        <f>($AN716-$AN717)*100</f>
        <v/>
      </c>
      <c r="CH716" s="56">
        <f>($AO716-$AO717)*100</f>
        <v/>
      </c>
      <c r="CI716" s="56">
        <f>($AP716-$AP717)*100</f>
        <v/>
      </c>
      <c r="CJ716" s="56">
        <f>($AQ716-$AQ717)*100</f>
        <v/>
      </c>
      <c r="CK716" s="56">
        <f>($AR716-$AR717)*100</f>
        <v/>
      </c>
      <c r="CL716" s="56">
        <f>($AS716-$AS717)*100</f>
        <v/>
      </c>
      <c r="CM716" s="56">
        <f>($AT716-$AT717)*100</f>
        <v/>
      </c>
      <c r="CN716" s="56">
        <f>($AU716-$AU717)*100</f>
        <v/>
      </c>
      <c r="CO716" s="56">
        <f>($AV716-$AV717)*100</f>
        <v/>
      </c>
      <c r="CP716" s="56">
        <f>($AW716-$AW717)*100</f>
        <v/>
      </c>
      <c r="CQ716" s="56">
        <f>($AX716-$AX717)*100</f>
        <v/>
      </c>
      <c r="CR716" s="56">
        <f>($AY716-$AY717)*100</f>
        <v/>
      </c>
      <c r="CS716" s="57">
        <f>IFERROR($L717/$L716-1,"")</f>
        <v/>
      </c>
      <c r="CT716" s="57">
        <f>IFERROR($M717/$M716-1,"")</f>
        <v/>
      </c>
      <c r="CU716" s="57">
        <f>IFERROR($N717/$N716-1,"")</f>
        <v/>
      </c>
      <c r="CV716" s="57">
        <f>IFERROR($O717/$O716-1,"")</f>
        <v/>
      </c>
      <c r="CW716" s="57">
        <f>IFERROR($P717/$P716-1,"")</f>
        <v/>
      </c>
      <c r="CX716" s="57">
        <f>IFERROR($Q717/$Q716-1,"")</f>
        <v/>
      </c>
      <c r="CY716" s="57">
        <f>IFERROR($R717/$R716-1,"")</f>
        <v/>
      </c>
      <c r="CZ716" s="57">
        <f>IFERROR($S717/$S716-1,"")</f>
        <v/>
      </c>
      <c r="DA716" s="57">
        <f>IFERROR($T717/$T716-1,"")</f>
        <v/>
      </c>
      <c r="DB716" s="57">
        <f>IFERROR($U717/$U716-1,"")</f>
        <v/>
      </c>
      <c r="DC716" s="57">
        <f>IFERROR($V717/$V716-1,"")</f>
        <v/>
      </c>
      <c r="DD716" s="57">
        <f>IFERROR($W717/$W716-1,"")</f>
        <v/>
      </c>
      <c r="DE716" s="57">
        <f>IFERROR($X717/$X716-1,"")</f>
        <v/>
      </c>
      <c r="DF716" s="57">
        <f>IFERROR($Y717/$Y716-1,"")</f>
        <v/>
      </c>
      <c r="DG716" s="57">
        <f>IFERROR($Z717/$Z716-1,"")</f>
        <v/>
      </c>
      <c r="DH716" s="57">
        <f>IFERROR($AA717/$AA716-1,"")</f>
        <v/>
      </c>
      <c r="DI716" s="57">
        <f>IFERROR($AB717/$AB716-1,"")</f>
        <v/>
      </c>
      <c r="DJ716" s="57">
        <f>IFERROR($AC717/$AC716-1,"")</f>
        <v/>
      </c>
      <c r="DK716" s="57">
        <f>IFERROR($AD717/$AD716-1,"")</f>
        <v/>
      </c>
      <c r="DL716" s="57">
        <f>IFERROR($AE717/$AE716-1,"")</f>
        <v/>
      </c>
      <c r="DM716" s="56">
        <f>$AZ716-$AZ717</f>
        <v/>
      </c>
      <c r="DN716" s="56">
        <f>$BA716-$BA717</f>
        <v/>
      </c>
      <c r="DO716" s="56">
        <f>$BB716-$BB717</f>
        <v/>
      </c>
      <c r="DP716" s="56">
        <f>$BC716-$BC717</f>
        <v/>
      </c>
      <c r="DQ716" s="56">
        <f>$BD716-$BD717</f>
        <v/>
      </c>
      <c r="DR716" s="56">
        <f>$BE716-$BE717</f>
        <v/>
      </c>
      <c r="DS716" s="56">
        <f>$BF716-$BF717</f>
        <v/>
      </c>
      <c r="DT716" s="56">
        <f>$BG716-$BG717</f>
        <v/>
      </c>
      <c r="DU716" s="56">
        <f>$BH716-$BH717</f>
        <v/>
      </c>
      <c r="DV716" s="56">
        <f>$BI716-$BI717</f>
        <v/>
      </c>
      <c r="DW716" s="56">
        <f>$BJ716-$BJ717</f>
        <v/>
      </c>
      <c r="DX716" s="56">
        <f>$BK716-$BK717</f>
        <v/>
      </c>
      <c r="DY716" s="56">
        <f>$BL716-$BL717</f>
        <v/>
      </c>
      <c r="DZ716" s="56">
        <f>$BM716-$BM717</f>
        <v/>
      </c>
      <c r="EA716" s="56">
        <f>$BN716-$BN717</f>
        <v/>
      </c>
      <c r="EB716" s="56">
        <f>$BO716-$BO717</f>
        <v/>
      </c>
      <c r="EC716" s="56">
        <f>$BP716-$BP717</f>
        <v/>
      </c>
      <c r="ED716" s="56">
        <f>$BQ716-$BQ717</f>
        <v/>
      </c>
      <c r="EE716" s="56">
        <f>$BR716-$BR717</f>
        <v/>
      </c>
      <c r="EF716" s="56">
        <f>$BS716-$BS717</f>
        <v/>
      </c>
      <c r="EG716" s="56">
        <f>$BT716-$BT717</f>
        <v/>
      </c>
      <c r="EH716" s="56">
        <f>$BU716-$BU717</f>
        <v/>
      </c>
    </row>
    <row r="717">
      <c r="BV717" s="56">
        <f>($D717-$D718)*100</f>
        <v/>
      </c>
      <c r="BW717" s="56">
        <f>($C717-$C718)*100</f>
        <v/>
      </c>
      <c r="BX717" s="57">
        <f>IFERROR($I717/$I718-1,"")</f>
        <v/>
      </c>
      <c r="BY717" s="56">
        <f>($AF717-$AF718)*100</f>
        <v/>
      </c>
      <c r="BZ717" s="56">
        <f>($AG717-$AG718)*100</f>
        <v/>
      </c>
      <c r="CA717" s="56">
        <f>($AH717-$AH718)*100</f>
        <v/>
      </c>
      <c r="CB717" s="56">
        <f>($AI717-$AI718)*100</f>
        <v/>
      </c>
      <c r="CC717" s="56">
        <f>($AJ717-$AJ718)*100</f>
        <v/>
      </c>
      <c r="CD717" s="56">
        <f>($AK717-$AK718)*100</f>
        <v/>
      </c>
      <c r="CE717" s="56">
        <f>($AL717-$AL718)*100</f>
        <v/>
      </c>
      <c r="CF717" s="56">
        <f>($AM717-$AM718)*100</f>
        <v/>
      </c>
      <c r="CG717" s="56">
        <f>($AN717-$AN718)*100</f>
        <v/>
      </c>
      <c r="CH717" s="56">
        <f>($AO717-$AO718)*100</f>
        <v/>
      </c>
      <c r="CI717" s="56">
        <f>($AP717-$AP718)*100</f>
        <v/>
      </c>
      <c r="CJ717" s="56">
        <f>($AQ717-$AQ718)*100</f>
        <v/>
      </c>
      <c r="CK717" s="56">
        <f>($AR717-$AR718)*100</f>
        <v/>
      </c>
      <c r="CL717" s="56">
        <f>($AS717-$AS718)*100</f>
        <v/>
      </c>
      <c r="CM717" s="56">
        <f>($AT717-$AT718)*100</f>
        <v/>
      </c>
      <c r="CN717" s="56">
        <f>($AU717-$AU718)*100</f>
        <v/>
      </c>
      <c r="CO717" s="56">
        <f>($AV717-$AV718)*100</f>
        <v/>
      </c>
      <c r="CP717" s="56">
        <f>($AW717-$AW718)*100</f>
        <v/>
      </c>
      <c r="CQ717" s="56">
        <f>($AX717-$AX718)*100</f>
        <v/>
      </c>
      <c r="CR717" s="56">
        <f>($AY717-$AY718)*100</f>
        <v/>
      </c>
      <c r="CS717" s="57">
        <f>IFERROR($L718/$L717-1,"")</f>
        <v/>
      </c>
      <c r="CT717" s="57">
        <f>IFERROR($M718/$M717-1,"")</f>
        <v/>
      </c>
      <c r="CU717" s="57">
        <f>IFERROR($N718/$N717-1,"")</f>
        <v/>
      </c>
      <c r="CV717" s="57">
        <f>IFERROR($O718/$O717-1,"")</f>
        <v/>
      </c>
      <c r="CW717" s="57">
        <f>IFERROR($P718/$P717-1,"")</f>
        <v/>
      </c>
      <c r="CX717" s="57">
        <f>IFERROR($Q718/$Q717-1,"")</f>
        <v/>
      </c>
      <c r="CY717" s="57">
        <f>IFERROR($R718/$R717-1,"")</f>
        <v/>
      </c>
      <c r="CZ717" s="57">
        <f>IFERROR($S718/$S717-1,"")</f>
        <v/>
      </c>
      <c r="DA717" s="57">
        <f>IFERROR($T718/$T717-1,"")</f>
        <v/>
      </c>
      <c r="DB717" s="57">
        <f>IFERROR($U718/$U717-1,"")</f>
        <v/>
      </c>
      <c r="DC717" s="57">
        <f>IFERROR($V718/$V717-1,"")</f>
        <v/>
      </c>
      <c r="DD717" s="57">
        <f>IFERROR($W718/$W717-1,"")</f>
        <v/>
      </c>
      <c r="DE717" s="57">
        <f>IFERROR($X718/$X717-1,"")</f>
        <v/>
      </c>
      <c r="DF717" s="57">
        <f>IFERROR($Y718/$Y717-1,"")</f>
        <v/>
      </c>
      <c r="DG717" s="57">
        <f>IFERROR($Z718/$Z717-1,"")</f>
        <v/>
      </c>
      <c r="DH717" s="57">
        <f>IFERROR($AA718/$AA717-1,"")</f>
        <v/>
      </c>
      <c r="DI717" s="57">
        <f>IFERROR($AB718/$AB717-1,"")</f>
        <v/>
      </c>
      <c r="DJ717" s="57">
        <f>IFERROR($AC718/$AC717-1,"")</f>
        <v/>
      </c>
      <c r="DK717" s="57">
        <f>IFERROR($AD718/$AD717-1,"")</f>
        <v/>
      </c>
      <c r="DL717" s="57">
        <f>IFERROR($AE718/$AE717-1,"")</f>
        <v/>
      </c>
      <c r="DM717" s="56">
        <f>$AZ717-$AZ718</f>
        <v/>
      </c>
      <c r="DN717" s="56">
        <f>$BA717-$BA718</f>
        <v/>
      </c>
      <c r="DO717" s="56">
        <f>$BB717-$BB718</f>
        <v/>
      </c>
      <c r="DP717" s="56">
        <f>$BC717-$BC718</f>
        <v/>
      </c>
      <c r="DQ717" s="56">
        <f>$BD717-$BD718</f>
        <v/>
      </c>
      <c r="DR717" s="56">
        <f>$BE717-$BE718</f>
        <v/>
      </c>
      <c r="DS717" s="56">
        <f>$BF717-$BF718</f>
        <v/>
      </c>
      <c r="DT717" s="56">
        <f>$BG717-$BG718</f>
        <v/>
      </c>
      <c r="DU717" s="56">
        <f>$BH717-$BH718</f>
        <v/>
      </c>
      <c r="DV717" s="56">
        <f>$BI717-$BI718</f>
        <v/>
      </c>
      <c r="DW717" s="56">
        <f>$BJ717-$BJ718</f>
        <v/>
      </c>
      <c r="DX717" s="56">
        <f>$BK717-$BK718</f>
        <v/>
      </c>
      <c r="DY717" s="56">
        <f>$BL717-$BL718</f>
        <v/>
      </c>
      <c r="DZ717" s="56">
        <f>$BM717-$BM718</f>
        <v/>
      </c>
      <c r="EA717" s="56">
        <f>$BN717-$BN718</f>
        <v/>
      </c>
      <c r="EB717" s="56">
        <f>$BO717-$BO718</f>
        <v/>
      </c>
      <c r="EC717" s="56">
        <f>$BP717-$BP718</f>
        <v/>
      </c>
      <c r="ED717" s="56">
        <f>$BQ717-$BQ718</f>
        <v/>
      </c>
      <c r="EE717" s="56">
        <f>$BR717-$BR718</f>
        <v/>
      </c>
      <c r="EF717" s="56">
        <f>$BS717-$BS718</f>
        <v/>
      </c>
      <c r="EG717" s="56">
        <f>$BT717-$BT718</f>
        <v/>
      </c>
      <c r="EH717" s="56">
        <f>$BU717-$BU718</f>
        <v/>
      </c>
    </row>
    <row r="718">
      <c r="BV718" s="56">
        <f>($D718-$D719)*100</f>
        <v/>
      </c>
      <c r="BW718" s="56">
        <f>($C718-$C719)*100</f>
        <v/>
      </c>
      <c r="BX718" s="57">
        <f>IFERROR($I718/$I719-1,"")</f>
        <v/>
      </c>
      <c r="BY718" s="56">
        <f>($AF718-$AF719)*100</f>
        <v/>
      </c>
      <c r="BZ718" s="56">
        <f>($AG718-$AG719)*100</f>
        <v/>
      </c>
      <c r="CA718" s="56">
        <f>($AH718-$AH719)*100</f>
        <v/>
      </c>
      <c r="CB718" s="56">
        <f>($AI718-$AI719)*100</f>
        <v/>
      </c>
      <c r="CC718" s="56">
        <f>($AJ718-$AJ719)*100</f>
        <v/>
      </c>
      <c r="CD718" s="56">
        <f>($AK718-$AK719)*100</f>
        <v/>
      </c>
      <c r="CE718" s="56">
        <f>($AL718-$AL719)*100</f>
        <v/>
      </c>
      <c r="CF718" s="56">
        <f>($AM718-$AM719)*100</f>
        <v/>
      </c>
      <c r="CG718" s="56">
        <f>($AN718-$AN719)*100</f>
        <v/>
      </c>
      <c r="CH718" s="56">
        <f>($AO718-$AO719)*100</f>
        <v/>
      </c>
      <c r="CI718" s="56">
        <f>($AP718-$AP719)*100</f>
        <v/>
      </c>
      <c r="CJ718" s="56">
        <f>($AQ718-$AQ719)*100</f>
        <v/>
      </c>
      <c r="CK718" s="56">
        <f>($AR718-$AR719)*100</f>
        <v/>
      </c>
      <c r="CL718" s="56">
        <f>($AS718-$AS719)*100</f>
        <v/>
      </c>
      <c r="CM718" s="56">
        <f>($AT718-$AT719)*100</f>
        <v/>
      </c>
      <c r="CN718" s="56">
        <f>($AU718-$AU719)*100</f>
        <v/>
      </c>
      <c r="CO718" s="56">
        <f>($AV718-$AV719)*100</f>
        <v/>
      </c>
      <c r="CP718" s="56">
        <f>($AW718-$AW719)*100</f>
        <v/>
      </c>
      <c r="CQ718" s="56">
        <f>($AX718-$AX719)*100</f>
        <v/>
      </c>
      <c r="CR718" s="56">
        <f>($AY718-$AY719)*100</f>
        <v/>
      </c>
      <c r="CS718" s="57">
        <f>IFERROR($L719/$L718-1,"")</f>
        <v/>
      </c>
      <c r="CT718" s="57">
        <f>IFERROR($M719/$M718-1,"")</f>
        <v/>
      </c>
      <c r="CU718" s="57">
        <f>IFERROR($N719/$N718-1,"")</f>
        <v/>
      </c>
      <c r="CV718" s="57">
        <f>IFERROR($O719/$O718-1,"")</f>
        <v/>
      </c>
      <c r="CW718" s="57">
        <f>IFERROR($P719/$P718-1,"")</f>
        <v/>
      </c>
      <c r="CX718" s="57">
        <f>IFERROR($Q719/$Q718-1,"")</f>
        <v/>
      </c>
      <c r="CY718" s="57">
        <f>IFERROR($R719/$R718-1,"")</f>
        <v/>
      </c>
      <c r="CZ718" s="57">
        <f>IFERROR($S719/$S718-1,"")</f>
        <v/>
      </c>
      <c r="DA718" s="57">
        <f>IFERROR($T719/$T718-1,"")</f>
        <v/>
      </c>
      <c r="DB718" s="57">
        <f>IFERROR($U719/$U718-1,"")</f>
        <v/>
      </c>
      <c r="DC718" s="57">
        <f>IFERROR($V719/$V718-1,"")</f>
        <v/>
      </c>
      <c r="DD718" s="57">
        <f>IFERROR($W719/$W718-1,"")</f>
        <v/>
      </c>
      <c r="DE718" s="57">
        <f>IFERROR($X719/$X718-1,"")</f>
        <v/>
      </c>
      <c r="DF718" s="57">
        <f>IFERROR($Y719/$Y718-1,"")</f>
        <v/>
      </c>
      <c r="DG718" s="57">
        <f>IFERROR($Z719/$Z718-1,"")</f>
        <v/>
      </c>
      <c r="DH718" s="57">
        <f>IFERROR($AA719/$AA718-1,"")</f>
        <v/>
      </c>
      <c r="DI718" s="57">
        <f>IFERROR($AB719/$AB718-1,"")</f>
        <v/>
      </c>
      <c r="DJ718" s="57">
        <f>IFERROR($AC719/$AC718-1,"")</f>
        <v/>
      </c>
      <c r="DK718" s="57">
        <f>IFERROR($AD719/$AD718-1,"")</f>
        <v/>
      </c>
      <c r="DL718" s="57">
        <f>IFERROR($AE719/$AE718-1,"")</f>
        <v/>
      </c>
      <c r="DM718" s="56">
        <f>$AZ718-$AZ719</f>
        <v/>
      </c>
      <c r="DN718" s="56">
        <f>$BA718-$BA719</f>
        <v/>
      </c>
      <c r="DO718" s="56">
        <f>$BB718-$BB719</f>
        <v/>
      </c>
      <c r="DP718" s="56">
        <f>$BC718-$BC719</f>
        <v/>
      </c>
      <c r="DQ718" s="56">
        <f>$BD718-$BD719</f>
        <v/>
      </c>
      <c r="DR718" s="56">
        <f>$BE718-$BE719</f>
        <v/>
      </c>
      <c r="DS718" s="56">
        <f>$BF718-$BF719</f>
        <v/>
      </c>
      <c r="DT718" s="56">
        <f>$BG718-$BG719</f>
        <v/>
      </c>
      <c r="DU718" s="56">
        <f>$BH718-$BH719</f>
        <v/>
      </c>
      <c r="DV718" s="56">
        <f>$BI718-$BI719</f>
        <v/>
      </c>
      <c r="DW718" s="56">
        <f>$BJ718-$BJ719</f>
        <v/>
      </c>
      <c r="DX718" s="56">
        <f>$BK718-$BK719</f>
        <v/>
      </c>
      <c r="DY718" s="56">
        <f>$BL718-$BL719</f>
        <v/>
      </c>
      <c r="DZ718" s="56">
        <f>$BM718-$BM719</f>
        <v/>
      </c>
      <c r="EA718" s="56">
        <f>$BN718-$BN719</f>
        <v/>
      </c>
      <c r="EB718" s="56">
        <f>$BO718-$BO719</f>
        <v/>
      </c>
      <c r="EC718" s="56">
        <f>$BP718-$BP719</f>
        <v/>
      </c>
      <c r="ED718" s="56">
        <f>$BQ718-$BQ719</f>
        <v/>
      </c>
      <c r="EE718" s="56">
        <f>$BR718-$BR719</f>
        <v/>
      </c>
      <c r="EF718" s="56">
        <f>$BS718-$BS719</f>
        <v/>
      </c>
      <c r="EG718" s="56">
        <f>$BT718-$BT719</f>
        <v/>
      </c>
      <c r="EH718" s="56">
        <f>$BU718-$BU719</f>
        <v/>
      </c>
    </row>
    <row r="719">
      <c r="BV719" s="56">
        <f>($D719-$D720)*100</f>
        <v/>
      </c>
      <c r="BW719" s="56">
        <f>($C719-$C720)*100</f>
        <v/>
      </c>
      <c r="BX719" s="57">
        <f>IFERROR($I719/$I720-1,"")</f>
        <v/>
      </c>
      <c r="BY719" s="56">
        <f>($AF719-$AF720)*100</f>
        <v/>
      </c>
      <c r="BZ719" s="56">
        <f>($AG719-$AG720)*100</f>
        <v/>
      </c>
      <c r="CA719" s="56">
        <f>($AH719-$AH720)*100</f>
        <v/>
      </c>
      <c r="CB719" s="56">
        <f>($AI719-$AI720)*100</f>
        <v/>
      </c>
      <c r="CC719" s="56">
        <f>($AJ719-$AJ720)*100</f>
        <v/>
      </c>
      <c r="CD719" s="56">
        <f>($AK719-$AK720)*100</f>
        <v/>
      </c>
      <c r="CE719" s="56">
        <f>($AL719-$AL720)*100</f>
        <v/>
      </c>
      <c r="CF719" s="56">
        <f>($AM719-$AM720)*100</f>
        <v/>
      </c>
      <c r="CG719" s="56">
        <f>($AN719-$AN720)*100</f>
        <v/>
      </c>
      <c r="CH719" s="56">
        <f>($AO719-$AO720)*100</f>
        <v/>
      </c>
      <c r="CI719" s="56">
        <f>($AP719-$AP720)*100</f>
        <v/>
      </c>
      <c r="CJ719" s="56">
        <f>($AQ719-$AQ720)*100</f>
        <v/>
      </c>
      <c r="CK719" s="56">
        <f>($AR719-$AR720)*100</f>
        <v/>
      </c>
      <c r="CL719" s="56">
        <f>($AS719-$AS720)*100</f>
        <v/>
      </c>
      <c r="CM719" s="56">
        <f>($AT719-$AT720)*100</f>
        <v/>
      </c>
      <c r="CN719" s="56">
        <f>($AU719-$AU720)*100</f>
        <v/>
      </c>
      <c r="CO719" s="56">
        <f>($AV719-$AV720)*100</f>
        <v/>
      </c>
      <c r="CP719" s="56">
        <f>($AW719-$AW720)*100</f>
        <v/>
      </c>
      <c r="CQ719" s="56">
        <f>($AX719-$AX720)*100</f>
        <v/>
      </c>
      <c r="CR719" s="56">
        <f>($AY719-$AY720)*100</f>
        <v/>
      </c>
      <c r="CS719" s="57">
        <f>IFERROR($L720/$L719-1,"")</f>
        <v/>
      </c>
      <c r="CT719" s="57">
        <f>IFERROR($M720/$M719-1,"")</f>
        <v/>
      </c>
      <c r="CU719" s="57">
        <f>IFERROR($N720/$N719-1,"")</f>
        <v/>
      </c>
      <c r="CV719" s="57">
        <f>IFERROR($O720/$O719-1,"")</f>
        <v/>
      </c>
      <c r="CW719" s="57">
        <f>IFERROR($P720/$P719-1,"")</f>
        <v/>
      </c>
      <c r="CX719" s="57">
        <f>IFERROR($Q720/$Q719-1,"")</f>
        <v/>
      </c>
      <c r="CY719" s="57">
        <f>IFERROR($R720/$R719-1,"")</f>
        <v/>
      </c>
      <c r="CZ719" s="57">
        <f>IFERROR($S720/$S719-1,"")</f>
        <v/>
      </c>
      <c r="DA719" s="57">
        <f>IFERROR($T720/$T719-1,"")</f>
        <v/>
      </c>
      <c r="DB719" s="57">
        <f>IFERROR($U720/$U719-1,"")</f>
        <v/>
      </c>
      <c r="DC719" s="57">
        <f>IFERROR($V720/$V719-1,"")</f>
        <v/>
      </c>
      <c r="DD719" s="57">
        <f>IFERROR($W720/$W719-1,"")</f>
        <v/>
      </c>
      <c r="DE719" s="57">
        <f>IFERROR($X720/$X719-1,"")</f>
        <v/>
      </c>
      <c r="DF719" s="57">
        <f>IFERROR($Y720/$Y719-1,"")</f>
        <v/>
      </c>
      <c r="DG719" s="57">
        <f>IFERROR($Z720/$Z719-1,"")</f>
        <v/>
      </c>
      <c r="DH719" s="57">
        <f>IFERROR($AA720/$AA719-1,"")</f>
        <v/>
      </c>
      <c r="DI719" s="57">
        <f>IFERROR($AB720/$AB719-1,"")</f>
        <v/>
      </c>
      <c r="DJ719" s="57">
        <f>IFERROR($AC720/$AC719-1,"")</f>
        <v/>
      </c>
      <c r="DK719" s="57">
        <f>IFERROR($AD720/$AD719-1,"")</f>
        <v/>
      </c>
      <c r="DL719" s="57">
        <f>IFERROR($AE720/$AE719-1,"")</f>
        <v/>
      </c>
      <c r="DM719" s="56">
        <f>$AZ719-$AZ720</f>
        <v/>
      </c>
      <c r="DN719" s="56">
        <f>$BA719-$BA720</f>
        <v/>
      </c>
      <c r="DO719" s="56">
        <f>$BB719-$BB720</f>
        <v/>
      </c>
      <c r="DP719" s="56">
        <f>$BC719-$BC720</f>
        <v/>
      </c>
      <c r="DQ719" s="56">
        <f>$BD719-$BD720</f>
        <v/>
      </c>
      <c r="DR719" s="56">
        <f>$BE719-$BE720</f>
        <v/>
      </c>
      <c r="DS719" s="56">
        <f>$BF719-$BF720</f>
        <v/>
      </c>
      <c r="DT719" s="56">
        <f>$BG719-$BG720</f>
        <v/>
      </c>
      <c r="DU719" s="56">
        <f>$BH719-$BH720</f>
        <v/>
      </c>
      <c r="DV719" s="56">
        <f>$BI719-$BI720</f>
        <v/>
      </c>
      <c r="DW719" s="56">
        <f>$BJ719-$BJ720</f>
        <v/>
      </c>
      <c r="DX719" s="56">
        <f>$BK719-$BK720</f>
        <v/>
      </c>
      <c r="DY719" s="56">
        <f>$BL719-$BL720</f>
        <v/>
      </c>
      <c r="DZ719" s="56">
        <f>$BM719-$BM720</f>
        <v/>
      </c>
      <c r="EA719" s="56">
        <f>$BN719-$BN720</f>
        <v/>
      </c>
      <c r="EB719" s="56">
        <f>$BO719-$BO720</f>
        <v/>
      </c>
      <c r="EC719" s="56">
        <f>$BP719-$BP720</f>
        <v/>
      </c>
      <c r="ED719" s="56">
        <f>$BQ719-$BQ720</f>
        <v/>
      </c>
      <c r="EE719" s="56">
        <f>$BR719-$BR720</f>
        <v/>
      </c>
      <c r="EF719" s="56">
        <f>$BS719-$BS720</f>
        <v/>
      </c>
      <c r="EG719" s="56">
        <f>$BT719-$BT720</f>
        <v/>
      </c>
      <c r="EH719" s="56">
        <f>$BU719-$BU720</f>
        <v/>
      </c>
    </row>
    <row r="720">
      <c r="BV720" s="56">
        <f>($D720-$D721)*100</f>
        <v/>
      </c>
      <c r="BW720" s="56">
        <f>($C720-$C721)*100</f>
        <v/>
      </c>
      <c r="BX720" s="57">
        <f>IFERROR($I720/$I721-1,"")</f>
        <v/>
      </c>
      <c r="BY720" s="56">
        <f>($AF720-$AF721)*100</f>
        <v/>
      </c>
      <c r="BZ720" s="56">
        <f>($AG720-$AG721)*100</f>
        <v/>
      </c>
      <c r="CA720" s="56">
        <f>($AH720-$AH721)*100</f>
        <v/>
      </c>
      <c r="CB720" s="56">
        <f>($AI720-$AI721)*100</f>
        <v/>
      </c>
      <c r="CC720" s="56">
        <f>($AJ720-$AJ721)*100</f>
        <v/>
      </c>
      <c r="CD720" s="56">
        <f>($AK720-$AK721)*100</f>
        <v/>
      </c>
      <c r="CE720" s="56">
        <f>($AL720-$AL721)*100</f>
        <v/>
      </c>
      <c r="CF720" s="56">
        <f>($AM720-$AM721)*100</f>
        <v/>
      </c>
      <c r="CG720" s="56">
        <f>($AN720-$AN721)*100</f>
        <v/>
      </c>
      <c r="CH720" s="56">
        <f>($AO720-$AO721)*100</f>
        <v/>
      </c>
      <c r="CI720" s="56">
        <f>($AP720-$AP721)*100</f>
        <v/>
      </c>
      <c r="CJ720" s="56">
        <f>($AQ720-$AQ721)*100</f>
        <v/>
      </c>
      <c r="CK720" s="56">
        <f>($AR720-$AR721)*100</f>
        <v/>
      </c>
      <c r="CL720" s="56">
        <f>($AS720-$AS721)*100</f>
        <v/>
      </c>
      <c r="CM720" s="56">
        <f>($AT720-$AT721)*100</f>
        <v/>
      </c>
      <c r="CN720" s="56">
        <f>($AU720-$AU721)*100</f>
        <v/>
      </c>
      <c r="CO720" s="56">
        <f>($AV720-$AV721)*100</f>
        <v/>
      </c>
      <c r="CP720" s="56">
        <f>($AW720-$AW721)*100</f>
        <v/>
      </c>
      <c r="CQ720" s="56">
        <f>($AX720-$AX721)*100</f>
        <v/>
      </c>
      <c r="CR720" s="56">
        <f>($AY720-$AY721)*100</f>
        <v/>
      </c>
      <c r="CS720" s="57">
        <f>IFERROR($L721/$L720-1,"")</f>
        <v/>
      </c>
      <c r="CT720" s="57">
        <f>IFERROR($M721/$M720-1,"")</f>
        <v/>
      </c>
      <c r="CU720" s="57">
        <f>IFERROR($N721/$N720-1,"")</f>
        <v/>
      </c>
      <c r="CV720" s="57">
        <f>IFERROR($O721/$O720-1,"")</f>
        <v/>
      </c>
      <c r="CW720" s="57">
        <f>IFERROR($P721/$P720-1,"")</f>
        <v/>
      </c>
      <c r="CX720" s="57">
        <f>IFERROR($Q721/$Q720-1,"")</f>
        <v/>
      </c>
      <c r="CY720" s="57">
        <f>IFERROR($R721/$R720-1,"")</f>
        <v/>
      </c>
      <c r="CZ720" s="57">
        <f>IFERROR($S721/$S720-1,"")</f>
        <v/>
      </c>
      <c r="DA720" s="57">
        <f>IFERROR($T721/$T720-1,"")</f>
        <v/>
      </c>
      <c r="DB720" s="57">
        <f>IFERROR($U721/$U720-1,"")</f>
        <v/>
      </c>
      <c r="DC720" s="57">
        <f>IFERROR($V721/$V720-1,"")</f>
        <v/>
      </c>
      <c r="DD720" s="57">
        <f>IFERROR($W721/$W720-1,"")</f>
        <v/>
      </c>
      <c r="DE720" s="57">
        <f>IFERROR($X721/$X720-1,"")</f>
        <v/>
      </c>
      <c r="DF720" s="57">
        <f>IFERROR($Y721/$Y720-1,"")</f>
        <v/>
      </c>
      <c r="DG720" s="57">
        <f>IFERROR($Z721/$Z720-1,"")</f>
        <v/>
      </c>
      <c r="DH720" s="57">
        <f>IFERROR($AA721/$AA720-1,"")</f>
        <v/>
      </c>
      <c r="DI720" s="57">
        <f>IFERROR($AB721/$AB720-1,"")</f>
        <v/>
      </c>
      <c r="DJ720" s="57">
        <f>IFERROR($AC721/$AC720-1,"")</f>
        <v/>
      </c>
      <c r="DK720" s="57">
        <f>IFERROR($AD721/$AD720-1,"")</f>
        <v/>
      </c>
      <c r="DL720" s="57">
        <f>IFERROR($AE721/$AE720-1,"")</f>
        <v/>
      </c>
      <c r="DM720" s="56">
        <f>$AZ720-$AZ721</f>
        <v/>
      </c>
      <c r="DN720" s="56">
        <f>$BA720-$BA721</f>
        <v/>
      </c>
      <c r="DO720" s="56">
        <f>$BB720-$BB721</f>
        <v/>
      </c>
      <c r="DP720" s="56">
        <f>$BC720-$BC721</f>
        <v/>
      </c>
      <c r="DQ720" s="56">
        <f>$BD720-$BD721</f>
        <v/>
      </c>
      <c r="DR720" s="56">
        <f>$BE720-$BE721</f>
        <v/>
      </c>
      <c r="DS720" s="56">
        <f>$BF720-$BF721</f>
        <v/>
      </c>
      <c r="DT720" s="56">
        <f>$BG720-$BG721</f>
        <v/>
      </c>
      <c r="DU720" s="56">
        <f>$BH720-$BH721</f>
        <v/>
      </c>
      <c r="DV720" s="56">
        <f>$BI720-$BI721</f>
        <v/>
      </c>
      <c r="DW720" s="56">
        <f>$BJ720-$BJ721</f>
        <v/>
      </c>
      <c r="DX720" s="56">
        <f>$BK720-$BK721</f>
        <v/>
      </c>
      <c r="DY720" s="56">
        <f>$BL720-$BL721</f>
        <v/>
      </c>
      <c r="DZ720" s="56">
        <f>$BM720-$BM721</f>
        <v/>
      </c>
      <c r="EA720" s="56">
        <f>$BN720-$BN721</f>
        <v/>
      </c>
      <c r="EB720" s="56">
        <f>$BO720-$BO721</f>
        <v/>
      </c>
      <c r="EC720" s="56">
        <f>$BP720-$BP721</f>
        <v/>
      </c>
      <c r="ED720" s="56">
        <f>$BQ720-$BQ721</f>
        <v/>
      </c>
      <c r="EE720" s="56">
        <f>$BR720-$BR721</f>
        <v/>
      </c>
      <c r="EF720" s="56">
        <f>$BS720-$BS721</f>
        <v/>
      </c>
      <c r="EG720" s="56">
        <f>$BT720-$BT721</f>
        <v/>
      </c>
      <c r="EH720" s="56">
        <f>$BU720-$BU721</f>
        <v/>
      </c>
    </row>
    <row r="721">
      <c r="BV721" s="56">
        <f>($D721-$D722)*100</f>
        <v/>
      </c>
      <c r="BW721" s="56">
        <f>($C721-$C722)*100</f>
        <v/>
      </c>
      <c r="BX721" s="57">
        <f>IFERROR($I721/$I722-1,"")</f>
        <v/>
      </c>
      <c r="BY721" s="56">
        <f>($AF721-$AF722)*100</f>
        <v/>
      </c>
      <c r="BZ721" s="56">
        <f>($AG721-$AG722)*100</f>
        <v/>
      </c>
      <c r="CA721" s="56">
        <f>($AH721-$AH722)*100</f>
        <v/>
      </c>
      <c r="CB721" s="56">
        <f>($AI721-$AI722)*100</f>
        <v/>
      </c>
      <c r="CC721" s="56">
        <f>($AJ721-$AJ722)*100</f>
        <v/>
      </c>
      <c r="CD721" s="56">
        <f>($AK721-$AK722)*100</f>
        <v/>
      </c>
      <c r="CE721" s="56">
        <f>($AL721-$AL722)*100</f>
        <v/>
      </c>
      <c r="CF721" s="56">
        <f>($AM721-$AM722)*100</f>
        <v/>
      </c>
      <c r="CG721" s="56">
        <f>($AN721-$AN722)*100</f>
        <v/>
      </c>
      <c r="CH721" s="56">
        <f>($AO721-$AO722)*100</f>
        <v/>
      </c>
      <c r="CI721" s="56">
        <f>($AP721-$AP722)*100</f>
        <v/>
      </c>
      <c r="CJ721" s="56">
        <f>($AQ721-$AQ722)*100</f>
        <v/>
      </c>
      <c r="CK721" s="56">
        <f>($AR721-$AR722)*100</f>
        <v/>
      </c>
      <c r="CL721" s="56">
        <f>($AS721-$AS722)*100</f>
        <v/>
      </c>
      <c r="CM721" s="56">
        <f>($AT721-$AT722)*100</f>
        <v/>
      </c>
      <c r="CN721" s="56">
        <f>($AU721-$AU722)*100</f>
        <v/>
      </c>
      <c r="CO721" s="56">
        <f>($AV721-$AV722)*100</f>
        <v/>
      </c>
      <c r="CP721" s="56">
        <f>($AW721-$AW722)*100</f>
        <v/>
      </c>
      <c r="CQ721" s="56">
        <f>($AX721-$AX722)*100</f>
        <v/>
      </c>
      <c r="CR721" s="56">
        <f>($AY721-$AY722)*100</f>
        <v/>
      </c>
      <c r="CS721" s="57">
        <f>IFERROR($L722/$L721-1,"")</f>
        <v/>
      </c>
      <c r="CT721" s="57">
        <f>IFERROR($M722/$M721-1,"")</f>
        <v/>
      </c>
      <c r="CU721" s="57">
        <f>IFERROR($N722/$N721-1,"")</f>
        <v/>
      </c>
      <c r="CV721" s="57">
        <f>IFERROR($O722/$O721-1,"")</f>
        <v/>
      </c>
      <c r="CW721" s="57">
        <f>IFERROR($P722/$P721-1,"")</f>
        <v/>
      </c>
      <c r="CX721" s="57">
        <f>IFERROR($Q722/$Q721-1,"")</f>
        <v/>
      </c>
      <c r="CY721" s="57">
        <f>IFERROR($R722/$R721-1,"")</f>
        <v/>
      </c>
      <c r="CZ721" s="57">
        <f>IFERROR($S722/$S721-1,"")</f>
        <v/>
      </c>
      <c r="DA721" s="57">
        <f>IFERROR($T722/$T721-1,"")</f>
        <v/>
      </c>
      <c r="DB721" s="57">
        <f>IFERROR($U722/$U721-1,"")</f>
        <v/>
      </c>
      <c r="DC721" s="57">
        <f>IFERROR($V722/$V721-1,"")</f>
        <v/>
      </c>
      <c r="DD721" s="57">
        <f>IFERROR($W722/$W721-1,"")</f>
        <v/>
      </c>
      <c r="DE721" s="57">
        <f>IFERROR($X722/$X721-1,"")</f>
        <v/>
      </c>
      <c r="DF721" s="57">
        <f>IFERROR($Y722/$Y721-1,"")</f>
        <v/>
      </c>
      <c r="DG721" s="57">
        <f>IFERROR($Z722/$Z721-1,"")</f>
        <v/>
      </c>
      <c r="DH721" s="57">
        <f>IFERROR($AA722/$AA721-1,"")</f>
        <v/>
      </c>
      <c r="DI721" s="57">
        <f>IFERROR($AB722/$AB721-1,"")</f>
        <v/>
      </c>
      <c r="DJ721" s="57">
        <f>IFERROR($AC722/$AC721-1,"")</f>
        <v/>
      </c>
      <c r="DK721" s="57">
        <f>IFERROR($AD722/$AD721-1,"")</f>
        <v/>
      </c>
      <c r="DL721" s="57">
        <f>IFERROR($AE722/$AE721-1,"")</f>
        <v/>
      </c>
      <c r="DM721" s="56">
        <f>$AZ721-$AZ722</f>
        <v/>
      </c>
      <c r="DN721" s="56">
        <f>$BA721-$BA722</f>
        <v/>
      </c>
      <c r="DO721" s="56">
        <f>$BB721-$BB722</f>
        <v/>
      </c>
      <c r="DP721" s="56">
        <f>$BC721-$BC722</f>
        <v/>
      </c>
      <c r="DQ721" s="56">
        <f>$BD721-$BD722</f>
        <v/>
      </c>
      <c r="DR721" s="56">
        <f>$BE721-$BE722</f>
        <v/>
      </c>
      <c r="DS721" s="56">
        <f>$BF721-$BF722</f>
        <v/>
      </c>
      <c r="DT721" s="56">
        <f>$BG721-$BG722</f>
        <v/>
      </c>
      <c r="DU721" s="56">
        <f>$BH721-$BH722</f>
        <v/>
      </c>
      <c r="DV721" s="56">
        <f>$BI721-$BI722</f>
        <v/>
      </c>
      <c r="DW721" s="56">
        <f>$BJ721-$BJ722</f>
        <v/>
      </c>
      <c r="DX721" s="56">
        <f>$BK721-$BK722</f>
        <v/>
      </c>
      <c r="DY721" s="56">
        <f>$BL721-$BL722</f>
        <v/>
      </c>
      <c r="DZ721" s="56">
        <f>$BM721-$BM722</f>
        <v/>
      </c>
      <c r="EA721" s="56">
        <f>$BN721-$BN722</f>
        <v/>
      </c>
      <c r="EB721" s="56">
        <f>$BO721-$BO722</f>
        <v/>
      </c>
      <c r="EC721" s="56">
        <f>$BP721-$BP722</f>
        <v/>
      </c>
      <c r="ED721" s="56">
        <f>$BQ721-$BQ722</f>
        <v/>
      </c>
      <c r="EE721" s="56">
        <f>$BR721-$BR722</f>
        <v/>
      </c>
      <c r="EF721" s="56">
        <f>$BS721-$BS722</f>
        <v/>
      </c>
      <c r="EG721" s="56">
        <f>$BT721-$BT722</f>
        <v/>
      </c>
      <c r="EH721" s="56">
        <f>$BU721-$BU722</f>
        <v/>
      </c>
    </row>
    <row r="722">
      <c r="BV722" s="56">
        <f>($D722-$D723)*100</f>
        <v/>
      </c>
      <c r="BW722" s="56">
        <f>($C722-$C723)*100</f>
        <v/>
      </c>
      <c r="BX722" s="57">
        <f>IFERROR($I722/$I723-1,"")</f>
        <v/>
      </c>
      <c r="BY722" s="56">
        <f>($AF722-$AF723)*100</f>
        <v/>
      </c>
      <c r="BZ722" s="56">
        <f>($AG722-$AG723)*100</f>
        <v/>
      </c>
      <c r="CA722" s="56">
        <f>($AH722-$AH723)*100</f>
        <v/>
      </c>
      <c r="CB722" s="56">
        <f>($AI722-$AI723)*100</f>
        <v/>
      </c>
      <c r="CC722" s="56">
        <f>($AJ722-$AJ723)*100</f>
        <v/>
      </c>
      <c r="CD722" s="56">
        <f>($AK722-$AK723)*100</f>
        <v/>
      </c>
      <c r="CE722" s="56">
        <f>($AL722-$AL723)*100</f>
        <v/>
      </c>
      <c r="CF722" s="56">
        <f>($AM722-$AM723)*100</f>
        <v/>
      </c>
      <c r="CG722" s="56">
        <f>($AN722-$AN723)*100</f>
        <v/>
      </c>
      <c r="CH722" s="56">
        <f>($AO722-$AO723)*100</f>
        <v/>
      </c>
      <c r="CI722" s="56">
        <f>($AP722-$AP723)*100</f>
        <v/>
      </c>
      <c r="CJ722" s="56">
        <f>($AQ722-$AQ723)*100</f>
        <v/>
      </c>
      <c r="CK722" s="56">
        <f>($AR722-$AR723)*100</f>
        <v/>
      </c>
      <c r="CL722" s="56">
        <f>($AS722-$AS723)*100</f>
        <v/>
      </c>
      <c r="CM722" s="56">
        <f>($AT722-$AT723)*100</f>
        <v/>
      </c>
      <c r="CN722" s="56">
        <f>($AU722-$AU723)*100</f>
        <v/>
      </c>
      <c r="CO722" s="56">
        <f>($AV722-$AV723)*100</f>
        <v/>
      </c>
      <c r="CP722" s="56">
        <f>($AW722-$AW723)*100</f>
        <v/>
      </c>
      <c r="CQ722" s="56">
        <f>($AX722-$AX723)*100</f>
        <v/>
      </c>
      <c r="CR722" s="56">
        <f>($AY722-$AY723)*100</f>
        <v/>
      </c>
      <c r="CS722" s="57">
        <f>IFERROR($L723/$L722-1,"")</f>
        <v/>
      </c>
      <c r="CT722" s="57">
        <f>IFERROR($M723/$M722-1,"")</f>
        <v/>
      </c>
      <c r="CU722" s="57">
        <f>IFERROR($N723/$N722-1,"")</f>
        <v/>
      </c>
      <c r="CV722" s="57">
        <f>IFERROR($O723/$O722-1,"")</f>
        <v/>
      </c>
      <c r="CW722" s="57">
        <f>IFERROR($P723/$P722-1,"")</f>
        <v/>
      </c>
      <c r="CX722" s="57">
        <f>IFERROR($Q723/$Q722-1,"")</f>
        <v/>
      </c>
      <c r="CY722" s="57">
        <f>IFERROR($R723/$R722-1,"")</f>
        <v/>
      </c>
      <c r="CZ722" s="57">
        <f>IFERROR($S723/$S722-1,"")</f>
        <v/>
      </c>
      <c r="DA722" s="57">
        <f>IFERROR($T723/$T722-1,"")</f>
        <v/>
      </c>
      <c r="DB722" s="57">
        <f>IFERROR($U723/$U722-1,"")</f>
        <v/>
      </c>
      <c r="DC722" s="57">
        <f>IFERROR($V723/$V722-1,"")</f>
        <v/>
      </c>
      <c r="DD722" s="57">
        <f>IFERROR($W723/$W722-1,"")</f>
        <v/>
      </c>
      <c r="DE722" s="57">
        <f>IFERROR($X723/$X722-1,"")</f>
        <v/>
      </c>
      <c r="DF722" s="57">
        <f>IFERROR($Y723/$Y722-1,"")</f>
        <v/>
      </c>
      <c r="DG722" s="57">
        <f>IFERROR($Z723/$Z722-1,"")</f>
        <v/>
      </c>
      <c r="DH722" s="57">
        <f>IFERROR($AA723/$AA722-1,"")</f>
        <v/>
      </c>
      <c r="DI722" s="57">
        <f>IFERROR($AB723/$AB722-1,"")</f>
        <v/>
      </c>
      <c r="DJ722" s="57">
        <f>IFERROR($AC723/$AC722-1,"")</f>
        <v/>
      </c>
      <c r="DK722" s="57">
        <f>IFERROR($AD723/$AD722-1,"")</f>
        <v/>
      </c>
      <c r="DL722" s="57">
        <f>IFERROR($AE723/$AE722-1,"")</f>
        <v/>
      </c>
      <c r="DM722" s="56">
        <f>$AZ722-$AZ723</f>
        <v/>
      </c>
      <c r="DN722" s="56">
        <f>$BA722-$BA723</f>
        <v/>
      </c>
      <c r="DO722" s="56">
        <f>$BB722-$BB723</f>
        <v/>
      </c>
      <c r="DP722" s="56">
        <f>$BC722-$BC723</f>
        <v/>
      </c>
      <c r="DQ722" s="56">
        <f>$BD722-$BD723</f>
        <v/>
      </c>
      <c r="DR722" s="56">
        <f>$BE722-$BE723</f>
        <v/>
      </c>
      <c r="DS722" s="56">
        <f>$BF722-$BF723</f>
        <v/>
      </c>
      <c r="DT722" s="56">
        <f>$BG722-$BG723</f>
        <v/>
      </c>
      <c r="DU722" s="56">
        <f>$BH722-$BH723</f>
        <v/>
      </c>
      <c r="DV722" s="56">
        <f>$BI722-$BI723</f>
        <v/>
      </c>
      <c r="DW722" s="56">
        <f>$BJ722-$BJ723</f>
        <v/>
      </c>
      <c r="DX722" s="56">
        <f>$BK722-$BK723</f>
        <v/>
      </c>
      <c r="DY722" s="56">
        <f>$BL722-$BL723</f>
        <v/>
      </c>
      <c r="DZ722" s="56">
        <f>$BM722-$BM723</f>
        <v/>
      </c>
      <c r="EA722" s="56">
        <f>$BN722-$BN723</f>
        <v/>
      </c>
      <c r="EB722" s="56">
        <f>$BO722-$BO723</f>
        <v/>
      </c>
      <c r="EC722" s="56">
        <f>$BP722-$BP723</f>
        <v/>
      </c>
      <c r="ED722" s="56">
        <f>$BQ722-$BQ723</f>
        <v/>
      </c>
      <c r="EE722" s="56">
        <f>$BR722-$BR723</f>
        <v/>
      </c>
      <c r="EF722" s="56">
        <f>$BS722-$BS723</f>
        <v/>
      </c>
      <c r="EG722" s="56">
        <f>$BT722-$BT723</f>
        <v/>
      </c>
      <c r="EH722" s="56">
        <f>$BU722-$BU723</f>
        <v/>
      </c>
    </row>
    <row r="723">
      <c r="BV723" s="56">
        <f>($D723-$D724)*100</f>
        <v/>
      </c>
      <c r="BW723" s="56">
        <f>($C723-$C724)*100</f>
        <v/>
      </c>
      <c r="BX723" s="57">
        <f>IFERROR($I723/$I724-1,"")</f>
        <v/>
      </c>
      <c r="BY723" s="56">
        <f>($AF723-$AF724)*100</f>
        <v/>
      </c>
      <c r="BZ723" s="56">
        <f>($AG723-$AG724)*100</f>
        <v/>
      </c>
      <c r="CA723" s="56">
        <f>($AH723-$AH724)*100</f>
        <v/>
      </c>
      <c r="CB723" s="56">
        <f>($AI723-$AI724)*100</f>
        <v/>
      </c>
      <c r="CC723" s="56">
        <f>($AJ723-$AJ724)*100</f>
        <v/>
      </c>
      <c r="CD723" s="56">
        <f>($AK723-$AK724)*100</f>
        <v/>
      </c>
      <c r="CE723" s="56">
        <f>($AL723-$AL724)*100</f>
        <v/>
      </c>
      <c r="CF723" s="56">
        <f>($AM723-$AM724)*100</f>
        <v/>
      </c>
      <c r="CG723" s="56">
        <f>($AN723-$AN724)*100</f>
        <v/>
      </c>
      <c r="CH723" s="56">
        <f>($AO723-$AO724)*100</f>
        <v/>
      </c>
      <c r="CI723" s="56">
        <f>($AP723-$AP724)*100</f>
        <v/>
      </c>
      <c r="CJ723" s="56">
        <f>($AQ723-$AQ724)*100</f>
        <v/>
      </c>
      <c r="CK723" s="56">
        <f>($AR723-$AR724)*100</f>
        <v/>
      </c>
      <c r="CL723" s="56">
        <f>($AS723-$AS724)*100</f>
        <v/>
      </c>
      <c r="CM723" s="56">
        <f>($AT723-$AT724)*100</f>
        <v/>
      </c>
      <c r="CN723" s="56">
        <f>($AU723-$AU724)*100</f>
        <v/>
      </c>
      <c r="CO723" s="56">
        <f>($AV723-$AV724)*100</f>
        <v/>
      </c>
      <c r="CP723" s="56">
        <f>($AW723-$AW724)*100</f>
        <v/>
      </c>
      <c r="CQ723" s="56">
        <f>($AX723-$AX724)*100</f>
        <v/>
      </c>
      <c r="CR723" s="56">
        <f>($AY723-$AY724)*100</f>
        <v/>
      </c>
      <c r="CS723" s="57">
        <f>IFERROR($L724/$L723-1,"")</f>
        <v/>
      </c>
      <c r="CT723" s="57">
        <f>IFERROR($M724/$M723-1,"")</f>
        <v/>
      </c>
      <c r="CU723" s="57">
        <f>IFERROR($N724/$N723-1,"")</f>
        <v/>
      </c>
      <c r="CV723" s="57">
        <f>IFERROR($O724/$O723-1,"")</f>
        <v/>
      </c>
      <c r="CW723" s="57">
        <f>IFERROR($P724/$P723-1,"")</f>
        <v/>
      </c>
      <c r="CX723" s="57">
        <f>IFERROR($Q724/$Q723-1,"")</f>
        <v/>
      </c>
      <c r="CY723" s="57">
        <f>IFERROR($R724/$R723-1,"")</f>
        <v/>
      </c>
      <c r="CZ723" s="57">
        <f>IFERROR($S724/$S723-1,"")</f>
        <v/>
      </c>
      <c r="DA723" s="57">
        <f>IFERROR($T724/$T723-1,"")</f>
        <v/>
      </c>
      <c r="DB723" s="57">
        <f>IFERROR($U724/$U723-1,"")</f>
        <v/>
      </c>
      <c r="DC723" s="57">
        <f>IFERROR($V724/$V723-1,"")</f>
        <v/>
      </c>
      <c r="DD723" s="57">
        <f>IFERROR($W724/$W723-1,"")</f>
        <v/>
      </c>
      <c r="DE723" s="57">
        <f>IFERROR($X724/$X723-1,"")</f>
        <v/>
      </c>
      <c r="DF723" s="57">
        <f>IFERROR($Y724/$Y723-1,"")</f>
        <v/>
      </c>
      <c r="DG723" s="57">
        <f>IFERROR($Z724/$Z723-1,"")</f>
        <v/>
      </c>
      <c r="DH723" s="57">
        <f>IFERROR($AA724/$AA723-1,"")</f>
        <v/>
      </c>
      <c r="DI723" s="57">
        <f>IFERROR($AB724/$AB723-1,"")</f>
        <v/>
      </c>
      <c r="DJ723" s="57">
        <f>IFERROR($AC724/$AC723-1,"")</f>
        <v/>
      </c>
      <c r="DK723" s="57">
        <f>IFERROR($AD724/$AD723-1,"")</f>
        <v/>
      </c>
      <c r="DL723" s="57">
        <f>IFERROR($AE724/$AE723-1,"")</f>
        <v/>
      </c>
      <c r="DM723" s="56">
        <f>$AZ723-$AZ724</f>
        <v/>
      </c>
      <c r="DN723" s="56">
        <f>$BA723-$BA724</f>
        <v/>
      </c>
      <c r="DO723" s="56">
        <f>$BB723-$BB724</f>
        <v/>
      </c>
      <c r="DP723" s="56">
        <f>$BC723-$BC724</f>
        <v/>
      </c>
      <c r="DQ723" s="56">
        <f>$BD723-$BD724</f>
        <v/>
      </c>
      <c r="DR723" s="56">
        <f>$BE723-$BE724</f>
        <v/>
      </c>
      <c r="DS723" s="56">
        <f>$BF723-$BF724</f>
        <v/>
      </c>
      <c r="DT723" s="56">
        <f>$BG723-$BG724</f>
        <v/>
      </c>
      <c r="DU723" s="56">
        <f>$BH723-$BH724</f>
        <v/>
      </c>
      <c r="DV723" s="56">
        <f>$BI723-$BI724</f>
        <v/>
      </c>
      <c r="DW723" s="56">
        <f>$BJ723-$BJ724</f>
        <v/>
      </c>
      <c r="DX723" s="56">
        <f>$BK723-$BK724</f>
        <v/>
      </c>
      <c r="DY723" s="56">
        <f>$BL723-$BL724</f>
        <v/>
      </c>
      <c r="DZ723" s="56">
        <f>$BM723-$BM724</f>
        <v/>
      </c>
      <c r="EA723" s="56">
        <f>$BN723-$BN724</f>
        <v/>
      </c>
      <c r="EB723" s="56">
        <f>$BO723-$BO724</f>
        <v/>
      </c>
      <c r="EC723" s="56">
        <f>$BP723-$BP724</f>
        <v/>
      </c>
      <c r="ED723" s="56">
        <f>$BQ723-$BQ724</f>
        <v/>
      </c>
      <c r="EE723" s="56">
        <f>$BR723-$BR724</f>
        <v/>
      </c>
      <c r="EF723" s="56">
        <f>$BS723-$BS724</f>
        <v/>
      </c>
      <c r="EG723" s="56">
        <f>$BT723-$BT724</f>
        <v/>
      </c>
      <c r="EH723" s="56">
        <f>$BU723-$BU724</f>
        <v/>
      </c>
    </row>
    <row r="724">
      <c r="BV724" s="56">
        <f>($D724-$D725)*100</f>
        <v/>
      </c>
      <c r="BW724" s="56">
        <f>($C724-$C725)*100</f>
        <v/>
      </c>
      <c r="BX724" s="57">
        <f>IFERROR($I724/$I725-1,"")</f>
        <v/>
      </c>
      <c r="BY724" s="56">
        <f>($AF724-$AF725)*100</f>
        <v/>
      </c>
      <c r="BZ724" s="56">
        <f>($AG724-$AG725)*100</f>
        <v/>
      </c>
      <c r="CA724" s="56">
        <f>($AH724-$AH725)*100</f>
        <v/>
      </c>
      <c r="CB724" s="56">
        <f>($AI724-$AI725)*100</f>
        <v/>
      </c>
      <c r="CC724" s="56">
        <f>($AJ724-$AJ725)*100</f>
        <v/>
      </c>
      <c r="CD724" s="56">
        <f>($AK724-$AK725)*100</f>
        <v/>
      </c>
      <c r="CE724" s="56">
        <f>($AL724-$AL725)*100</f>
        <v/>
      </c>
      <c r="CF724" s="56">
        <f>($AM724-$AM725)*100</f>
        <v/>
      </c>
      <c r="CG724" s="56">
        <f>($AN724-$AN725)*100</f>
        <v/>
      </c>
      <c r="CH724" s="56">
        <f>($AO724-$AO725)*100</f>
        <v/>
      </c>
      <c r="CI724" s="56">
        <f>($AP724-$AP725)*100</f>
        <v/>
      </c>
      <c r="CJ724" s="56">
        <f>($AQ724-$AQ725)*100</f>
        <v/>
      </c>
      <c r="CK724" s="56">
        <f>($AR724-$AR725)*100</f>
        <v/>
      </c>
      <c r="CL724" s="56">
        <f>($AS724-$AS725)*100</f>
        <v/>
      </c>
      <c r="CM724" s="56">
        <f>($AT724-$AT725)*100</f>
        <v/>
      </c>
      <c r="CN724" s="56">
        <f>($AU724-$AU725)*100</f>
        <v/>
      </c>
      <c r="CO724" s="56">
        <f>($AV724-$AV725)*100</f>
        <v/>
      </c>
      <c r="CP724" s="56">
        <f>($AW724-$AW725)*100</f>
        <v/>
      </c>
      <c r="CQ724" s="56">
        <f>($AX724-$AX725)*100</f>
        <v/>
      </c>
      <c r="CR724" s="56">
        <f>($AY724-$AY725)*100</f>
        <v/>
      </c>
      <c r="CS724" s="57">
        <f>IFERROR($L725/$L724-1,"")</f>
        <v/>
      </c>
      <c r="CT724" s="57">
        <f>IFERROR($M725/$M724-1,"")</f>
        <v/>
      </c>
      <c r="CU724" s="57">
        <f>IFERROR($N725/$N724-1,"")</f>
        <v/>
      </c>
      <c r="CV724" s="57">
        <f>IFERROR($O725/$O724-1,"")</f>
        <v/>
      </c>
      <c r="CW724" s="57">
        <f>IFERROR($P725/$P724-1,"")</f>
        <v/>
      </c>
      <c r="CX724" s="57">
        <f>IFERROR($Q725/$Q724-1,"")</f>
        <v/>
      </c>
      <c r="CY724" s="57">
        <f>IFERROR($R725/$R724-1,"")</f>
        <v/>
      </c>
      <c r="CZ724" s="57">
        <f>IFERROR($S725/$S724-1,"")</f>
        <v/>
      </c>
      <c r="DA724" s="57">
        <f>IFERROR($T725/$T724-1,"")</f>
        <v/>
      </c>
      <c r="DB724" s="57">
        <f>IFERROR($U725/$U724-1,"")</f>
        <v/>
      </c>
      <c r="DC724" s="57">
        <f>IFERROR($V725/$V724-1,"")</f>
        <v/>
      </c>
      <c r="DD724" s="57">
        <f>IFERROR($W725/$W724-1,"")</f>
        <v/>
      </c>
      <c r="DE724" s="57">
        <f>IFERROR($X725/$X724-1,"")</f>
        <v/>
      </c>
      <c r="DF724" s="57">
        <f>IFERROR($Y725/$Y724-1,"")</f>
        <v/>
      </c>
      <c r="DG724" s="57">
        <f>IFERROR($Z725/$Z724-1,"")</f>
        <v/>
      </c>
      <c r="DH724" s="57">
        <f>IFERROR($AA725/$AA724-1,"")</f>
        <v/>
      </c>
      <c r="DI724" s="57">
        <f>IFERROR($AB725/$AB724-1,"")</f>
        <v/>
      </c>
      <c r="DJ724" s="57">
        <f>IFERROR($AC725/$AC724-1,"")</f>
        <v/>
      </c>
      <c r="DK724" s="57">
        <f>IFERROR($AD725/$AD724-1,"")</f>
        <v/>
      </c>
      <c r="DL724" s="57">
        <f>IFERROR($AE725/$AE724-1,"")</f>
        <v/>
      </c>
      <c r="DM724" s="56">
        <f>$AZ724-$AZ725</f>
        <v/>
      </c>
      <c r="DN724" s="56">
        <f>$BA724-$BA725</f>
        <v/>
      </c>
      <c r="DO724" s="56">
        <f>$BB724-$BB725</f>
        <v/>
      </c>
      <c r="DP724" s="56">
        <f>$BC724-$BC725</f>
        <v/>
      </c>
      <c r="DQ724" s="56">
        <f>$BD724-$BD725</f>
        <v/>
      </c>
      <c r="DR724" s="56">
        <f>$BE724-$BE725</f>
        <v/>
      </c>
      <c r="DS724" s="56">
        <f>$BF724-$BF725</f>
        <v/>
      </c>
      <c r="DT724" s="56">
        <f>$BG724-$BG725</f>
        <v/>
      </c>
      <c r="DU724" s="56">
        <f>$BH724-$BH725</f>
        <v/>
      </c>
      <c r="DV724" s="56">
        <f>$BI724-$BI725</f>
        <v/>
      </c>
      <c r="DW724" s="56">
        <f>$BJ724-$BJ725</f>
        <v/>
      </c>
      <c r="DX724" s="56">
        <f>$BK724-$BK725</f>
        <v/>
      </c>
      <c r="DY724" s="56">
        <f>$BL724-$BL725</f>
        <v/>
      </c>
      <c r="DZ724" s="56">
        <f>$BM724-$BM725</f>
        <v/>
      </c>
      <c r="EA724" s="56">
        <f>$BN724-$BN725</f>
        <v/>
      </c>
      <c r="EB724" s="56">
        <f>$BO724-$BO725</f>
        <v/>
      </c>
      <c r="EC724" s="56">
        <f>$BP724-$BP725</f>
        <v/>
      </c>
      <c r="ED724" s="56">
        <f>$BQ724-$BQ725</f>
        <v/>
      </c>
      <c r="EE724" s="56">
        <f>$BR724-$BR725</f>
        <v/>
      </c>
      <c r="EF724" s="56">
        <f>$BS724-$BS725</f>
        <v/>
      </c>
      <c r="EG724" s="56">
        <f>$BT724-$BT725</f>
        <v/>
      </c>
      <c r="EH724" s="56">
        <f>$BU724-$BU725</f>
        <v/>
      </c>
    </row>
    <row r="725">
      <c r="BV725" s="56">
        <f>($D725-$D726)*100</f>
        <v/>
      </c>
      <c r="BW725" s="56">
        <f>($C725-$C726)*100</f>
        <v/>
      </c>
      <c r="BX725" s="57">
        <f>IFERROR($I725/$I726-1,"")</f>
        <v/>
      </c>
      <c r="BY725" s="56">
        <f>($AF725-$AF726)*100</f>
        <v/>
      </c>
      <c r="BZ725" s="56">
        <f>($AG725-$AG726)*100</f>
        <v/>
      </c>
      <c r="CA725" s="56">
        <f>($AH725-$AH726)*100</f>
        <v/>
      </c>
      <c r="CB725" s="56">
        <f>($AI725-$AI726)*100</f>
        <v/>
      </c>
      <c r="CC725" s="56">
        <f>($AJ725-$AJ726)*100</f>
        <v/>
      </c>
      <c r="CD725" s="56">
        <f>($AK725-$AK726)*100</f>
        <v/>
      </c>
      <c r="CE725" s="56">
        <f>($AL725-$AL726)*100</f>
        <v/>
      </c>
      <c r="CF725" s="56">
        <f>($AM725-$AM726)*100</f>
        <v/>
      </c>
      <c r="CG725" s="56">
        <f>($AN725-$AN726)*100</f>
        <v/>
      </c>
      <c r="CH725" s="56">
        <f>($AO725-$AO726)*100</f>
        <v/>
      </c>
      <c r="CI725" s="56">
        <f>($AP725-$AP726)*100</f>
        <v/>
      </c>
      <c r="CJ725" s="56">
        <f>($AQ725-$AQ726)*100</f>
        <v/>
      </c>
      <c r="CK725" s="56">
        <f>($AR725-$AR726)*100</f>
        <v/>
      </c>
      <c r="CL725" s="56">
        <f>($AS725-$AS726)*100</f>
        <v/>
      </c>
      <c r="CM725" s="56">
        <f>($AT725-$AT726)*100</f>
        <v/>
      </c>
      <c r="CN725" s="56">
        <f>($AU725-$AU726)*100</f>
        <v/>
      </c>
      <c r="CO725" s="56">
        <f>($AV725-$AV726)*100</f>
        <v/>
      </c>
      <c r="CP725" s="56">
        <f>($AW725-$AW726)*100</f>
        <v/>
      </c>
      <c r="CQ725" s="56">
        <f>($AX725-$AX726)*100</f>
        <v/>
      </c>
      <c r="CR725" s="56">
        <f>($AY725-$AY726)*100</f>
        <v/>
      </c>
      <c r="CS725" s="57">
        <f>IFERROR($L726/$L725-1,"")</f>
        <v/>
      </c>
      <c r="CT725" s="57">
        <f>IFERROR($M726/$M725-1,"")</f>
        <v/>
      </c>
      <c r="CU725" s="57">
        <f>IFERROR($N726/$N725-1,"")</f>
        <v/>
      </c>
      <c r="CV725" s="57">
        <f>IFERROR($O726/$O725-1,"")</f>
        <v/>
      </c>
      <c r="CW725" s="57">
        <f>IFERROR($P726/$P725-1,"")</f>
        <v/>
      </c>
      <c r="CX725" s="57">
        <f>IFERROR($Q726/$Q725-1,"")</f>
        <v/>
      </c>
      <c r="CY725" s="57">
        <f>IFERROR($R726/$R725-1,"")</f>
        <v/>
      </c>
      <c r="CZ725" s="57">
        <f>IFERROR($S726/$S725-1,"")</f>
        <v/>
      </c>
      <c r="DA725" s="57">
        <f>IFERROR($T726/$T725-1,"")</f>
        <v/>
      </c>
      <c r="DB725" s="57">
        <f>IFERROR($U726/$U725-1,"")</f>
        <v/>
      </c>
      <c r="DC725" s="57">
        <f>IFERROR($V726/$V725-1,"")</f>
        <v/>
      </c>
      <c r="DD725" s="57">
        <f>IFERROR($W726/$W725-1,"")</f>
        <v/>
      </c>
      <c r="DE725" s="57">
        <f>IFERROR($X726/$X725-1,"")</f>
        <v/>
      </c>
      <c r="DF725" s="57">
        <f>IFERROR($Y726/$Y725-1,"")</f>
        <v/>
      </c>
      <c r="DG725" s="57">
        <f>IFERROR($Z726/$Z725-1,"")</f>
        <v/>
      </c>
      <c r="DH725" s="57">
        <f>IFERROR($AA726/$AA725-1,"")</f>
        <v/>
      </c>
      <c r="DI725" s="57">
        <f>IFERROR($AB726/$AB725-1,"")</f>
        <v/>
      </c>
      <c r="DJ725" s="57">
        <f>IFERROR($AC726/$AC725-1,"")</f>
        <v/>
      </c>
      <c r="DK725" s="57">
        <f>IFERROR($AD726/$AD725-1,"")</f>
        <v/>
      </c>
      <c r="DL725" s="57">
        <f>IFERROR($AE726/$AE725-1,"")</f>
        <v/>
      </c>
      <c r="DM725" s="56">
        <f>$AZ725-$AZ726</f>
        <v/>
      </c>
      <c r="DN725" s="56">
        <f>$BA725-$BA726</f>
        <v/>
      </c>
      <c r="DO725" s="56">
        <f>$BB725-$BB726</f>
        <v/>
      </c>
      <c r="DP725" s="56">
        <f>$BC725-$BC726</f>
        <v/>
      </c>
      <c r="DQ725" s="56">
        <f>$BD725-$BD726</f>
        <v/>
      </c>
      <c r="DR725" s="56">
        <f>$BE725-$BE726</f>
        <v/>
      </c>
      <c r="DS725" s="56">
        <f>$BF725-$BF726</f>
        <v/>
      </c>
      <c r="DT725" s="56">
        <f>$BG725-$BG726</f>
        <v/>
      </c>
      <c r="DU725" s="56">
        <f>$BH725-$BH726</f>
        <v/>
      </c>
      <c r="DV725" s="56">
        <f>$BI725-$BI726</f>
        <v/>
      </c>
      <c r="DW725" s="56">
        <f>$BJ725-$BJ726</f>
        <v/>
      </c>
      <c r="DX725" s="56">
        <f>$BK725-$BK726</f>
        <v/>
      </c>
      <c r="DY725" s="56">
        <f>$BL725-$BL726</f>
        <v/>
      </c>
      <c r="DZ725" s="56">
        <f>$BM725-$BM726</f>
        <v/>
      </c>
      <c r="EA725" s="56">
        <f>$BN725-$BN726</f>
        <v/>
      </c>
      <c r="EB725" s="56">
        <f>$BO725-$BO726</f>
        <v/>
      </c>
      <c r="EC725" s="56">
        <f>$BP725-$BP726</f>
        <v/>
      </c>
      <c r="ED725" s="56">
        <f>$BQ725-$BQ726</f>
        <v/>
      </c>
      <c r="EE725" s="56">
        <f>$BR725-$BR726</f>
        <v/>
      </c>
      <c r="EF725" s="56">
        <f>$BS725-$BS726</f>
        <v/>
      </c>
      <c r="EG725" s="56">
        <f>$BT725-$BT726</f>
        <v/>
      </c>
      <c r="EH725" s="56">
        <f>$BU725-$BU726</f>
        <v/>
      </c>
    </row>
    <row r="726">
      <c r="BV726" s="56">
        <f>($D726-$D727)*100</f>
        <v/>
      </c>
      <c r="BW726" s="56">
        <f>($C726-$C727)*100</f>
        <v/>
      </c>
      <c r="BX726" s="57">
        <f>IFERROR($I726/$I727-1,"")</f>
        <v/>
      </c>
      <c r="BY726" s="56">
        <f>($AF726-$AF727)*100</f>
        <v/>
      </c>
      <c r="BZ726" s="56">
        <f>($AG726-$AG727)*100</f>
        <v/>
      </c>
      <c r="CA726" s="56">
        <f>($AH726-$AH727)*100</f>
        <v/>
      </c>
      <c r="CB726" s="56">
        <f>($AI726-$AI727)*100</f>
        <v/>
      </c>
      <c r="CC726" s="56">
        <f>($AJ726-$AJ727)*100</f>
        <v/>
      </c>
      <c r="CD726" s="56">
        <f>($AK726-$AK727)*100</f>
        <v/>
      </c>
      <c r="CE726" s="56">
        <f>($AL726-$AL727)*100</f>
        <v/>
      </c>
      <c r="CF726" s="56">
        <f>($AM726-$AM727)*100</f>
        <v/>
      </c>
      <c r="CG726" s="56">
        <f>($AN726-$AN727)*100</f>
        <v/>
      </c>
      <c r="CH726" s="56">
        <f>($AO726-$AO727)*100</f>
        <v/>
      </c>
      <c r="CI726" s="56">
        <f>($AP726-$AP727)*100</f>
        <v/>
      </c>
      <c r="CJ726" s="56">
        <f>($AQ726-$AQ727)*100</f>
        <v/>
      </c>
      <c r="CK726" s="56">
        <f>($AR726-$AR727)*100</f>
        <v/>
      </c>
      <c r="CL726" s="56">
        <f>($AS726-$AS727)*100</f>
        <v/>
      </c>
      <c r="CM726" s="56">
        <f>($AT726-$AT727)*100</f>
        <v/>
      </c>
      <c r="CN726" s="56">
        <f>($AU726-$AU727)*100</f>
        <v/>
      </c>
      <c r="CO726" s="56">
        <f>($AV726-$AV727)*100</f>
        <v/>
      </c>
      <c r="CP726" s="56">
        <f>($AW726-$AW727)*100</f>
        <v/>
      </c>
      <c r="CQ726" s="56">
        <f>($AX726-$AX727)*100</f>
        <v/>
      </c>
      <c r="CR726" s="56">
        <f>($AY726-$AY727)*100</f>
        <v/>
      </c>
      <c r="CS726" s="57">
        <f>IFERROR($L727/$L726-1,"")</f>
        <v/>
      </c>
      <c r="CT726" s="57">
        <f>IFERROR($M727/$M726-1,"")</f>
        <v/>
      </c>
      <c r="CU726" s="57">
        <f>IFERROR($N727/$N726-1,"")</f>
        <v/>
      </c>
      <c r="CV726" s="57">
        <f>IFERROR($O727/$O726-1,"")</f>
        <v/>
      </c>
      <c r="CW726" s="57">
        <f>IFERROR($P727/$P726-1,"")</f>
        <v/>
      </c>
      <c r="CX726" s="57">
        <f>IFERROR($Q727/$Q726-1,"")</f>
        <v/>
      </c>
      <c r="CY726" s="57">
        <f>IFERROR($R727/$R726-1,"")</f>
        <v/>
      </c>
      <c r="CZ726" s="57">
        <f>IFERROR($S727/$S726-1,"")</f>
        <v/>
      </c>
      <c r="DA726" s="57">
        <f>IFERROR($T727/$T726-1,"")</f>
        <v/>
      </c>
      <c r="DB726" s="57">
        <f>IFERROR($U727/$U726-1,"")</f>
        <v/>
      </c>
      <c r="DC726" s="57">
        <f>IFERROR($V727/$V726-1,"")</f>
        <v/>
      </c>
      <c r="DD726" s="57">
        <f>IFERROR($W727/$W726-1,"")</f>
        <v/>
      </c>
      <c r="DE726" s="57">
        <f>IFERROR($X727/$X726-1,"")</f>
        <v/>
      </c>
      <c r="DF726" s="57">
        <f>IFERROR($Y727/$Y726-1,"")</f>
        <v/>
      </c>
      <c r="DG726" s="57">
        <f>IFERROR($Z727/$Z726-1,"")</f>
        <v/>
      </c>
      <c r="DH726" s="57">
        <f>IFERROR($AA727/$AA726-1,"")</f>
        <v/>
      </c>
      <c r="DI726" s="57">
        <f>IFERROR($AB727/$AB726-1,"")</f>
        <v/>
      </c>
      <c r="DJ726" s="57">
        <f>IFERROR($AC727/$AC726-1,"")</f>
        <v/>
      </c>
      <c r="DK726" s="57">
        <f>IFERROR($AD727/$AD726-1,"")</f>
        <v/>
      </c>
      <c r="DL726" s="57">
        <f>IFERROR($AE727/$AE726-1,"")</f>
        <v/>
      </c>
      <c r="DM726" s="56">
        <f>$AZ726-$AZ727</f>
        <v/>
      </c>
      <c r="DN726" s="56">
        <f>$BA726-$BA727</f>
        <v/>
      </c>
      <c r="DO726" s="56">
        <f>$BB726-$BB727</f>
        <v/>
      </c>
      <c r="DP726" s="56">
        <f>$BC726-$BC727</f>
        <v/>
      </c>
      <c r="DQ726" s="56">
        <f>$BD726-$BD727</f>
        <v/>
      </c>
      <c r="DR726" s="56">
        <f>$BE726-$BE727</f>
        <v/>
      </c>
      <c r="DS726" s="56">
        <f>$BF726-$BF727</f>
        <v/>
      </c>
      <c r="DT726" s="56">
        <f>$BG726-$BG727</f>
        <v/>
      </c>
      <c r="DU726" s="56">
        <f>$BH726-$BH727</f>
        <v/>
      </c>
      <c r="DV726" s="56">
        <f>$BI726-$BI727</f>
        <v/>
      </c>
      <c r="DW726" s="56">
        <f>$BJ726-$BJ727</f>
        <v/>
      </c>
      <c r="DX726" s="56">
        <f>$BK726-$BK727</f>
        <v/>
      </c>
      <c r="DY726" s="56">
        <f>$BL726-$BL727</f>
        <v/>
      </c>
      <c r="DZ726" s="56">
        <f>$BM726-$BM727</f>
        <v/>
      </c>
      <c r="EA726" s="56">
        <f>$BN726-$BN727</f>
        <v/>
      </c>
      <c r="EB726" s="56">
        <f>$BO726-$BO727</f>
        <v/>
      </c>
      <c r="EC726" s="56">
        <f>$BP726-$BP727</f>
        <v/>
      </c>
      <c r="ED726" s="56">
        <f>$BQ726-$BQ727</f>
        <v/>
      </c>
      <c r="EE726" s="56">
        <f>$BR726-$BR727</f>
        <v/>
      </c>
      <c r="EF726" s="56">
        <f>$BS726-$BS727</f>
        <v/>
      </c>
      <c r="EG726" s="56">
        <f>$BT726-$BT727</f>
        <v/>
      </c>
      <c r="EH726" s="56">
        <f>$BU726-$BU727</f>
        <v/>
      </c>
    </row>
    <row r="727">
      <c r="BV727" s="56">
        <f>($D727-$D728)*100</f>
        <v/>
      </c>
      <c r="BW727" s="56">
        <f>($C727-$C728)*100</f>
        <v/>
      </c>
      <c r="BX727" s="57">
        <f>IFERROR($I727/$I728-1,"")</f>
        <v/>
      </c>
      <c r="BY727" s="56">
        <f>($AF727-$AF728)*100</f>
        <v/>
      </c>
      <c r="BZ727" s="56">
        <f>($AG727-$AG728)*100</f>
        <v/>
      </c>
      <c r="CA727" s="56">
        <f>($AH727-$AH728)*100</f>
        <v/>
      </c>
      <c r="CB727" s="56">
        <f>($AI727-$AI728)*100</f>
        <v/>
      </c>
      <c r="CC727" s="56">
        <f>($AJ727-$AJ728)*100</f>
        <v/>
      </c>
      <c r="CD727" s="56">
        <f>($AK727-$AK728)*100</f>
        <v/>
      </c>
      <c r="CE727" s="56">
        <f>($AL727-$AL728)*100</f>
        <v/>
      </c>
      <c r="CF727" s="56">
        <f>($AM727-$AM728)*100</f>
        <v/>
      </c>
      <c r="CG727" s="56">
        <f>($AN727-$AN728)*100</f>
        <v/>
      </c>
      <c r="CH727" s="56">
        <f>($AO727-$AO728)*100</f>
        <v/>
      </c>
      <c r="CI727" s="56">
        <f>($AP727-$AP728)*100</f>
        <v/>
      </c>
      <c r="CJ727" s="56">
        <f>($AQ727-$AQ728)*100</f>
        <v/>
      </c>
      <c r="CK727" s="56">
        <f>($AR727-$AR728)*100</f>
        <v/>
      </c>
      <c r="CL727" s="56">
        <f>($AS727-$AS728)*100</f>
        <v/>
      </c>
      <c r="CM727" s="56">
        <f>($AT727-$AT728)*100</f>
        <v/>
      </c>
      <c r="CN727" s="56">
        <f>($AU727-$AU728)*100</f>
        <v/>
      </c>
      <c r="CO727" s="56">
        <f>($AV727-$AV728)*100</f>
        <v/>
      </c>
      <c r="CP727" s="56">
        <f>($AW727-$AW728)*100</f>
        <v/>
      </c>
      <c r="CQ727" s="56">
        <f>($AX727-$AX728)*100</f>
        <v/>
      </c>
      <c r="CR727" s="56">
        <f>($AY727-$AY728)*100</f>
        <v/>
      </c>
      <c r="CS727" s="57">
        <f>IFERROR($L728/$L727-1,"")</f>
        <v/>
      </c>
      <c r="CT727" s="57">
        <f>IFERROR($M728/$M727-1,"")</f>
        <v/>
      </c>
      <c r="CU727" s="57">
        <f>IFERROR($N728/$N727-1,"")</f>
        <v/>
      </c>
      <c r="CV727" s="57">
        <f>IFERROR($O728/$O727-1,"")</f>
        <v/>
      </c>
      <c r="CW727" s="57">
        <f>IFERROR($P728/$P727-1,"")</f>
        <v/>
      </c>
      <c r="CX727" s="57">
        <f>IFERROR($Q728/$Q727-1,"")</f>
        <v/>
      </c>
      <c r="CY727" s="57">
        <f>IFERROR($R728/$R727-1,"")</f>
        <v/>
      </c>
      <c r="CZ727" s="57">
        <f>IFERROR($S728/$S727-1,"")</f>
        <v/>
      </c>
      <c r="DA727" s="57">
        <f>IFERROR($T728/$T727-1,"")</f>
        <v/>
      </c>
      <c r="DB727" s="57">
        <f>IFERROR($U728/$U727-1,"")</f>
        <v/>
      </c>
      <c r="DC727" s="57">
        <f>IFERROR($V728/$V727-1,"")</f>
        <v/>
      </c>
      <c r="DD727" s="57">
        <f>IFERROR($W728/$W727-1,"")</f>
        <v/>
      </c>
      <c r="DE727" s="57">
        <f>IFERROR($X728/$X727-1,"")</f>
        <v/>
      </c>
      <c r="DF727" s="57">
        <f>IFERROR($Y728/$Y727-1,"")</f>
        <v/>
      </c>
      <c r="DG727" s="57">
        <f>IFERROR($Z728/$Z727-1,"")</f>
        <v/>
      </c>
      <c r="DH727" s="57">
        <f>IFERROR($AA728/$AA727-1,"")</f>
        <v/>
      </c>
      <c r="DI727" s="57">
        <f>IFERROR($AB728/$AB727-1,"")</f>
        <v/>
      </c>
      <c r="DJ727" s="57">
        <f>IFERROR($AC728/$AC727-1,"")</f>
        <v/>
      </c>
      <c r="DK727" s="57">
        <f>IFERROR($AD728/$AD727-1,"")</f>
        <v/>
      </c>
      <c r="DL727" s="57">
        <f>IFERROR($AE728/$AE727-1,"")</f>
        <v/>
      </c>
      <c r="DM727" s="56">
        <f>$AZ727-$AZ728</f>
        <v/>
      </c>
      <c r="DN727" s="56">
        <f>$BA727-$BA728</f>
        <v/>
      </c>
      <c r="DO727" s="56">
        <f>$BB727-$BB728</f>
        <v/>
      </c>
      <c r="DP727" s="56">
        <f>$BC727-$BC728</f>
        <v/>
      </c>
      <c r="DQ727" s="56">
        <f>$BD727-$BD728</f>
        <v/>
      </c>
      <c r="DR727" s="56">
        <f>$BE727-$BE728</f>
        <v/>
      </c>
      <c r="DS727" s="56">
        <f>$BF727-$BF728</f>
        <v/>
      </c>
      <c r="DT727" s="56">
        <f>$BG727-$BG728</f>
        <v/>
      </c>
      <c r="DU727" s="56">
        <f>$BH727-$BH728</f>
        <v/>
      </c>
      <c r="DV727" s="56">
        <f>$BI727-$BI728</f>
        <v/>
      </c>
      <c r="DW727" s="56">
        <f>$BJ727-$BJ728</f>
        <v/>
      </c>
      <c r="DX727" s="56">
        <f>$BK727-$BK728</f>
        <v/>
      </c>
      <c r="DY727" s="56">
        <f>$BL727-$BL728</f>
        <v/>
      </c>
      <c r="DZ727" s="56">
        <f>$BM727-$BM728</f>
        <v/>
      </c>
      <c r="EA727" s="56">
        <f>$BN727-$BN728</f>
        <v/>
      </c>
      <c r="EB727" s="56">
        <f>$BO727-$BO728</f>
        <v/>
      </c>
      <c r="EC727" s="56">
        <f>$BP727-$BP728</f>
        <v/>
      </c>
      <c r="ED727" s="56">
        <f>$BQ727-$BQ728</f>
        <v/>
      </c>
      <c r="EE727" s="56">
        <f>$BR727-$BR728</f>
        <v/>
      </c>
      <c r="EF727" s="56">
        <f>$BS727-$BS728</f>
        <v/>
      </c>
      <c r="EG727" s="56">
        <f>$BT727-$BT728</f>
        <v/>
      </c>
      <c r="EH727" s="56">
        <f>$BU727-$BU728</f>
        <v/>
      </c>
    </row>
    <row r="728">
      <c r="BV728" s="56">
        <f>($D728-$D729)*100</f>
        <v/>
      </c>
      <c r="BW728" s="56">
        <f>($C728-$C729)*100</f>
        <v/>
      </c>
      <c r="BX728" s="57">
        <f>IFERROR($I728/$I729-1,"")</f>
        <v/>
      </c>
      <c r="BY728" s="56">
        <f>($AF728-$AF729)*100</f>
        <v/>
      </c>
      <c r="BZ728" s="56">
        <f>($AG728-$AG729)*100</f>
        <v/>
      </c>
      <c r="CA728" s="56">
        <f>($AH728-$AH729)*100</f>
        <v/>
      </c>
      <c r="CB728" s="56">
        <f>($AI728-$AI729)*100</f>
        <v/>
      </c>
      <c r="CC728" s="56">
        <f>($AJ728-$AJ729)*100</f>
        <v/>
      </c>
      <c r="CD728" s="56">
        <f>($AK728-$AK729)*100</f>
        <v/>
      </c>
      <c r="CE728" s="56">
        <f>($AL728-$AL729)*100</f>
        <v/>
      </c>
      <c r="CF728" s="56">
        <f>($AM728-$AM729)*100</f>
        <v/>
      </c>
      <c r="CG728" s="56">
        <f>($AN728-$AN729)*100</f>
        <v/>
      </c>
      <c r="CH728" s="56">
        <f>($AO728-$AO729)*100</f>
        <v/>
      </c>
      <c r="CI728" s="56">
        <f>($AP728-$AP729)*100</f>
        <v/>
      </c>
      <c r="CJ728" s="56">
        <f>($AQ728-$AQ729)*100</f>
        <v/>
      </c>
      <c r="CK728" s="56">
        <f>($AR728-$AR729)*100</f>
        <v/>
      </c>
      <c r="CL728" s="56">
        <f>($AS728-$AS729)*100</f>
        <v/>
      </c>
      <c r="CM728" s="56">
        <f>($AT728-$AT729)*100</f>
        <v/>
      </c>
      <c r="CN728" s="56">
        <f>($AU728-$AU729)*100</f>
        <v/>
      </c>
      <c r="CO728" s="56">
        <f>($AV728-$AV729)*100</f>
        <v/>
      </c>
      <c r="CP728" s="56">
        <f>($AW728-$AW729)*100</f>
        <v/>
      </c>
      <c r="CQ728" s="56">
        <f>($AX728-$AX729)*100</f>
        <v/>
      </c>
      <c r="CR728" s="56">
        <f>($AY728-$AY729)*100</f>
        <v/>
      </c>
      <c r="CS728" s="57">
        <f>IFERROR($L729/$L728-1,"")</f>
        <v/>
      </c>
      <c r="CT728" s="57">
        <f>IFERROR($M729/$M728-1,"")</f>
        <v/>
      </c>
      <c r="CU728" s="57">
        <f>IFERROR($N729/$N728-1,"")</f>
        <v/>
      </c>
      <c r="CV728" s="57">
        <f>IFERROR($O729/$O728-1,"")</f>
        <v/>
      </c>
      <c r="CW728" s="57">
        <f>IFERROR($P729/$P728-1,"")</f>
        <v/>
      </c>
      <c r="CX728" s="57">
        <f>IFERROR($Q729/$Q728-1,"")</f>
        <v/>
      </c>
      <c r="CY728" s="57">
        <f>IFERROR($R729/$R728-1,"")</f>
        <v/>
      </c>
      <c r="CZ728" s="57">
        <f>IFERROR($S729/$S728-1,"")</f>
        <v/>
      </c>
      <c r="DA728" s="57">
        <f>IFERROR($T729/$T728-1,"")</f>
        <v/>
      </c>
      <c r="DB728" s="57">
        <f>IFERROR($U729/$U728-1,"")</f>
        <v/>
      </c>
      <c r="DC728" s="57">
        <f>IFERROR($V729/$V728-1,"")</f>
        <v/>
      </c>
      <c r="DD728" s="57">
        <f>IFERROR($W729/$W728-1,"")</f>
        <v/>
      </c>
      <c r="DE728" s="57">
        <f>IFERROR($X729/$X728-1,"")</f>
        <v/>
      </c>
      <c r="DF728" s="57">
        <f>IFERROR($Y729/$Y728-1,"")</f>
        <v/>
      </c>
      <c r="DG728" s="57">
        <f>IFERROR($Z729/$Z728-1,"")</f>
        <v/>
      </c>
      <c r="DH728" s="57">
        <f>IFERROR($AA729/$AA728-1,"")</f>
        <v/>
      </c>
      <c r="DI728" s="57">
        <f>IFERROR($AB729/$AB728-1,"")</f>
        <v/>
      </c>
      <c r="DJ728" s="57">
        <f>IFERROR($AC729/$AC728-1,"")</f>
        <v/>
      </c>
      <c r="DK728" s="57">
        <f>IFERROR($AD729/$AD728-1,"")</f>
        <v/>
      </c>
      <c r="DL728" s="57">
        <f>IFERROR($AE729/$AE728-1,"")</f>
        <v/>
      </c>
      <c r="DM728" s="56">
        <f>$AZ728-$AZ729</f>
        <v/>
      </c>
      <c r="DN728" s="56">
        <f>$BA728-$BA729</f>
        <v/>
      </c>
      <c r="DO728" s="56">
        <f>$BB728-$BB729</f>
        <v/>
      </c>
      <c r="DP728" s="56">
        <f>$BC728-$BC729</f>
        <v/>
      </c>
      <c r="DQ728" s="56">
        <f>$BD728-$BD729</f>
        <v/>
      </c>
      <c r="DR728" s="56">
        <f>$BE728-$BE729</f>
        <v/>
      </c>
      <c r="DS728" s="56">
        <f>$BF728-$BF729</f>
        <v/>
      </c>
      <c r="DT728" s="56">
        <f>$BG728-$BG729</f>
        <v/>
      </c>
      <c r="DU728" s="56">
        <f>$BH728-$BH729</f>
        <v/>
      </c>
      <c r="DV728" s="56">
        <f>$BI728-$BI729</f>
        <v/>
      </c>
      <c r="DW728" s="56">
        <f>$BJ728-$BJ729</f>
        <v/>
      </c>
      <c r="DX728" s="56">
        <f>$BK728-$BK729</f>
        <v/>
      </c>
      <c r="DY728" s="56">
        <f>$BL728-$BL729</f>
        <v/>
      </c>
      <c r="DZ728" s="56">
        <f>$BM728-$BM729</f>
        <v/>
      </c>
      <c r="EA728" s="56">
        <f>$BN728-$BN729</f>
        <v/>
      </c>
      <c r="EB728" s="56">
        <f>$BO728-$BO729</f>
        <v/>
      </c>
      <c r="EC728" s="56">
        <f>$BP728-$BP729</f>
        <v/>
      </c>
      <c r="ED728" s="56">
        <f>$BQ728-$BQ729</f>
        <v/>
      </c>
      <c r="EE728" s="56">
        <f>$BR728-$BR729</f>
        <v/>
      </c>
      <c r="EF728" s="56">
        <f>$BS728-$BS729</f>
        <v/>
      </c>
      <c r="EG728" s="56">
        <f>$BT728-$BT729</f>
        <v/>
      </c>
      <c r="EH728" s="56">
        <f>$BU728-$BU729</f>
        <v/>
      </c>
    </row>
    <row r="729">
      <c r="BV729" s="56">
        <f>($D729-$D730)*100</f>
        <v/>
      </c>
      <c r="BW729" s="56">
        <f>($C729-$C730)*100</f>
        <v/>
      </c>
      <c r="BX729" s="57">
        <f>IFERROR($I729/$I730-1,"")</f>
        <v/>
      </c>
      <c r="BY729" s="56">
        <f>($AF729-$AF730)*100</f>
        <v/>
      </c>
      <c r="BZ729" s="56">
        <f>($AG729-$AG730)*100</f>
        <v/>
      </c>
      <c r="CA729" s="56">
        <f>($AH729-$AH730)*100</f>
        <v/>
      </c>
      <c r="CB729" s="56">
        <f>($AI729-$AI730)*100</f>
        <v/>
      </c>
      <c r="CC729" s="56">
        <f>($AJ729-$AJ730)*100</f>
        <v/>
      </c>
      <c r="CD729" s="56">
        <f>($AK729-$AK730)*100</f>
        <v/>
      </c>
      <c r="CE729" s="56">
        <f>($AL729-$AL730)*100</f>
        <v/>
      </c>
      <c r="CF729" s="56">
        <f>($AM729-$AM730)*100</f>
        <v/>
      </c>
      <c r="CG729" s="56">
        <f>($AN729-$AN730)*100</f>
        <v/>
      </c>
      <c r="CH729" s="56">
        <f>($AO729-$AO730)*100</f>
        <v/>
      </c>
      <c r="CI729" s="56">
        <f>($AP729-$AP730)*100</f>
        <v/>
      </c>
      <c r="CJ729" s="56">
        <f>($AQ729-$AQ730)*100</f>
        <v/>
      </c>
      <c r="CK729" s="56">
        <f>($AR729-$AR730)*100</f>
        <v/>
      </c>
      <c r="CL729" s="56">
        <f>($AS729-$AS730)*100</f>
        <v/>
      </c>
      <c r="CM729" s="56">
        <f>($AT729-$AT730)*100</f>
        <v/>
      </c>
      <c r="CN729" s="56">
        <f>($AU729-$AU730)*100</f>
        <v/>
      </c>
      <c r="CO729" s="56">
        <f>($AV729-$AV730)*100</f>
        <v/>
      </c>
      <c r="CP729" s="56">
        <f>($AW729-$AW730)*100</f>
        <v/>
      </c>
      <c r="CQ729" s="56">
        <f>($AX729-$AX730)*100</f>
        <v/>
      </c>
      <c r="CR729" s="56">
        <f>($AY729-$AY730)*100</f>
        <v/>
      </c>
      <c r="CS729" s="57">
        <f>IFERROR($L730/$L729-1,"")</f>
        <v/>
      </c>
      <c r="CT729" s="57">
        <f>IFERROR($M730/$M729-1,"")</f>
        <v/>
      </c>
      <c r="CU729" s="57">
        <f>IFERROR($N730/$N729-1,"")</f>
        <v/>
      </c>
      <c r="CV729" s="57">
        <f>IFERROR($O730/$O729-1,"")</f>
        <v/>
      </c>
      <c r="CW729" s="57">
        <f>IFERROR($P730/$P729-1,"")</f>
        <v/>
      </c>
      <c r="CX729" s="57">
        <f>IFERROR($Q730/$Q729-1,"")</f>
        <v/>
      </c>
      <c r="CY729" s="57">
        <f>IFERROR($R730/$R729-1,"")</f>
        <v/>
      </c>
      <c r="CZ729" s="57">
        <f>IFERROR($S730/$S729-1,"")</f>
        <v/>
      </c>
      <c r="DA729" s="57">
        <f>IFERROR($T730/$T729-1,"")</f>
        <v/>
      </c>
      <c r="DB729" s="57">
        <f>IFERROR($U730/$U729-1,"")</f>
        <v/>
      </c>
      <c r="DC729" s="57">
        <f>IFERROR($V730/$V729-1,"")</f>
        <v/>
      </c>
      <c r="DD729" s="57">
        <f>IFERROR($W730/$W729-1,"")</f>
        <v/>
      </c>
      <c r="DE729" s="57">
        <f>IFERROR($X730/$X729-1,"")</f>
        <v/>
      </c>
      <c r="DF729" s="57">
        <f>IFERROR($Y730/$Y729-1,"")</f>
        <v/>
      </c>
      <c r="DG729" s="57">
        <f>IFERROR($Z730/$Z729-1,"")</f>
        <v/>
      </c>
      <c r="DH729" s="57">
        <f>IFERROR($AA730/$AA729-1,"")</f>
        <v/>
      </c>
      <c r="DI729" s="57">
        <f>IFERROR($AB730/$AB729-1,"")</f>
        <v/>
      </c>
      <c r="DJ729" s="57">
        <f>IFERROR($AC730/$AC729-1,"")</f>
        <v/>
      </c>
      <c r="DK729" s="57">
        <f>IFERROR($AD730/$AD729-1,"")</f>
        <v/>
      </c>
      <c r="DL729" s="57">
        <f>IFERROR($AE730/$AE729-1,"")</f>
        <v/>
      </c>
      <c r="DM729" s="56">
        <f>$AZ729-$AZ730</f>
        <v/>
      </c>
      <c r="DN729" s="56">
        <f>$BA729-$BA730</f>
        <v/>
      </c>
      <c r="DO729" s="56">
        <f>$BB729-$BB730</f>
        <v/>
      </c>
      <c r="DP729" s="56">
        <f>$BC729-$BC730</f>
        <v/>
      </c>
      <c r="DQ729" s="56">
        <f>$BD729-$BD730</f>
        <v/>
      </c>
      <c r="DR729" s="56">
        <f>$BE729-$BE730</f>
        <v/>
      </c>
      <c r="DS729" s="56">
        <f>$BF729-$BF730</f>
        <v/>
      </c>
      <c r="DT729" s="56">
        <f>$BG729-$BG730</f>
        <v/>
      </c>
      <c r="DU729" s="56">
        <f>$BH729-$BH730</f>
        <v/>
      </c>
      <c r="DV729" s="56">
        <f>$BI729-$BI730</f>
        <v/>
      </c>
      <c r="DW729" s="56">
        <f>$BJ729-$BJ730</f>
        <v/>
      </c>
      <c r="DX729" s="56">
        <f>$BK729-$BK730</f>
        <v/>
      </c>
      <c r="DY729" s="56">
        <f>$BL729-$BL730</f>
        <v/>
      </c>
      <c r="DZ729" s="56">
        <f>$BM729-$BM730</f>
        <v/>
      </c>
      <c r="EA729" s="56">
        <f>$BN729-$BN730</f>
        <v/>
      </c>
      <c r="EB729" s="56">
        <f>$BO729-$BO730</f>
        <v/>
      </c>
      <c r="EC729" s="56">
        <f>$BP729-$BP730</f>
        <v/>
      </c>
      <c r="ED729" s="56">
        <f>$BQ729-$BQ730</f>
        <v/>
      </c>
      <c r="EE729" s="56">
        <f>$BR729-$BR730</f>
        <v/>
      </c>
      <c r="EF729" s="56">
        <f>$BS729-$BS730</f>
        <v/>
      </c>
      <c r="EG729" s="56">
        <f>$BT729-$BT730</f>
        <v/>
      </c>
      <c r="EH729" s="56">
        <f>$BU729-$BU730</f>
        <v/>
      </c>
    </row>
    <row r="730">
      <c r="BV730" s="56">
        <f>($D730-$D731)*100</f>
        <v/>
      </c>
      <c r="BW730" s="56">
        <f>($C730-$C731)*100</f>
        <v/>
      </c>
      <c r="BX730" s="57">
        <f>IFERROR($I730/$I731-1,"")</f>
        <v/>
      </c>
      <c r="BY730" s="56">
        <f>($AF730-$AF731)*100</f>
        <v/>
      </c>
      <c r="BZ730" s="56">
        <f>($AG730-$AG731)*100</f>
        <v/>
      </c>
      <c r="CA730" s="56">
        <f>($AH730-$AH731)*100</f>
        <v/>
      </c>
      <c r="CB730" s="56">
        <f>($AI730-$AI731)*100</f>
        <v/>
      </c>
      <c r="CC730" s="56">
        <f>($AJ730-$AJ731)*100</f>
        <v/>
      </c>
      <c r="CD730" s="56">
        <f>($AK730-$AK731)*100</f>
        <v/>
      </c>
      <c r="CE730" s="56">
        <f>($AL730-$AL731)*100</f>
        <v/>
      </c>
      <c r="CF730" s="56">
        <f>($AM730-$AM731)*100</f>
        <v/>
      </c>
      <c r="CG730" s="56">
        <f>($AN730-$AN731)*100</f>
        <v/>
      </c>
      <c r="CH730" s="56">
        <f>($AO730-$AO731)*100</f>
        <v/>
      </c>
      <c r="CI730" s="56">
        <f>($AP730-$AP731)*100</f>
        <v/>
      </c>
      <c r="CJ730" s="56">
        <f>($AQ730-$AQ731)*100</f>
        <v/>
      </c>
      <c r="CK730" s="56">
        <f>($AR730-$AR731)*100</f>
        <v/>
      </c>
      <c r="CL730" s="56">
        <f>($AS730-$AS731)*100</f>
        <v/>
      </c>
      <c r="CM730" s="56">
        <f>($AT730-$AT731)*100</f>
        <v/>
      </c>
      <c r="CN730" s="56">
        <f>($AU730-$AU731)*100</f>
        <v/>
      </c>
      <c r="CO730" s="56">
        <f>($AV730-$AV731)*100</f>
        <v/>
      </c>
      <c r="CP730" s="56">
        <f>($AW730-$AW731)*100</f>
        <v/>
      </c>
      <c r="CQ730" s="56">
        <f>($AX730-$AX731)*100</f>
        <v/>
      </c>
      <c r="CR730" s="56">
        <f>($AY730-$AY731)*100</f>
        <v/>
      </c>
      <c r="CS730" s="57">
        <f>IFERROR($L731/$L730-1,"")</f>
        <v/>
      </c>
      <c r="CT730" s="57">
        <f>IFERROR($M731/$M730-1,"")</f>
        <v/>
      </c>
      <c r="CU730" s="57">
        <f>IFERROR($N731/$N730-1,"")</f>
        <v/>
      </c>
      <c r="CV730" s="57">
        <f>IFERROR($O731/$O730-1,"")</f>
        <v/>
      </c>
      <c r="CW730" s="57">
        <f>IFERROR($P731/$P730-1,"")</f>
        <v/>
      </c>
      <c r="CX730" s="57">
        <f>IFERROR($Q731/$Q730-1,"")</f>
        <v/>
      </c>
      <c r="CY730" s="57">
        <f>IFERROR($R731/$R730-1,"")</f>
        <v/>
      </c>
      <c r="CZ730" s="57">
        <f>IFERROR($S731/$S730-1,"")</f>
        <v/>
      </c>
      <c r="DA730" s="57">
        <f>IFERROR($T731/$T730-1,"")</f>
        <v/>
      </c>
      <c r="DB730" s="57">
        <f>IFERROR($U731/$U730-1,"")</f>
        <v/>
      </c>
      <c r="DC730" s="57">
        <f>IFERROR($V731/$V730-1,"")</f>
        <v/>
      </c>
      <c r="DD730" s="57">
        <f>IFERROR($W731/$W730-1,"")</f>
        <v/>
      </c>
      <c r="DE730" s="57">
        <f>IFERROR($X731/$X730-1,"")</f>
        <v/>
      </c>
      <c r="DF730" s="57">
        <f>IFERROR($Y731/$Y730-1,"")</f>
        <v/>
      </c>
      <c r="DG730" s="57">
        <f>IFERROR($Z731/$Z730-1,"")</f>
        <v/>
      </c>
      <c r="DH730" s="57">
        <f>IFERROR($AA731/$AA730-1,"")</f>
        <v/>
      </c>
      <c r="DI730" s="57">
        <f>IFERROR($AB731/$AB730-1,"")</f>
        <v/>
      </c>
      <c r="DJ730" s="57">
        <f>IFERROR($AC731/$AC730-1,"")</f>
        <v/>
      </c>
      <c r="DK730" s="57">
        <f>IFERROR($AD731/$AD730-1,"")</f>
        <v/>
      </c>
      <c r="DL730" s="57">
        <f>IFERROR($AE731/$AE730-1,"")</f>
        <v/>
      </c>
      <c r="DM730" s="56">
        <f>$AZ730-$AZ731</f>
        <v/>
      </c>
      <c r="DN730" s="56">
        <f>$BA730-$BA731</f>
        <v/>
      </c>
      <c r="DO730" s="56">
        <f>$BB730-$BB731</f>
        <v/>
      </c>
      <c r="DP730" s="56">
        <f>$BC730-$BC731</f>
        <v/>
      </c>
      <c r="DQ730" s="56">
        <f>$BD730-$BD731</f>
        <v/>
      </c>
      <c r="DR730" s="56">
        <f>$BE730-$BE731</f>
        <v/>
      </c>
      <c r="DS730" s="56">
        <f>$BF730-$BF731</f>
        <v/>
      </c>
      <c r="DT730" s="56">
        <f>$BG730-$BG731</f>
        <v/>
      </c>
      <c r="DU730" s="56">
        <f>$BH730-$BH731</f>
        <v/>
      </c>
      <c r="DV730" s="56">
        <f>$BI730-$BI731</f>
        <v/>
      </c>
      <c r="DW730" s="56">
        <f>$BJ730-$BJ731</f>
        <v/>
      </c>
      <c r="DX730" s="56">
        <f>$BK730-$BK731</f>
        <v/>
      </c>
      <c r="DY730" s="56">
        <f>$BL730-$BL731</f>
        <v/>
      </c>
      <c r="DZ730" s="56">
        <f>$BM730-$BM731</f>
        <v/>
      </c>
      <c r="EA730" s="56">
        <f>$BN730-$BN731</f>
        <v/>
      </c>
      <c r="EB730" s="56">
        <f>$BO730-$BO731</f>
        <v/>
      </c>
      <c r="EC730" s="56">
        <f>$BP730-$BP731</f>
        <v/>
      </c>
      <c r="ED730" s="56">
        <f>$BQ730-$BQ731</f>
        <v/>
      </c>
      <c r="EE730" s="56">
        <f>$BR730-$BR731</f>
        <v/>
      </c>
      <c r="EF730" s="56">
        <f>$BS730-$BS731</f>
        <v/>
      </c>
      <c r="EG730" s="56">
        <f>$BT730-$BT731</f>
        <v/>
      </c>
      <c r="EH730" s="56">
        <f>$BU730-$BU731</f>
        <v/>
      </c>
    </row>
    <row r="731">
      <c r="BV731" s="56">
        <f>($D731-$D732)*100</f>
        <v/>
      </c>
      <c r="BW731" s="56">
        <f>($C731-$C732)*100</f>
        <v/>
      </c>
      <c r="BX731" s="57">
        <f>IFERROR($I731/$I732-1,"")</f>
        <v/>
      </c>
      <c r="BY731" s="56">
        <f>($AF731-$AF732)*100</f>
        <v/>
      </c>
      <c r="BZ731" s="56">
        <f>($AG731-$AG732)*100</f>
        <v/>
      </c>
      <c r="CA731" s="56">
        <f>($AH731-$AH732)*100</f>
        <v/>
      </c>
      <c r="CB731" s="56">
        <f>($AI731-$AI732)*100</f>
        <v/>
      </c>
      <c r="CC731" s="56">
        <f>($AJ731-$AJ732)*100</f>
        <v/>
      </c>
      <c r="CD731" s="56">
        <f>($AK731-$AK732)*100</f>
        <v/>
      </c>
      <c r="CE731" s="56">
        <f>($AL731-$AL732)*100</f>
        <v/>
      </c>
      <c r="CF731" s="56">
        <f>($AM731-$AM732)*100</f>
        <v/>
      </c>
      <c r="CG731" s="56">
        <f>($AN731-$AN732)*100</f>
        <v/>
      </c>
      <c r="CH731" s="56">
        <f>($AO731-$AO732)*100</f>
        <v/>
      </c>
      <c r="CI731" s="56">
        <f>($AP731-$AP732)*100</f>
        <v/>
      </c>
      <c r="CJ731" s="56">
        <f>($AQ731-$AQ732)*100</f>
        <v/>
      </c>
      <c r="CK731" s="56">
        <f>($AR731-$AR732)*100</f>
        <v/>
      </c>
      <c r="CL731" s="56">
        <f>($AS731-$AS732)*100</f>
        <v/>
      </c>
      <c r="CM731" s="56">
        <f>($AT731-$AT732)*100</f>
        <v/>
      </c>
      <c r="CN731" s="56">
        <f>($AU731-$AU732)*100</f>
        <v/>
      </c>
      <c r="CO731" s="56">
        <f>($AV731-$AV732)*100</f>
        <v/>
      </c>
      <c r="CP731" s="56">
        <f>($AW731-$AW732)*100</f>
        <v/>
      </c>
      <c r="CQ731" s="56">
        <f>($AX731-$AX732)*100</f>
        <v/>
      </c>
      <c r="CR731" s="56">
        <f>($AY731-$AY732)*100</f>
        <v/>
      </c>
      <c r="CS731" s="57">
        <f>IFERROR($L732/$L731-1,"")</f>
        <v/>
      </c>
      <c r="CT731" s="57">
        <f>IFERROR($M732/$M731-1,"")</f>
        <v/>
      </c>
      <c r="CU731" s="57">
        <f>IFERROR($N732/$N731-1,"")</f>
        <v/>
      </c>
      <c r="CV731" s="57">
        <f>IFERROR($O732/$O731-1,"")</f>
        <v/>
      </c>
      <c r="CW731" s="57">
        <f>IFERROR($P732/$P731-1,"")</f>
        <v/>
      </c>
      <c r="CX731" s="57">
        <f>IFERROR($Q732/$Q731-1,"")</f>
        <v/>
      </c>
      <c r="CY731" s="57">
        <f>IFERROR($R732/$R731-1,"")</f>
        <v/>
      </c>
      <c r="CZ731" s="57">
        <f>IFERROR($S732/$S731-1,"")</f>
        <v/>
      </c>
      <c r="DA731" s="57">
        <f>IFERROR($T732/$T731-1,"")</f>
        <v/>
      </c>
      <c r="DB731" s="57">
        <f>IFERROR($U732/$U731-1,"")</f>
        <v/>
      </c>
      <c r="DC731" s="57">
        <f>IFERROR($V732/$V731-1,"")</f>
        <v/>
      </c>
      <c r="DD731" s="57">
        <f>IFERROR($W732/$W731-1,"")</f>
        <v/>
      </c>
      <c r="DE731" s="57">
        <f>IFERROR($X732/$X731-1,"")</f>
        <v/>
      </c>
      <c r="DF731" s="57">
        <f>IFERROR($Y732/$Y731-1,"")</f>
        <v/>
      </c>
      <c r="DG731" s="57">
        <f>IFERROR($Z732/$Z731-1,"")</f>
        <v/>
      </c>
      <c r="DH731" s="57">
        <f>IFERROR($AA732/$AA731-1,"")</f>
        <v/>
      </c>
      <c r="DI731" s="57">
        <f>IFERROR($AB732/$AB731-1,"")</f>
        <v/>
      </c>
      <c r="DJ731" s="57">
        <f>IFERROR($AC732/$AC731-1,"")</f>
        <v/>
      </c>
      <c r="DK731" s="57">
        <f>IFERROR($AD732/$AD731-1,"")</f>
        <v/>
      </c>
      <c r="DL731" s="57">
        <f>IFERROR($AE732/$AE731-1,"")</f>
        <v/>
      </c>
      <c r="DM731" s="56">
        <f>$AZ731-$AZ732</f>
        <v/>
      </c>
      <c r="DN731" s="56">
        <f>$BA731-$BA732</f>
        <v/>
      </c>
      <c r="DO731" s="56">
        <f>$BB731-$BB732</f>
        <v/>
      </c>
      <c r="DP731" s="56">
        <f>$BC731-$BC732</f>
        <v/>
      </c>
      <c r="DQ731" s="56">
        <f>$BD731-$BD732</f>
        <v/>
      </c>
      <c r="DR731" s="56">
        <f>$BE731-$BE732</f>
        <v/>
      </c>
      <c r="DS731" s="56">
        <f>$BF731-$BF732</f>
        <v/>
      </c>
      <c r="DT731" s="56">
        <f>$BG731-$BG732</f>
        <v/>
      </c>
      <c r="DU731" s="56">
        <f>$BH731-$BH732</f>
        <v/>
      </c>
      <c r="DV731" s="56">
        <f>$BI731-$BI732</f>
        <v/>
      </c>
      <c r="DW731" s="56">
        <f>$BJ731-$BJ732</f>
        <v/>
      </c>
      <c r="DX731" s="56">
        <f>$BK731-$BK732</f>
        <v/>
      </c>
      <c r="DY731" s="56">
        <f>$BL731-$BL732</f>
        <v/>
      </c>
      <c r="DZ731" s="56">
        <f>$BM731-$BM732</f>
        <v/>
      </c>
      <c r="EA731" s="56">
        <f>$BN731-$BN732</f>
        <v/>
      </c>
      <c r="EB731" s="56">
        <f>$BO731-$BO732</f>
        <v/>
      </c>
      <c r="EC731" s="56">
        <f>$BP731-$BP732</f>
        <v/>
      </c>
      <c r="ED731" s="56">
        <f>$BQ731-$BQ732</f>
        <v/>
      </c>
      <c r="EE731" s="56">
        <f>$BR731-$BR732</f>
        <v/>
      </c>
      <c r="EF731" s="56">
        <f>$BS731-$BS732</f>
        <v/>
      </c>
      <c r="EG731" s="56">
        <f>$BT731-$BT732</f>
        <v/>
      </c>
      <c r="EH731" s="56">
        <f>$BU731-$BU732</f>
        <v/>
      </c>
    </row>
    <row r="732">
      <c r="BV732" s="56">
        <f>($D732-$D733)*100</f>
        <v/>
      </c>
      <c r="BW732" s="56">
        <f>($C732-$C733)*100</f>
        <v/>
      </c>
      <c r="BX732" s="57">
        <f>IFERROR($I732/$I733-1,"")</f>
        <v/>
      </c>
      <c r="BY732" s="56">
        <f>($AF732-$AF733)*100</f>
        <v/>
      </c>
      <c r="BZ732" s="56">
        <f>($AG732-$AG733)*100</f>
        <v/>
      </c>
      <c r="CA732" s="56">
        <f>($AH732-$AH733)*100</f>
        <v/>
      </c>
      <c r="CB732" s="56">
        <f>($AI732-$AI733)*100</f>
        <v/>
      </c>
      <c r="CC732" s="56">
        <f>($AJ732-$AJ733)*100</f>
        <v/>
      </c>
      <c r="CD732" s="56">
        <f>($AK732-$AK733)*100</f>
        <v/>
      </c>
      <c r="CE732" s="56">
        <f>($AL732-$AL733)*100</f>
        <v/>
      </c>
      <c r="CF732" s="56">
        <f>($AM732-$AM733)*100</f>
        <v/>
      </c>
      <c r="CG732" s="56">
        <f>($AN732-$AN733)*100</f>
        <v/>
      </c>
      <c r="CH732" s="56">
        <f>($AO732-$AO733)*100</f>
        <v/>
      </c>
      <c r="CI732" s="56">
        <f>($AP732-$AP733)*100</f>
        <v/>
      </c>
      <c r="CJ732" s="56">
        <f>($AQ732-$AQ733)*100</f>
        <v/>
      </c>
      <c r="CK732" s="56">
        <f>($AR732-$AR733)*100</f>
        <v/>
      </c>
      <c r="CL732" s="56">
        <f>($AS732-$AS733)*100</f>
        <v/>
      </c>
      <c r="CM732" s="56">
        <f>($AT732-$AT733)*100</f>
        <v/>
      </c>
      <c r="CN732" s="56">
        <f>($AU732-$AU733)*100</f>
        <v/>
      </c>
      <c r="CO732" s="56">
        <f>($AV732-$AV733)*100</f>
        <v/>
      </c>
      <c r="CP732" s="56">
        <f>($AW732-$AW733)*100</f>
        <v/>
      </c>
      <c r="CQ732" s="56">
        <f>($AX732-$AX733)*100</f>
        <v/>
      </c>
      <c r="CR732" s="56">
        <f>($AY732-$AY733)*100</f>
        <v/>
      </c>
      <c r="CS732" s="57">
        <f>IFERROR($L733/$L732-1,"")</f>
        <v/>
      </c>
      <c r="CT732" s="57">
        <f>IFERROR($M733/$M732-1,"")</f>
        <v/>
      </c>
      <c r="CU732" s="57">
        <f>IFERROR($N733/$N732-1,"")</f>
        <v/>
      </c>
      <c r="CV732" s="57">
        <f>IFERROR($O733/$O732-1,"")</f>
        <v/>
      </c>
      <c r="CW732" s="57">
        <f>IFERROR($P733/$P732-1,"")</f>
        <v/>
      </c>
      <c r="CX732" s="57">
        <f>IFERROR($Q733/$Q732-1,"")</f>
        <v/>
      </c>
      <c r="CY732" s="57">
        <f>IFERROR($R733/$R732-1,"")</f>
        <v/>
      </c>
      <c r="CZ732" s="57">
        <f>IFERROR($S733/$S732-1,"")</f>
        <v/>
      </c>
      <c r="DA732" s="57">
        <f>IFERROR($T733/$T732-1,"")</f>
        <v/>
      </c>
      <c r="DB732" s="57">
        <f>IFERROR($U733/$U732-1,"")</f>
        <v/>
      </c>
      <c r="DC732" s="57">
        <f>IFERROR($V733/$V732-1,"")</f>
        <v/>
      </c>
      <c r="DD732" s="57">
        <f>IFERROR($W733/$W732-1,"")</f>
        <v/>
      </c>
      <c r="DE732" s="57">
        <f>IFERROR($X733/$X732-1,"")</f>
        <v/>
      </c>
      <c r="DF732" s="57">
        <f>IFERROR($Y733/$Y732-1,"")</f>
        <v/>
      </c>
      <c r="DG732" s="57">
        <f>IFERROR($Z733/$Z732-1,"")</f>
        <v/>
      </c>
      <c r="DH732" s="57">
        <f>IFERROR($AA733/$AA732-1,"")</f>
        <v/>
      </c>
      <c r="DI732" s="57">
        <f>IFERROR($AB733/$AB732-1,"")</f>
        <v/>
      </c>
      <c r="DJ732" s="57">
        <f>IFERROR($AC733/$AC732-1,"")</f>
        <v/>
      </c>
      <c r="DK732" s="57">
        <f>IFERROR($AD733/$AD732-1,"")</f>
        <v/>
      </c>
      <c r="DL732" s="57">
        <f>IFERROR($AE733/$AE732-1,"")</f>
        <v/>
      </c>
      <c r="DM732" s="56">
        <f>$AZ732-$AZ733</f>
        <v/>
      </c>
      <c r="DN732" s="56">
        <f>$BA732-$BA733</f>
        <v/>
      </c>
      <c r="DO732" s="56">
        <f>$BB732-$BB733</f>
        <v/>
      </c>
      <c r="DP732" s="56">
        <f>$BC732-$BC733</f>
        <v/>
      </c>
      <c r="DQ732" s="56">
        <f>$BD732-$BD733</f>
        <v/>
      </c>
      <c r="DR732" s="56">
        <f>$BE732-$BE733</f>
        <v/>
      </c>
      <c r="DS732" s="56">
        <f>$BF732-$BF733</f>
        <v/>
      </c>
      <c r="DT732" s="56">
        <f>$BG732-$BG733</f>
        <v/>
      </c>
      <c r="DU732" s="56">
        <f>$BH732-$BH733</f>
        <v/>
      </c>
      <c r="DV732" s="56">
        <f>$BI732-$BI733</f>
        <v/>
      </c>
      <c r="DW732" s="56">
        <f>$BJ732-$BJ733</f>
        <v/>
      </c>
      <c r="DX732" s="56">
        <f>$BK732-$BK733</f>
        <v/>
      </c>
      <c r="DY732" s="56">
        <f>$BL732-$BL733</f>
        <v/>
      </c>
      <c r="DZ732" s="56">
        <f>$BM732-$BM733</f>
        <v/>
      </c>
      <c r="EA732" s="56">
        <f>$BN732-$BN733</f>
        <v/>
      </c>
      <c r="EB732" s="56">
        <f>$BO732-$BO733</f>
        <v/>
      </c>
      <c r="EC732" s="56">
        <f>$BP732-$BP733</f>
        <v/>
      </c>
      <c r="ED732" s="56">
        <f>$BQ732-$BQ733</f>
        <v/>
      </c>
      <c r="EE732" s="56">
        <f>$BR732-$BR733</f>
        <v/>
      </c>
      <c r="EF732" s="56">
        <f>$BS732-$BS733</f>
        <v/>
      </c>
      <c r="EG732" s="56">
        <f>$BT732-$BT733</f>
        <v/>
      </c>
      <c r="EH732" s="56">
        <f>$BU732-$BU733</f>
        <v/>
      </c>
    </row>
    <row r="733">
      <c r="BV733" s="56">
        <f>($D733-$D734)*100</f>
        <v/>
      </c>
      <c r="BW733" s="56">
        <f>($C733-$C734)*100</f>
        <v/>
      </c>
      <c r="BX733" s="57">
        <f>IFERROR($I733/$I734-1,"")</f>
        <v/>
      </c>
      <c r="BY733" s="56">
        <f>($AF733-$AF734)*100</f>
        <v/>
      </c>
      <c r="BZ733" s="56">
        <f>($AG733-$AG734)*100</f>
        <v/>
      </c>
      <c r="CA733" s="56">
        <f>($AH733-$AH734)*100</f>
        <v/>
      </c>
      <c r="CB733" s="56">
        <f>($AI733-$AI734)*100</f>
        <v/>
      </c>
      <c r="CC733" s="56">
        <f>($AJ733-$AJ734)*100</f>
        <v/>
      </c>
      <c r="CD733" s="56">
        <f>($AK733-$AK734)*100</f>
        <v/>
      </c>
      <c r="CE733" s="56">
        <f>($AL733-$AL734)*100</f>
        <v/>
      </c>
      <c r="CF733" s="56">
        <f>($AM733-$AM734)*100</f>
        <v/>
      </c>
      <c r="CG733" s="56">
        <f>($AN733-$AN734)*100</f>
        <v/>
      </c>
      <c r="CH733" s="56">
        <f>($AO733-$AO734)*100</f>
        <v/>
      </c>
      <c r="CI733" s="56">
        <f>($AP733-$AP734)*100</f>
        <v/>
      </c>
      <c r="CJ733" s="56">
        <f>($AQ733-$AQ734)*100</f>
        <v/>
      </c>
      <c r="CK733" s="56">
        <f>($AR733-$AR734)*100</f>
        <v/>
      </c>
      <c r="CL733" s="56">
        <f>($AS733-$AS734)*100</f>
        <v/>
      </c>
      <c r="CM733" s="56">
        <f>($AT733-$AT734)*100</f>
        <v/>
      </c>
      <c r="CN733" s="56">
        <f>($AU733-$AU734)*100</f>
        <v/>
      </c>
      <c r="CO733" s="56">
        <f>($AV733-$AV734)*100</f>
        <v/>
      </c>
      <c r="CP733" s="56">
        <f>($AW733-$AW734)*100</f>
        <v/>
      </c>
      <c r="CQ733" s="56">
        <f>($AX733-$AX734)*100</f>
        <v/>
      </c>
      <c r="CR733" s="56">
        <f>($AY733-$AY734)*100</f>
        <v/>
      </c>
      <c r="CS733" s="57">
        <f>IFERROR($L734/$L733-1,"")</f>
        <v/>
      </c>
      <c r="CT733" s="57">
        <f>IFERROR($M734/$M733-1,"")</f>
        <v/>
      </c>
      <c r="CU733" s="57">
        <f>IFERROR($N734/$N733-1,"")</f>
        <v/>
      </c>
      <c r="CV733" s="57">
        <f>IFERROR($O734/$O733-1,"")</f>
        <v/>
      </c>
      <c r="CW733" s="57">
        <f>IFERROR($P734/$P733-1,"")</f>
        <v/>
      </c>
      <c r="CX733" s="57">
        <f>IFERROR($Q734/$Q733-1,"")</f>
        <v/>
      </c>
      <c r="CY733" s="57">
        <f>IFERROR($R734/$R733-1,"")</f>
        <v/>
      </c>
      <c r="CZ733" s="57">
        <f>IFERROR($S734/$S733-1,"")</f>
        <v/>
      </c>
      <c r="DA733" s="57">
        <f>IFERROR($T734/$T733-1,"")</f>
        <v/>
      </c>
      <c r="DB733" s="57">
        <f>IFERROR($U734/$U733-1,"")</f>
        <v/>
      </c>
      <c r="DC733" s="57">
        <f>IFERROR($V734/$V733-1,"")</f>
        <v/>
      </c>
      <c r="DD733" s="57">
        <f>IFERROR($W734/$W733-1,"")</f>
        <v/>
      </c>
      <c r="DE733" s="57">
        <f>IFERROR($X734/$X733-1,"")</f>
        <v/>
      </c>
      <c r="DF733" s="57">
        <f>IFERROR($Y734/$Y733-1,"")</f>
        <v/>
      </c>
      <c r="DG733" s="57">
        <f>IFERROR($Z734/$Z733-1,"")</f>
        <v/>
      </c>
      <c r="DH733" s="57">
        <f>IFERROR($AA734/$AA733-1,"")</f>
        <v/>
      </c>
      <c r="DI733" s="57">
        <f>IFERROR($AB734/$AB733-1,"")</f>
        <v/>
      </c>
      <c r="DJ733" s="57">
        <f>IFERROR($AC734/$AC733-1,"")</f>
        <v/>
      </c>
      <c r="DK733" s="57">
        <f>IFERROR($AD734/$AD733-1,"")</f>
        <v/>
      </c>
      <c r="DL733" s="57">
        <f>IFERROR($AE734/$AE733-1,"")</f>
        <v/>
      </c>
      <c r="DM733" s="56">
        <f>$AZ733-$AZ734</f>
        <v/>
      </c>
      <c r="DN733" s="56">
        <f>$BA733-$BA734</f>
        <v/>
      </c>
      <c r="DO733" s="56">
        <f>$BB733-$BB734</f>
        <v/>
      </c>
      <c r="DP733" s="56">
        <f>$BC733-$BC734</f>
        <v/>
      </c>
      <c r="DQ733" s="56">
        <f>$BD733-$BD734</f>
        <v/>
      </c>
      <c r="DR733" s="56">
        <f>$BE733-$BE734</f>
        <v/>
      </c>
      <c r="DS733" s="56">
        <f>$BF733-$BF734</f>
        <v/>
      </c>
      <c r="DT733" s="56">
        <f>$BG733-$BG734</f>
        <v/>
      </c>
      <c r="DU733" s="56">
        <f>$BH733-$BH734</f>
        <v/>
      </c>
      <c r="DV733" s="56">
        <f>$BI733-$BI734</f>
        <v/>
      </c>
      <c r="DW733" s="56">
        <f>$BJ733-$BJ734</f>
        <v/>
      </c>
      <c r="DX733" s="56">
        <f>$BK733-$BK734</f>
        <v/>
      </c>
      <c r="DY733" s="56">
        <f>$BL733-$BL734</f>
        <v/>
      </c>
      <c r="DZ733" s="56">
        <f>$BM733-$BM734</f>
        <v/>
      </c>
      <c r="EA733" s="56">
        <f>$BN733-$BN734</f>
        <v/>
      </c>
      <c r="EB733" s="56">
        <f>$BO733-$BO734</f>
        <v/>
      </c>
      <c r="EC733" s="56">
        <f>$BP733-$BP734</f>
        <v/>
      </c>
      <c r="ED733" s="56">
        <f>$BQ733-$BQ734</f>
        <v/>
      </c>
      <c r="EE733" s="56">
        <f>$BR733-$BR734</f>
        <v/>
      </c>
      <c r="EF733" s="56">
        <f>$BS733-$BS734</f>
        <v/>
      </c>
      <c r="EG733" s="56">
        <f>$BT733-$BT734</f>
        <v/>
      </c>
      <c r="EH733" s="56">
        <f>$BU733-$BU734</f>
        <v/>
      </c>
    </row>
    <row r="734">
      <c r="BV734" s="56">
        <f>($D734-$D735)*100</f>
        <v/>
      </c>
      <c r="BW734" s="56">
        <f>($C734-$C735)*100</f>
        <v/>
      </c>
      <c r="BX734" s="57">
        <f>IFERROR($I734/$I735-1,"")</f>
        <v/>
      </c>
      <c r="BY734" s="56">
        <f>($AF734-$AF735)*100</f>
        <v/>
      </c>
      <c r="BZ734" s="56">
        <f>($AG734-$AG735)*100</f>
        <v/>
      </c>
      <c r="CA734" s="56">
        <f>($AH734-$AH735)*100</f>
        <v/>
      </c>
      <c r="CB734" s="56">
        <f>($AI734-$AI735)*100</f>
        <v/>
      </c>
      <c r="CC734" s="56">
        <f>($AJ734-$AJ735)*100</f>
        <v/>
      </c>
      <c r="CD734" s="56">
        <f>($AK734-$AK735)*100</f>
        <v/>
      </c>
      <c r="CE734" s="56">
        <f>($AL734-$AL735)*100</f>
        <v/>
      </c>
      <c r="CF734" s="56">
        <f>($AM734-$AM735)*100</f>
        <v/>
      </c>
      <c r="CG734" s="56">
        <f>($AN734-$AN735)*100</f>
        <v/>
      </c>
      <c r="CH734" s="56">
        <f>($AO734-$AO735)*100</f>
        <v/>
      </c>
      <c r="CI734" s="56">
        <f>($AP734-$AP735)*100</f>
        <v/>
      </c>
      <c r="CJ734" s="56">
        <f>($AQ734-$AQ735)*100</f>
        <v/>
      </c>
      <c r="CK734" s="56">
        <f>($AR734-$AR735)*100</f>
        <v/>
      </c>
      <c r="CL734" s="56">
        <f>($AS734-$AS735)*100</f>
        <v/>
      </c>
      <c r="CM734" s="56">
        <f>($AT734-$AT735)*100</f>
        <v/>
      </c>
      <c r="CN734" s="56">
        <f>($AU734-$AU735)*100</f>
        <v/>
      </c>
      <c r="CO734" s="56">
        <f>($AV734-$AV735)*100</f>
        <v/>
      </c>
      <c r="CP734" s="56">
        <f>($AW734-$AW735)*100</f>
        <v/>
      </c>
      <c r="CQ734" s="56">
        <f>($AX734-$AX735)*100</f>
        <v/>
      </c>
      <c r="CR734" s="56">
        <f>($AY734-$AY735)*100</f>
        <v/>
      </c>
      <c r="CS734" s="57">
        <f>IFERROR($L735/$L734-1,"")</f>
        <v/>
      </c>
      <c r="CT734" s="57">
        <f>IFERROR($M735/$M734-1,"")</f>
        <v/>
      </c>
      <c r="CU734" s="57">
        <f>IFERROR($N735/$N734-1,"")</f>
        <v/>
      </c>
      <c r="CV734" s="57">
        <f>IFERROR($O735/$O734-1,"")</f>
        <v/>
      </c>
      <c r="CW734" s="57">
        <f>IFERROR($P735/$P734-1,"")</f>
        <v/>
      </c>
      <c r="CX734" s="57">
        <f>IFERROR($Q735/$Q734-1,"")</f>
        <v/>
      </c>
      <c r="CY734" s="57">
        <f>IFERROR($R735/$R734-1,"")</f>
        <v/>
      </c>
      <c r="CZ734" s="57">
        <f>IFERROR($S735/$S734-1,"")</f>
        <v/>
      </c>
      <c r="DA734" s="57">
        <f>IFERROR($T735/$T734-1,"")</f>
        <v/>
      </c>
      <c r="DB734" s="57">
        <f>IFERROR($U735/$U734-1,"")</f>
        <v/>
      </c>
      <c r="DC734" s="57">
        <f>IFERROR($V735/$V734-1,"")</f>
        <v/>
      </c>
      <c r="DD734" s="57">
        <f>IFERROR($W735/$W734-1,"")</f>
        <v/>
      </c>
      <c r="DE734" s="57">
        <f>IFERROR($X735/$X734-1,"")</f>
        <v/>
      </c>
      <c r="DF734" s="57">
        <f>IFERROR($Y735/$Y734-1,"")</f>
        <v/>
      </c>
      <c r="DG734" s="57">
        <f>IFERROR($Z735/$Z734-1,"")</f>
        <v/>
      </c>
      <c r="DH734" s="57">
        <f>IFERROR($AA735/$AA734-1,"")</f>
        <v/>
      </c>
      <c r="DI734" s="57">
        <f>IFERROR($AB735/$AB734-1,"")</f>
        <v/>
      </c>
      <c r="DJ734" s="57">
        <f>IFERROR($AC735/$AC734-1,"")</f>
        <v/>
      </c>
      <c r="DK734" s="57">
        <f>IFERROR($AD735/$AD734-1,"")</f>
        <v/>
      </c>
      <c r="DL734" s="57">
        <f>IFERROR($AE735/$AE734-1,"")</f>
        <v/>
      </c>
      <c r="DM734" s="56">
        <f>$AZ734-$AZ735</f>
        <v/>
      </c>
      <c r="DN734" s="56">
        <f>$BA734-$BA735</f>
        <v/>
      </c>
      <c r="DO734" s="56">
        <f>$BB734-$BB735</f>
        <v/>
      </c>
      <c r="DP734" s="56">
        <f>$BC734-$BC735</f>
        <v/>
      </c>
      <c r="DQ734" s="56">
        <f>$BD734-$BD735</f>
        <v/>
      </c>
      <c r="DR734" s="56">
        <f>$BE734-$BE735</f>
        <v/>
      </c>
      <c r="DS734" s="56">
        <f>$BF734-$BF735</f>
        <v/>
      </c>
      <c r="DT734" s="56">
        <f>$BG734-$BG735</f>
        <v/>
      </c>
      <c r="DU734" s="56">
        <f>$BH734-$BH735</f>
        <v/>
      </c>
      <c r="DV734" s="56">
        <f>$BI734-$BI735</f>
        <v/>
      </c>
      <c r="DW734" s="56">
        <f>$BJ734-$BJ735</f>
        <v/>
      </c>
      <c r="DX734" s="56">
        <f>$BK734-$BK735</f>
        <v/>
      </c>
      <c r="DY734" s="56">
        <f>$BL734-$BL735</f>
        <v/>
      </c>
      <c r="DZ734" s="56">
        <f>$BM734-$BM735</f>
        <v/>
      </c>
      <c r="EA734" s="56">
        <f>$BN734-$BN735</f>
        <v/>
      </c>
      <c r="EB734" s="56">
        <f>$BO734-$BO735</f>
        <v/>
      </c>
      <c r="EC734" s="56">
        <f>$BP734-$BP735</f>
        <v/>
      </c>
      <c r="ED734" s="56">
        <f>$BQ734-$BQ735</f>
        <v/>
      </c>
      <c r="EE734" s="56">
        <f>$BR734-$BR735</f>
        <v/>
      </c>
      <c r="EF734" s="56">
        <f>$BS734-$BS735</f>
        <v/>
      </c>
      <c r="EG734" s="56">
        <f>$BT734-$BT735</f>
        <v/>
      </c>
      <c r="EH734" s="56">
        <f>$BU734-$BU735</f>
        <v/>
      </c>
    </row>
    <row r="735">
      <c r="BV735" s="56">
        <f>($D735-$D736)*100</f>
        <v/>
      </c>
      <c r="BW735" s="56">
        <f>($C735-$C736)*100</f>
        <v/>
      </c>
      <c r="BX735" s="57">
        <f>IFERROR($I735/$I736-1,"")</f>
        <v/>
      </c>
      <c r="BY735" s="56">
        <f>($AF735-$AF736)*100</f>
        <v/>
      </c>
      <c r="BZ735" s="56">
        <f>($AG735-$AG736)*100</f>
        <v/>
      </c>
      <c r="CA735" s="56">
        <f>($AH735-$AH736)*100</f>
        <v/>
      </c>
      <c r="CB735" s="56">
        <f>($AI735-$AI736)*100</f>
        <v/>
      </c>
      <c r="CC735" s="56">
        <f>($AJ735-$AJ736)*100</f>
        <v/>
      </c>
      <c r="CD735" s="56">
        <f>($AK735-$AK736)*100</f>
        <v/>
      </c>
      <c r="CE735" s="56">
        <f>($AL735-$AL736)*100</f>
        <v/>
      </c>
      <c r="CF735" s="56">
        <f>($AM735-$AM736)*100</f>
        <v/>
      </c>
      <c r="CG735" s="56">
        <f>($AN735-$AN736)*100</f>
        <v/>
      </c>
      <c r="CH735" s="56">
        <f>($AO735-$AO736)*100</f>
        <v/>
      </c>
      <c r="CI735" s="56">
        <f>($AP735-$AP736)*100</f>
        <v/>
      </c>
      <c r="CJ735" s="56">
        <f>($AQ735-$AQ736)*100</f>
        <v/>
      </c>
      <c r="CK735" s="56">
        <f>($AR735-$AR736)*100</f>
        <v/>
      </c>
      <c r="CL735" s="56">
        <f>($AS735-$AS736)*100</f>
        <v/>
      </c>
      <c r="CM735" s="56">
        <f>($AT735-$AT736)*100</f>
        <v/>
      </c>
      <c r="CN735" s="56">
        <f>($AU735-$AU736)*100</f>
        <v/>
      </c>
      <c r="CO735" s="56">
        <f>($AV735-$AV736)*100</f>
        <v/>
      </c>
      <c r="CP735" s="56">
        <f>($AW735-$AW736)*100</f>
        <v/>
      </c>
      <c r="CQ735" s="56">
        <f>($AX735-$AX736)*100</f>
        <v/>
      </c>
      <c r="CR735" s="56">
        <f>($AY735-$AY736)*100</f>
        <v/>
      </c>
      <c r="CS735" s="57">
        <f>IFERROR($L736/$L735-1,"")</f>
        <v/>
      </c>
      <c r="CT735" s="57">
        <f>IFERROR($M736/$M735-1,"")</f>
        <v/>
      </c>
      <c r="CU735" s="57">
        <f>IFERROR($N736/$N735-1,"")</f>
        <v/>
      </c>
      <c r="CV735" s="57">
        <f>IFERROR($O736/$O735-1,"")</f>
        <v/>
      </c>
      <c r="CW735" s="57">
        <f>IFERROR($P736/$P735-1,"")</f>
        <v/>
      </c>
      <c r="CX735" s="57">
        <f>IFERROR($Q736/$Q735-1,"")</f>
        <v/>
      </c>
      <c r="CY735" s="57">
        <f>IFERROR($R736/$R735-1,"")</f>
        <v/>
      </c>
      <c r="CZ735" s="57">
        <f>IFERROR($S736/$S735-1,"")</f>
        <v/>
      </c>
      <c r="DA735" s="57">
        <f>IFERROR($T736/$T735-1,"")</f>
        <v/>
      </c>
      <c r="DB735" s="57">
        <f>IFERROR($U736/$U735-1,"")</f>
        <v/>
      </c>
      <c r="DC735" s="57">
        <f>IFERROR($V736/$V735-1,"")</f>
        <v/>
      </c>
      <c r="DD735" s="57">
        <f>IFERROR($W736/$W735-1,"")</f>
        <v/>
      </c>
      <c r="DE735" s="57">
        <f>IFERROR($X736/$X735-1,"")</f>
        <v/>
      </c>
      <c r="DF735" s="57">
        <f>IFERROR($Y736/$Y735-1,"")</f>
        <v/>
      </c>
      <c r="DG735" s="57">
        <f>IFERROR($Z736/$Z735-1,"")</f>
        <v/>
      </c>
      <c r="DH735" s="57">
        <f>IFERROR($AA736/$AA735-1,"")</f>
        <v/>
      </c>
      <c r="DI735" s="57">
        <f>IFERROR($AB736/$AB735-1,"")</f>
        <v/>
      </c>
      <c r="DJ735" s="57">
        <f>IFERROR($AC736/$AC735-1,"")</f>
        <v/>
      </c>
      <c r="DK735" s="57">
        <f>IFERROR($AD736/$AD735-1,"")</f>
        <v/>
      </c>
      <c r="DL735" s="57">
        <f>IFERROR($AE736/$AE735-1,"")</f>
        <v/>
      </c>
      <c r="DM735" s="56">
        <f>$AZ735-$AZ736</f>
        <v/>
      </c>
      <c r="DN735" s="56">
        <f>$BA735-$BA736</f>
        <v/>
      </c>
      <c r="DO735" s="56">
        <f>$BB735-$BB736</f>
        <v/>
      </c>
      <c r="DP735" s="56">
        <f>$BC735-$BC736</f>
        <v/>
      </c>
      <c r="DQ735" s="56">
        <f>$BD735-$BD736</f>
        <v/>
      </c>
      <c r="DR735" s="56">
        <f>$BE735-$BE736</f>
        <v/>
      </c>
      <c r="DS735" s="56">
        <f>$BF735-$BF736</f>
        <v/>
      </c>
      <c r="DT735" s="56">
        <f>$BG735-$BG736</f>
        <v/>
      </c>
      <c r="DU735" s="56">
        <f>$BH735-$BH736</f>
        <v/>
      </c>
      <c r="DV735" s="56">
        <f>$BI735-$BI736</f>
        <v/>
      </c>
      <c r="DW735" s="56">
        <f>$BJ735-$BJ736</f>
        <v/>
      </c>
      <c r="DX735" s="56">
        <f>$BK735-$BK736</f>
        <v/>
      </c>
      <c r="DY735" s="56">
        <f>$BL735-$BL736</f>
        <v/>
      </c>
      <c r="DZ735" s="56">
        <f>$BM735-$BM736</f>
        <v/>
      </c>
      <c r="EA735" s="56">
        <f>$BN735-$BN736</f>
        <v/>
      </c>
      <c r="EB735" s="56">
        <f>$BO735-$BO736</f>
        <v/>
      </c>
      <c r="EC735" s="56">
        <f>$BP735-$BP736</f>
        <v/>
      </c>
      <c r="ED735" s="56">
        <f>$BQ735-$BQ736</f>
        <v/>
      </c>
      <c r="EE735" s="56">
        <f>$BR735-$BR736</f>
        <v/>
      </c>
      <c r="EF735" s="56">
        <f>$BS735-$BS736</f>
        <v/>
      </c>
      <c r="EG735" s="56">
        <f>$BT735-$BT736</f>
        <v/>
      </c>
      <c r="EH735" s="56">
        <f>$BU735-$BU736</f>
        <v/>
      </c>
    </row>
    <row r="736">
      <c r="BV736" s="56">
        <f>($D736-$D737)*100</f>
        <v/>
      </c>
      <c r="BW736" s="56">
        <f>($C736-$C737)*100</f>
        <v/>
      </c>
      <c r="BX736" s="57">
        <f>IFERROR($I736/$I737-1,"")</f>
        <v/>
      </c>
      <c r="BY736" s="56">
        <f>($AF736-$AF737)*100</f>
        <v/>
      </c>
      <c r="BZ736" s="56">
        <f>($AG736-$AG737)*100</f>
        <v/>
      </c>
      <c r="CA736" s="56">
        <f>($AH736-$AH737)*100</f>
        <v/>
      </c>
      <c r="CB736" s="56">
        <f>($AI736-$AI737)*100</f>
        <v/>
      </c>
      <c r="CC736" s="56">
        <f>($AJ736-$AJ737)*100</f>
        <v/>
      </c>
      <c r="CD736" s="56">
        <f>($AK736-$AK737)*100</f>
        <v/>
      </c>
      <c r="CE736" s="56">
        <f>($AL736-$AL737)*100</f>
        <v/>
      </c>
      <c r="CF736" s="56">
        <f>($AM736-$AM737)*100</f>
        <v/>
      </c>
      <c r="CG736" s="56">
        <f>($AN736-$AN737)*100</f>
        <v/>
      </c>
      <c r="CH736" s="56">
        <f>($AO736-$AO737)*100</f>
        <v/>
      </c>
      <c r="CI736" s="56">
        <f>($AP736-$AP737)*100</f>
        <v/>
      </c>
      <c r="CJ736" s="56">
        <f>($AQ736-$AQ737)*100</f>
        <v/>
      </c>
      <c r="CK736" s="56">
        <f>($AR736-$AR737)*100</f>
        <v/>
      </c>
      <c r="CL736" s="56">
        <f>($AS736-$AS737)*100</f>
        <v/>
      </c>
      <c r="CM736" s="56">
        <f>($AT736-$AT737)*100</f>
        <v/>
      </c>
      <c r="CN736" s="56">
        <f>($AU736-$AU737)*100</f>
        <v/>
      </c>
      <c r="CO736" s="56">
        <f>($AV736-$AV737)*100</f>
        <v/>
      </c>
      <c r="CP736" s="56">
        <f>($AW736-$AW737)*100</f>
        <v/>
      </c>
      <c r="CQ736" s="56">
        <f>($AX736-$AX737)*100</f>
        <v/>
      </c>
      <c r="CR736" s="56">
        <f>($AY736-$AY737)*100</f>
        <v/>
      </c>
      <c r="CS736" s="57">
        <f>IFERROR($L737/$L736-1,"")</f>
        <v/>
      </c>
      <c r="CT736" s="57">
        <f>IFERROR($M737/$M736-1,"")</f>
        <v/>
      </c>
      <c r="CU736" s="57">
        <f>IFERROR($N737/$N736-1,"")</f>
        <v/>
      </c>
      <c r="CV736" s="57">
        <f>IFERROR($O737/$O736-1,"")</f>
        <v/>
      </c>
      <c r="CW736" s="57">
        <f>IFERROR($P737/$P736-1,"")</f>
        <v/>
      </c>
      <c r="CX736" s="57">
        <f>IFERROR($Q737/$Q736-1,"")</f>
        <v/>
      </c>
      <c r="CY736" s="57">
        <f>IFERROR($R737/$R736-1,"")</f>
        <v/>
      </c>
      <c r="CZ736" s="57">
        <f>IFERROR($S737/$S736-1,"")</f>
        <v/>
      </c>
      <c r="DA736" s="57">
        <f>IFERROR($T737/$T736-1,"")</f>
        <v/>
      </c>
      <c r="DB736" s="57">
        <f>IFERROR($U737/$U736-1,"")</f>
        <v/>
      </c>
      <c r="DC736" s="57">
        <f>IFERROR($V737/$V736-1,"")</f>
        <v/>
      </c>
      <c r="DD736" s="57">
        <f>IFERROR($W737/$W736-1,"")</f>
        <v/>
      </c>
      <c r="DE736" s="57">
        <f>IFERROR($X737/$X736-1,"")</f>
        <v/>
      </c>
      <c r="DF736" s="57">
        <f>IFERROR($Y737/$Y736-1,"")</f>
        <v/>
      </c>
      <c r="DG736" s="57">
        <f>IFERROR($Z737/$Z736-1,"")</f>
        <v/>
      </c>
      <c r="DH736" s="57">
        <f>IFERROR($AA737/$AA736-1,"")</f>
        <v/>
      </c>
      <c r="DI736" s="57">
        <f>IFERROR($AB737/$AB736-1,"")</f>
        <v/>
      </c>
      <c r="DJ736" s="57">
        <f>IFERROR($AC737/$AC736-1,"")</f>
        <v/>
      </c>
      <c r="DK736" s="57">
        <f>IFERROR($AD737/$AD736-1,"")</f>
        <v/>
      </c>
      <c r="DL736" s="57">
        <f>IFERROR($AE737/$AE736-1,"")</f>
        <v/>
      </c>
      <c r="DM736" s="56">
        <f>$AZ736-$AZ737</f>
        <v/>
      </c>
      <c r="DN736" s="56">
        <f>$BA736-$BA737</f>
        <v/>
      </c>
      <c r="DO736" s="56">
        <f>$BB736-$BB737</f>
        <v/>
      </c>
      <c r="DP736" s="56">
        <f>$BC736-$BC737</f>
        <v/>
      </c>
      <c r="DQ736" s="56">
        <f>$BD736-$BD737</f>
        <v/>
      </c>
      <c r="DR736" s="56">
        <f>$BE736-$BE737</f>
        <v/>
      </c>
      <c r="DS736" s="56">
        <f>$BF736-$BF737</f>
        <v/>
      </c>
      <c r="DT736" s="56">
        <f>$BG736-$BG737</f>
        <v/>
      </c>
      <c r="DU736" s="56">
        <f>$BH736-$BH737</f>
        <v/>
      </c>
      <c r="DV736" s="56">
        <f>$BI736-$BI737</f>
        <v/>
      </c>
      <c r="DW736" s="56">
        <f>$BJ736-$BJ737</f>
        <v/>
      </c>
      <c r="DX736" s="56">
        <f>$BK736-$BK737</f>
        <v/>
      </c>
      <c r="DY736" s="56">
        <f>$BL736-$BL737</f>
        <v/>
      </c>
      <c r="DZ736" s="56">
        <f>$BM736-$BM737</f>
        <v/>
      </c>
      <c r="EA736" s="56">
        <f>$BN736-$BN737</f>
        <v/>
      </c>
      <c r="EB736" s="56">
        <f>$BO736-$BO737</f>
        <v/>
      </c>
      <c r="EC736" s="56">
        <f>$BP736-$BP737</f>
        <v/>
      </c>
      <c r="ED736" s="56">
        <f>$BQ736-$BQ737</f>
        <v/>
      </c>
      <c r="EE736" s="56">
        <f>$BR736-$BR737</f>
        <v/>
      </c>
      <c r="EF736" s="56">
        <f>$BS736-$BS737</f>
        <v/>
      </c>
      <c r="EG736" s="56">
        <f>$BT736-$BT737</f>
        <v/>
      </c>
      <c r="EH736" s="56">
        <f>$BU736-$BU737</f>
        <v/>
      </c>
    </row>
    <row r="737">
      <c r="BV737" s="56">
        <f>($D737-$D738)*100</f>
        <v/>
      </c>
      <c r="BW737" s="56">
        <f>($C737-$C738)*100</f>
        <v/>
      </c>
      <c r="BX737" s="57">
        <f>IFERROR($I737/$I738-1,"")</f>
        <v/>
      </c>
      <c r="BY737" s="56">
        <f>($AF737-$AF738)*100</f>
        <v/>
      </c>
      <c r="BZ737" s="56">
        <f>($AG737-$AG738)*100</f>
        <v/>
      </c>
      <c r="CA737" s="56">
        <f>($AH737-$AH738)*100</f>
        <v/>
      </c>
      <c r="CB737" s="56">
        <f>($AI737-$AI738)*100</f>
        <v/>
      </c>
      <c r="CC737" s="56">
        <f>($AJ737-$AJ738)*100</f>
        <v/>
      </c>
      <c r="CD737" s="56">
        <f>($AK737-$AK738)*100</f>
        <v/>
      </c>
      <c r="CE737" s="56">
        <f>($AL737-$AL738)*100</f>
        <v/>
      </c>
      <c r="CF737" s="56">
        <f>($AM737-$AM738)*100</f>
        <v/>
      </c>
      <c r="CG737" s="56">
        <f>($AN737-$AN738)*100</f>
        <v/>
      </c>
      <c r="CH737" s="56">
        <f>($AO737-$AO738)*100</f>
        <v/>
      </c>
      <c r="CI737" s="56">
        <f>($AP737-$AP738)*100</f>
        <v/>
      </c>
      <c r="CJ737" s="56">
        <f>($AQ737-$AQ738)*100</f>
        <v/>
      </c>
      <c r="CK737" s="56">
        <f>($AR737-$AR738)*100</f>
        <v/>
      </c>
      <c r="CL737" s="56">
        <f>($AS737-$AS738)*100</f>
        <v/>
      </c>
      <c r="CM737" s="56">
        <f>($AT737-$AT738)*100</f>
        <v/>
      </c>
      <c r="CN737" s="56">
        <f>($AU737-$AU738)*100</f>
        <v/>
      </c>
      <c r="CO737" s="56">
        <f>($AV737-$AV738)*100</f>
        <v/>
      </c>
      <c r="CP737" s="56">
        <f>($AW737-$AW738)*100</f>
        <v/>
      </c>
      <c r="CQ737" s="56">
        <f>($AX737-$AX738)*100</f>
        <v/>
      </c>
      <c r="CR737" s="56">
        <f>($AY737-$AY738)*100</f>
        <v/>
      </c>
      <c r="CS737" s="57">
        <f>IFERROR($L738/$L737-1,"")</f>
        <v/>
      </c>
      <c r="CT737" s="57">
        <f>IFERROR($M738/$M737-1,"")</f>
        <v/>
      </c>
      <c r="CU737" s="57">
        <f>IFERROR($N738/$N737-1,"")</f>
        <v/>
      </c>
      <c r="CV737" s="57">
        <f>IFERROR($O738/$O737-1,"")</f>
        <v/>
      </c>
      <c r="CW737" s="57">
        <f>IFERROR($P738/$P737-1,"")</f>
        <v/>
      </c>
      <c r="CX737" s="57">
        <f>IFERROR($Q738/$Q737-1,"")</f>
        <v/>
      </c>
      <c r="CY737" s="57">
        <f>IFERROR($R738/$R737-1,"")</f>
        <v/>
      </c>
      <c r="CZ737" s="57">
        <f>IFERROR($S738/$S737-1,"")</f>
        <v/>
      </c>
      <c r="DA737" s="57">
        <f>IFERROR($T738/$T737-1,"")</f>
        <v/>
      </c>
      <c r="DB737" s="57">
        <f>IFERROR($U738/$U737-1,"")</f>
        <v/>
      </c>
      <c r="DC737" s="57">
        <f>IFERROR($V738/$V737-1,"")</f>
        <v/>
      </c>
      <c r="DD737" s="57">
        <f>IFERROR($W738/$W737-1,"")</f>
        <v/>
      </c>
      <c r="DE737" s="57">
        <f>IFERROR($X738/$X737-1,"")</f>
        <v/>
      </c>
      <c r="DF737" s="57">
        <f>IFERROR($Y738/$Y737-1,"")</f>
        <v/>
      </c>
      <c r="DG737" s="57">
        <f>IFERROR($Z738/$Z737-1,"")</f>
        <v/>
      </c>
      <c r="DH737" s="57">
        <f>IFERROR($AA738/$AA737-1,"")</f>
        <v/>
      </c>
      <c r="DI737" s="57">
        <f>IFERROR($AB738/$AB737-1,"")</f>
        <v/>
      </c>
      <c r="DJ737" s="57">
        <f>IFERROR($AC738/$AC737-1,"")</f>
        <v/>
      </c>
      <c r="DK737" s="57">
        <f>IFERROR($AD738/$AD737-1,"")</f>
        <v/>
      </c>
      <c r="DL737" s="57">
        <f>IFERROR($AE738/$AE737-1,"")</f>
        <v/>
      </c>
      <c r="DM737" s="56">
        <f>$AZ737-$AZ738</f>
        <v/>
      </c>
      <c r="DN737" s="56">
        <f>$BA737-$BA738</f>
        <v/>
      </c>
      <c r="DO737" s="56">
        <f>$BB737-$BB738</f>
        <v/>
      </c>
      <c r="DP737" s="56">
        <f>$BC737-$BC738</f>
        <v/>
      </c>
      <c r="DQ737" s="56">
        <f>$BD737-$BD738</f>
        <v/>
      </c>
      <c r="DR737" s="56">
        <f>$BE737-$BE738</f>
        <v/>
      </c>
      <c r="DS737" s="56">
        <f>$BF737-$BF738</f>
        <v/>
      </c>
      <c r="DT737" s="56">
        <f>$BG737-$BG738</f>
        <v/>
      </c>
      <c r="DU737" s="56">
        <f>$BH737-$BH738</f>
        <v/>
      </c>
      <c r="DV737" s="56">
        <f>$BI737-$BI738</f>
        <v/>
      </c>
      <c r="DW737" s="56">
        <f>$BJ737-$BJ738</f>
        <v/>
      </c>
      <c r="DX737" s="56">
        <f>$BK737-$BK738</f>
        <v/>
      </c>
      <c r="DY737" s="56">
        <f>$BL737-$BL738</f>
        <v/>
      </c>
      <c r="DZ737" s="56">
        <f>$BM737-$BM738</f>
        <v/>
      </c>
      <c r="EA737" s="56">
        <f>$BN737-$BN738</f>
        <v/>
      </c>
      <c r="EB737" s="56">
        <f>$BO737-$BO738</f>
        <v/>
      </c>
      <c r="EC737" s="56">
        <f>$BP737-$BP738</f>
        <v/>
      </c>
      <c r="ED737" s="56">
        <f>$BQ737-$BQ738</f>
        <v/>
      </c>
      <c r="EE737" s="56">
        <f>$BR737-$BR738</f>
        <v/>
      </c>
      <c r="EF737" s="56">
        <f>$BS737-$BS738</f>
        <v/>
      </c>
      <c r="EG737" s="56">
        <f>$BT737-$BT738</f>
        <v/>
      </c>
      <c r="EH737" s="56">
        <f>$BU737-$BU738</f>
        <v/>
      </c>
    </row>
    <row r="738">
      <c r="BV738" s="56">
        <f>($D738-$D739)*100</f>
        <v/>
      </c>
      <c r="BW738" s="56">
        <f>($C738-$C739)*100</f>
        <v/>
      </c>
      <c r="BX738" s="57">
        <f>IFERROR($I738/$I739-1,"")</f>
        <v/>
      </c>
      <c r="BY738" s="56">
        <f>($AF738-$AF739)*100</f>
        <v/>
      </c>
      <c r="BZ738" s="56">
        <f>($AG738-$AG739)*100</f>
        <v/>
      </c>
      <c r="CA738" s="56">
        <f>($AH738-$AH739)*100</f>
        <v/>
      </c>
      <c r="CB738" s="56">
        <f>($AI738-$AI739)*100</f>
        <v/>
      </c>
      <c r="CC738" s="56">
        <f>($AJ738-$AJ739)*100</f>
        <v/>
      </c>
      <c r="CD738" s="56">
        <f>($AK738-$AK739)*100</f>
        <v/>
      </c>
      <c r="CE738" s="56">
        <f>($AL738-$AL739)*100</f>
        <v/>
      </c>
      <c r="CF738" s="56">
        <f>($AM738-$AM739)*100</f>
        <v/>
      </c>
      <c r="CG738" s="56">
        <f>($AN738-$AN739)*100</f>
        <v/>
      </c>
      <c r="CH738" s="56">
        <f>($AO738-$AO739)*100</f>
        <v/>
      </c>
      <c r="CI738" s="56">
        <f>($AP738-$AP739)*100</f>
        <v/>
      </c>
      <c r="CJ738" s="56">
        <f>($AQ738-$AQ739)*100</f>
        <v/>
      </c>
      <c r="CK738" s="56">
        <f>($AR738-$AR739)*100</f>
        <v/>
      </c>
      <c r="CL738" s="56">
        <f>($AS738-$AS739)*100</f>
        <v/>
      </c>
      <c r="CM738" s="56">
        <f>($AT738-$AT739)*100</f>
        <v/>
      </c>
      <c r="CN738" s="56">
        <f>($AU738-$AU739)*100</f>
        <v/>
      </c>
      <c r="CO738" s="56">
        <f>($AV738-$AV739)*100</f>
        <v/>
      </c>
      <c r="CP738" s="56">
        <f>($AW738-$AW739)*100</f>
        <v/>
      </c>
      <c r="CQ738" s="56">
        <f>($AX738-$AX739)*100</f>
        <v/>
      </c>
      <c r="CR738" s="56">
        <f>($AY738-$AY739)*100</f>
        <v/>
      </c>
      <c r="CS738" s="57">
        <f>IFERROR($L739/$L738-1,"")</f>
        <v/>
      </c>
      <c r="CT738" s="57">
        <f>IFERROR($M739/$M738-1,"")</f>
        <v/>
      </c>
      <c r="CU738" s="57">
        <f>IFERROR($N739/$N738-1,"")</f>
        <v/>
      </c>
      <c r="CV738" s="57">
        <f>IFERROR($O739/$O738-1,"")</f>
        <v/>
      </c>
      <c r="CW738" s="57">
        <f>IFERROR($P739/$P738-1,"")</f>
        <v/>
      </c>
      <c r="CX738" s="57">
        <f>IFERROR($Q739/$Q738-1,"")</f>
        <v/>
      </c>
      <c r="CY738" s="57">
        <f>IFERROR($R739/$R738-1,"")</f>
        <v/>
      </c>
      <c r="CZ738" s="57">
        <f>IFERROR($S739/$S738-1,"")</f>
        <v/>
      </c>
      <c r="DA738" s="57">
        <f>IFERROR($T739/$T738-1,"")</f>
        <v/>
      </c>
      <c r="DB738" s="57">
        <f>IFERROR($U739/$U738-1,"")</f>
        <v/>
      </c>
      <c r="DC738" s="57">
        <f>IFERROR($V739/$V738-1,"")</f>
        <v/>
      </c>
      <c r="DD738" s="57">
        <f>IFERROR($W739/$W738-1,"")</f>
        <v/>
      </c>
      <c r="DE738" s="57">
        <f>IFERROR($X739/$X738-1,"")</f>
        <v/>
      </c>
      <c r="DF738" s="57">
        <f>IFERROR($Y739/$Y738-1,"")</f>
        <v/>
      </c>
      <c r="DG738" s="57">
        <f>IFERROR($Z739/$Z738-1,"")</f>
        <v/>
      </c>
      <c r="DH738" s="57">
        <f>IFERROR($AA739/$AA738-1,"")</f>
        <v/>
      </c>
      <c r="DI738" s="57">
        <f>IFERROR($AB739/$AB738-1,"")</f>
        <v/>
      </c>
      <c r="DJ738" s="57">
        <f>IFERROR($AC739/$AC738-1,"")</f>
        <v/>
      </c>
      <c r="DK738" s="57">
        <f>IFERROR($AD739/$AD738-1,"")</f>
        <v/>
      </c>
      <c r="DL738" s="57">
        <f>IFERROR($AE739/$AE738-1,"")</f>
        <v/>
      </c>
      <c r="DM738" s="56">
        <f>$AZ738-$AZ739</f>
        <v/>
      </c>
      <c r="DN738" s="56">
        <f>$BA738-$BA739</f>
        <v/>
      </c>
      <c r="DO738" s="56">
        <f>$BB738-$BB739</f>
        <v/>
      </c>
      <c r="DP738" s="56">
        <f>$BC738-$BC739</f>
        <v/>
      </c>
      <c r="DQ738" s="56">
        <f>$BD738-$BD739</f>
        <v/>
      </c>
      <c r="DR738" s="56">
        <f>$BE738-$BE739</f>
        <v/>
      </c>
      <c r="DS738" s="56">
        <f>$BF738-$BF739</f>
        <v/>
      </c>
      <c r="DT738" s="56">
        <f>$BG738-$BG739</f>
        <v/>
      </c>
      <c r="DU738" s="56">
        <f>$BH738-$BH739</f>
        <v/>
      </c>
      <c r="DV738" s="56">
        <f>$BI738-$BI739</f>
        <v/>
      </c>
      <c r="DW738" s="56">
        <f>$BJ738-$BJ739</f>
        <v/>
      </c>
      <c r="DX738" s="56">
        <f>$BK738-$BK739</f>
        <v/>
      </c>
      <c r="DY738" s="56">
        <f>$BL738-$BL739</f>
        <v/>
      </c>
      <c r="DZ738" s="56">
        <f>$BM738-$BM739</f>
        <v/>
      </c>
      <c r="EA738" s="56">
        <f>$BN738-$BN739</f>
        <v/>
      </c>
      <c r="EB738" s="56">
        <f>$BO738-$BO739</f>
        <v/>
      </c>
      <c r="EC738" s="56">
        <f>$BP738-$BP739</f>
        <v/>
      </c>
      <c r="ED738" s="56">
        <f>$BQ738-$BQ739</f>
        <v/>
      </c>
      <c r="EE738" s="56">
        <f>$BR738-$BR739</f>
        <v/>
      </c>
      <c r="EF738" s="56">
        <f>$BS738-$BS739</f>
        <v/>
      </c>
      <c r="EG738" s="56">
        <f>$BT738-$BT739</f>
        <v/>
      </c>
      <c r="EH738" s="56">
        <f>$BU738-$BU739</f>
        <v/>
      </c>
    </row>
    <row r="739">
      <c r="BV739" s="56">
        <f>($D739-$D740)*100</f>
        <v/>
      </c>
      <c r="BW739" s="56">
        <f>($C739-$C740)*100</f>
        <v/>
      </c>
      <c r="BX739" s="57">
        <f>IFERROR($I739/$I740-1,"")</f>
        <v/>
      </c>
      <c r="BY739" s="56">
        <f>($AF739-$AF740)*100</f>
        <v/>
      </c>
      <c r="BZ739" s="56">
        <f>($AG739-$AG740)*100</f>
        <v/>
      </c>
      <c r="CA739" s="56">
        <f>($AH739-$AH740)*100</f>
        <v/>
      </c>
      <c r="CB739" s="56">
        <f>($AI739-$AI740)*100</f>
        <v/>
      </c>
      <c r="CC739" s="56">
        <f>($AJ739-$AJ740)*100</f>
        <v/>
      </c>
      <c r="CD739" s="56">
        <f>($AK739-$AK740)*100</f>
        <v/>
      </c>
      <c r="CE739" s="56">
        <f>($AL739-$AL740)*100</f>
        <v/>
      </c>
      <c r="CF739" s="56">
        <f>($AM739-$AM740)*100</f>
        <v/>
      </c>
      <c r="CG739" s="56">
        <f>($AN739-$AN740)*100</f>
        <v/>
      </c>
      <c r="CH739" s="56">
        <f>($AO739-$AO740)*100</f>
        <v/>
      </c>
      <c r="CI739" s="56">
        <f>($AP739-$AP740)*100</f>
        <v/>
      </c>
      <c r="CJ739" s="56">
        <f>($AQ739-$AQ740)*100</f>
        <v/>
      </c>
      <c r="CK739" s="56">
        <f>($AR739-$AR740)*100</f>
        <v/>
      </c>
      <c r="CL739" s="56">
        <f>($AS739-$AS740)*100</f>
        <v/>
      </c>
      <c r="CM739" s="56">
        <f>($AT739-$AT740)*100</f>
        <v/>
      </c>
      <c r="CN739" s="56">
        <f>($AU739-$AU740)*100</f>
        <v/>
      </c>
      <c r="CO739" s="56">
        <f>($AV739-$AV740)*100</f>
        <v/>
      </c>
      <c r="CP739" s="56">
        <f>($AW739-$AW740)*100</f>
        <v/>
      </c>
      <c r="CQ739" s="56">
        <f>($AX739-$AX740)*100</f>
        <v/>
      </c>
      <c r="CR739" s="56">
        <f>($AY739-$AY740)*100</f>
        <v/>
      </c>
      <c r="CS739" s="57">
        <f>IFERROR($L740/$L739-1,"")</f>
        <v/>
      </c>
      <c r="CT739" s="57">
        <f>IFERROR($M740/$M739-1,"")</f>
        <v/>
      </c>
      <c r="CU739" s="57">
        <f>IFERROR($N740/$N739-1,"")</f>
        <v/>
      </c>
      <c r="CV739" s="57">
        <f>IFERROR($O740/$O739-1,"")</f>
        <v/>
      </c>
      <c r="CW739" s="57">
        <f>IFERROR($P740/$P739-1,"")</f>
        <v/>
      </c>
      <c r="CX739" s="57">
        <f>IFERROR($Q740/$Q739-1,"")</f>
        <v/>
      </c>
      <c r="CY739" s="57">
        <f>IFERROR($R740/$R739-1,"")</f>
        <v/>
      </c>
      <c r="CZ739" s="57">
        <f>IFERROR($S740/$S739-1,"")</f>
        <v/>
      </c>
      <c r="DA739" s="57">
        <f>IFERROR($T740/$T739-1,"")</f>
        <v/>
      </c>
      <c r="DB739" s="57">
        <f>IFERROR($U740/$U739-1,"")</f>
        <v/>
      </c>
      <c r="DC739" s="57">
        <f>IFERROR($V740/$V739-1,"")</f>
        <v/>
      </c>
      <c r="DD739" s="57">
        <f>IFERROR($W740/$W739-1,"")</f>
        <v/>
      </c>
      <c r="DE739" s="57">
        <f>IFERROR($X740/$X739-1,"")</f>
        <v/>
      </c>
      <c r="DF739" s="57">
        <f>IFERROR($Y740/$Y739-1,"")</f>
        <v/>
      </c>
      <c r="DG739" s="57">
        <f>IFERROR($Z740/$Z739-1,"")</f>
        <v/>
      </c>
      <c r="DH739" s="57">
        <f>IFERROR($AA740/$AA739-1,"")</f>
        <v/>
      </c>
      <c r="DI739" s="57">
        <f>IFERROR($AB740/$AB739-1,"")</f>
        <v/>
      </c>
      <c r="DJ739" s="57">
        <f>IFERROR($AC740/$AC739-1,"")</f>
        <v/>
      </c>
      <c r="DK739" s="57">
        <f>IFERROR($AD740/$AD739-1,"")</f>
        <v/>
      </c>
      <c r="DL739" s="57">
        <f>IFERROR($AE740/$AE739-1,"")</f>
        <v/>
      </c>
      <c r="DM739" s="56">
        <f>$AZ739-$AZ740</f>
        <v/>
      </c>
      <c r="DN739" s="56">
        <f>$BA739-$BA740</f>
        <v/>
      </c>
      <c r="DO739" s="56">
        <f>$BB739-$BB740</f>
        <v/>
      </c>
      <c r="DP739" s="56">
        <f>$BC739-$BC740</f>
        <v/>
      </c>
      <c r="DQ739" s="56">
        <f>$BD739-$BD740</f>
        <v/>
      </c>
      <c r="DR739" s="56">
        <f>$BE739-$BE740</f>
        <v/>
      </c>
      <c r="DS739" s="56">
        <f>$BF739-$BF740</f>
        <v/>
      </c>
      <c r="DT739" s="56">
        <f>$BG739-$BG740</f>
        <v/>
      </c>
      <c r="DU739" s="56">
        <f>$BH739-$BH740</f>
        <v/>
      </c>
      <c r="DV739" s="56">
        <f>$BI739-$BI740</f>
        <v/>
      </c>
      <c r="DW739" s="56">
        <f>$BJ739-$BJ740</f>
        <v/>
      </c>
      <c r="DX739" s="56">
        <f>$BK739-$BK740</f>
        <v/>
      </c>
      <c r="DY739" s="56">
        <f>$BL739-$BL740</f>
        <v/>
      </c>
      <c r="DZ739" s="56">
        <f>$BM739-$BM740</f>
        <v/>
      </c>
      <c r="EA739" s="56">
        <f>$BN739-$BN740</f>
        <v/>
      </c>
      <c r="EB739" s="56">
        <f>$BO739-$BO740</f>
        <v/>
      </c>
      <c r="EC739" s="56">
        <f>$BP739-$BP740</f>
        <v/>
      </c>
      <c r="ED739" s="56">
        <f>$BQ739-$BQ740</f>
        <v/>
      </c>
      <c r="EE739" s="56">
        <f>$BR739-$BR740</f>
        <v/>
      </c>
      <c r="EF739" s="56">
        <f>$BS739-$BS740</f>
        <v/>
      </c>
      <c r="EG739" s="56">
        <f>$BT739-$BT740</f>
        <v/>
      </c>
      <c r="EH739" s="56">
        <f>$BU739-$BU740</f>
        <v/>
      </c>
    </row>
    <row r="740">
      <c r="BV740" s="56">
        <f>($D740-$D741)*100</f>
        <v/>
      </c>
      <c r="BW740" s="56">
        <f>($C740-$C741)*100</f>
        <v/>
      </c>
      <c r="BX740" s="57">
        <f>IFERROR($I740/$I741-1,"")</f>
        <v/>
      </c>
      <c r="BY740" s="56">
        <f>($AF740-$AF741)*100</f>
        <v/>
      </c>
      <c r="BZ740" s="56">
        <f>($AG740-$AG741)*100</f>
        <v/>
      </c>
      <c r="CA740" s="56">
        <f>($AH740-$AH741)*100</f>
        <v/>
      </c>
      <c r="CB740" s="56">
        <f>($AI740-$AI741)*100</f>
        <v/>
      </c>
      <c r="CC740" s="56">
        <f>($AJ740-$AJ741)*100</f>
        <v/>
      </c>
      <c r="CD740" s="56">
        <f>($AK740-$AK741)*100</f>
        <v/>
      </c>
      <c r="CE740" s="56">
        <f>($AL740-$AL741)*100</f>
        <v/>
      </c>
      <c r="CF740" s="56">
        <f>($AM740-$AM741)*100</f>
        <v/>
      </c>
      <c r="CG740" s="56">
        <f>($AN740-$AN741)*100</f>
        <v/>
      </c>
      <c r="CH740" s="56">
        <f>($AO740-$AO741)*100</f>
        <v/>
      </c>
      <c r="CI740" s="56">
        <f>($AP740-$AP741)*100</f>
        <v/>
      </c>
      <c r="CJ740" s="56">
        <f>($AQ740-$AQ741)*100</f>
        <v/>
      </c>
      <c r="CK740" s="56">
        <f>($AR740-$AR741)*100</f>
        <v/>
      </c>
      <c r="CL740" s="56">
        <f>($AS740-$AS741)*100</f>
        <v/>
      </c>
      <c r="CM740" s="56">
        <f>($AT740-$AT741)*100</f>
        <v/>
      </c>
      <c r="CN740" s="56">
        <f>($AU740-$AU741)*100</f>
        <v/>
      </c>
      <c r="CO740" s="56">
        <f>($AV740-$AV741)*100</f>
        <v/>
      </c>
      <c r="CP740" s="56">
        <f>($AW740-$AW741)*100</f>
        <v/>
      </c>
      <c r="CQ740" s="56">
        <f>($AX740-$AX741)*100</f>
        <v/>
      </c>
      <c r="CR740" s="56">
        <f>($AY740-$AY741)*100</f>
        <v/>
      </c>
      <c r="CS740" s="57">
        <f>IFERROR($L741/$L740-1,"")</f>
        <v/>
      </c>
      <c r="CT740" s="57">
        <f>IFERROR($M741/$M740-1,"")</f>
        <v/>
      </c>
      <c r="CU740" s="57">
        <f>IFERROR($N741/$N740-1,"")</f>
        <v/>
      </c>
      <c r="CV740" s="57">
        <f>IFERROR($O741/$O740-1,"")</f>
        <v/>
      </c>
      <c r="CW740" s="57">
        <f>IFERROR($P741/$P740-1,"")</f>
        <v/>
      </c>
      <c r="CX740" s="57">
        <f>IFERROR($Q741/$Q740-1,"")</f>
        <v/>
      </c>
      <c r="CY740" s="57">
        <f>IFERROR($R741/$R740-1,"")</f>
        <v/>
      </c>
      <c r="CZ740" s="57">
        <f>IFERROR($S741/$S740-1,"")</f>
        <v/>
      </c>
      <c r="DA740" s="57">
        <f>IFERROR($T741/$T740-1,"")</f>
        <v/>
      </c>
      <c r="DB740" s="57">
        <f>IFERROR($U741/$U740-1,"")</f>
        <v/>
      </c>
      <c r="DC740" s="57">
        <f>IFERROR($V741/$V740-1,"")</f>
        <v/>
      </c>
      <c r="DD740" s="57">
        <f>IFERROR($W741/$W740-1,"")</f>
        <v/>
      </c>
      <c r="DE740" s="57">
        <f>IFERROR($X741/$X740-1,"")</f>
        <v/>
      </c>
      <c r="DF740" s="57">
        <f>IFERROR($Y741/$Y740-1,"")</f>
        <v/>
      </c>
      <c r="DG740" s="57">
        <f>IFERROR($Z741/$Z740-1,"")</f>
        <v/>
      </c>
      <c r="DH740" s="57">
        <f>IFERROR($AA741/$AA740-1,"")</f>
        <v/>
      </c>
      <c r="DI740" s="57">
        <f>IFERROR($AB741/$AB740-1,"")</f>
        <v/>
      </c>
      <c r="DJ740" s="57">
        <f>IFERROR($AC741/$AC740-1,"")</f>
        <v/>
      </c>
      <c r="DK740" s="57">
        <f>IFERROR($AD741/$AD740-1,"")</f>
        <v/>
      </c>
      <c r="DL740" s="57">
        <f>IFERROR($AE741/$AE740-1,"")</f>
        <v/>
      </c>
      <c r="DM740" s="56">
        <f>$AZ740-$AZ741</f>
        <v/>
      </c>
      <c r="DN740" s="56">
        <f>$BA740-$BA741</f>
        <v/>
      </c>
      <c r="DO740" s="56">
        <f>$BB740-$BB741</f>
        <v/>
      </c>
      <c r="DP740" s="56">
        <f>$BC740-$BC741</f>
        <v/>
      </c>
      <c r="DQ740" s="56">
        <f>$BD740-$BD741</f>
        <v/>
      </c>
      <c r="DR740" s="56">
        <f>$BE740-$BE741</f>
        <v/>
      </c>
      <c r="DS740" s="56">
        <f>$BF740-$BF741</f>
        <v/>
      </c>
      <c r="DT740" s="56">
        <f>$BG740-$BG741</f>
        <v/>
      </c>
      <c r="DU740" s="56">
        <f>$BH740-$BH741</f>
        <v/>
      </c>
      <c r="DV740" s="56">
        <f>$BI740-$BI741</f>
        <v/>
      </c>
      <c r="DW740" s="56">
        <f>$BJ740-$BJ741</f>
        <v/>
      </c>
      <c r="DX740" s="56">
        <f>$BK740-$BK741</f>
        <v/>
      </c>
      <c r="DY740" s="56">
        <f>$BL740-$BL741</f>
        <v/>
      </c>
      <c r="DZ740" s="56">
        <f>$BM740-$BM741</f>
        <v/>
      </c>
      <c r="EA740" s="56">
        <f>$BN740-$BN741</f>
        <v/>
      </c>
      <c r="EB740" s="56">
        <f>$BO740-$BO741</f>
        <v/>
      </c>
      <c r="EC740" s="56">
        <f>$BP740-$BP741</f>
        <v/>
      </c>
      <c r="ED740" s="56">
        <f>$BQ740-$BQ741</f>
        <v/>
      </c>
      <c r="EE740" s="56">
        <f>$BR740-$BR741</f>
        <v/>
      </c>
      <c r="EF740" s="56">
        <f>$BS740-$BS741</f>
        <v/>
      </c>
      <c r="EG740" s="56">
        <f>$BT740-$BT741</f>
        <v/>
      </c>
      <c r="EH740" s="56">
        <f>$BU740-$BU741</f>
        <v/>
      </c>
    </row>
    <row r="741">
      <c r="BV741" s="56">
        <f>($D741-$D742)*100</f>
        <v/>
      </c>
      <c r="BW741" s="56">
        <f>($C741-$C742)*100</f>
        <v/>
      </c>
      <c r="BX741" s="57">
        <f>IFERROR($I741/$I742-1,"")</f>
        <v/>
      </c>
      <c r="BY741" s="56">
        <f>($AF741-$AF742)*100</f>
        <v/>
      </c>
      <c r="BZ741" s="56">
        <f>($AG741-$AG742)*100</f>
        <v/>
      </c>
      <c r="CA741" s="56">
        <f>($AH741-$AH742)*100</f>
        <v/>
      </c>
      <c r="CB741" s="56">
        <f>($AI741-$AI742)*100</f>
        <v/>
      </c>
      <c r="CC741" s="56">
        <f>($AJ741-$AJ742)*100</f>
        <v/>
      </c>
      <c r="CD741" s="56">
        <f>($AK741-$AK742)*100</f>
        <v/>
      </c>
      <c r="CE741" s="56">
        <f>($AL741-$AL742)*100</f>
        <v/>
      </c>
      <c r="CF741" s="56">
        <f>($AM741-$AM742)*100</f>
        <v/>
      </c>
      <c r="CG741" s="56">
        <f>($AN741-$AN742)*100</f>
        <v/>
      </c>
      <c r="CH741" s="56">
        <f>($AO741-$AO742)*100</f>
        <v/>
      </c>
      <c r="CI741" s="56">
        <f>($AP741-$AP742)*100</f>
        <v/>
      </c>
      <c r="CJ741" s="56">
        <f>($AQ741-$AQ742)*100</f>
        <v/>
      </c>
      <c r="CK741" s="56">
        <f>($AR741-$AR742)*100</f>
        <v/>
      </c>
      <c r="CL741" s="56">
        <f>($AS741-$AS742)*100</f>
        <v/>
      </c>
      <c r="CM741" s="56">
        <f>($AT741-$AT742)*100</f>
        <v/>
      </c>
      <c r="CN741" s="56">
        <f>($AU741-$AU742)*100</f>
        <v/>
      </c>
      <c r="CO741" s="56">
        <f>($AV741-$AV742)*100</f>
        <v/>
      </c>
      <c r="CP741" s="56">
        <f>($AW741-$AW742)*100</f>
        <v/>
      </c>
      <c r="CQ741" s="56">
        <f>($AX741-$AX742)*100</f>
        <v/>
      </c>
      <c r="CR741" s="56">
        <f>($AY741-$AY742)*100</f>
        <v/>
      </c>
      <c r="CS741" s="57">
        <f>IFERROR($L742/$L741-1,"")</f>
        <v/>
      </c>
      <c r="CT741" s="57">
        <f>IFERROR($M742/$M741-1,"")</f>
        <v/>
      </c>
      <c r="CU741" s="57">
        <f>IFERROR($N742/$N741-1,"")</f>
        <v/>
      </c>
      <c r="CV741" s="57">
        <f>IFERROR($O742/$O741-1,"")</f>
        <v/>
      </c>
      <c r="CW741" s="57">
        <f>IFERROR($P742/$P741-1,"")</f>
        <v/>
      </c>
      <c r="CX741" s="57">
        <f>IFERROR($Q742/$Q741-1,"")</f>
        <v/>
      </c>
      <c r="CY741" s="57">
        <f>IFERROR($R742/$R741-1,"")</f>
        <v/>
      </c>
      <c r="CZ741" s="57">
        <f>IFERROR($S742/$S741-1,"")</f>
        <v/>
      </c>
      <c r="DA741" s="57">
        <f>IFERROR($T742/$T741-1,"")</f>
        <v/>
      </c>
      <c r="DB741" s="57">
        <f>IFERROR($U742/$U741-1,"")</f>
        <v/>
      </c>
      <c r="DC741" s="57">
        <f>IFERROR($V742/$V741-1,"")</f>
        <v/>
      </c>
      <c r="DD741" s="57">
        <f>IFERROR($W742/$W741-1,"")</f>
        <v/>
      </c>
      <c r="DE741" s="57">
        <f>IFERROR($X742/$X741-1,"")</f>
        <v/>
      </c>
      <c r="DF741" s="57">
        <f>IFERROR($Y742/$Y741-1,"")</f>
        <v/>
      </c>
      <c r="DG741" s="57">
        <f>IFERROR($Z742/$Z741-1,"")</f>
        <v/>
      </c>
      <c r="DH741" s="57">
        <f>IFERROR($AA742/$AA741-1,"")</f>
        <v/>
      </c>
      <c r="DI741" s="57">
        <f>IFERROR($AB742/$AB741-1,"")</f>
        <v/>
      </c>
      <c r="DJ741" s="57">
        <f>IFERROR($AC742/$AC741-1,"")</f>
        <v/>
      </c>
      <c r="DK741" s="57">
        <f>IFERROR($AD742/$AD741-1,"")</f>
        <v/>
      </c>
      <c r="DL741" s="57">
        <f>IFERROR($AE742/$AE741-1,"")</f>
        <v/>
      </c>
      <c r="DM741" s="56">
        <f>$AZ741-$AZ742</f>
        <v/>
      </c>
      <c r="DN741" s="56">
        <f>$BA741-$BA742</f>
        <v/>
      </c>
      <c r="DO741" s="56">
        <f>$BB741-$BB742</f>
        <v/>
      </c>
      <c r="DP741" s="56">
        <f>$BC741-$BC742</f>
        <v/>
      </c>
      <c r="DQ741" s="56">
        <f>$BD741-$BD742</f>
        <v/>
      </c>
      <c r="DR741" s="56">
        <f>$BE741-$BE742</f>
        <v/>
      </c>
      <c r="DS741" s="56">
        <f>$BF741-$BF742</f>
        <v/>
      </c>
      <c r="DT741" s="56">
        <f>$BG741-$BG742</f>
        <v/>
      </c>
      <c r="DU741" s="56">
        <f>$BH741-$BH742</f>
        <v/>
      </c>
      <c r="DV741" s="56">
        <f>$BI741-$BI742</f>
        <v/>
      </c>
      <c r="DW741" s="56">
        <f>$BJ741-$BJ742</f>
        <v/>
      </c>
      <c r="DX741" s="56">
        <f>$BK741-$BK742</f>
        <v/>
      </c>
      <c r="DY741" s="56">
        <f>$BL741-$BL742</f>
        <v/>
      </c>
      <c r="DZ741" s="56">
        <f>$BM741-$BM742</f>
        <v/>
      </c>
      <c r="EA741" s="56">
        <f>$BN741-$BN742</f>
        <v/>
      </c>
      <c r="EB741" s="56">
        <f>$BO741-$BO742</f>
        <v/>
      </c>
      <c r="EC741" s="56">
        <f>$BP741-$BP742</f>
        <v/>
      </c>
      <c r="ED741" s="56">
        <f>$BQ741-$BQ742</f>
        <v/>
      </c>
      <c r="EE741" s="56">
        <f>$BR741-$BR742</f>
        <v/>
      </c>
      <c r="EF741" s="56">
        <f>$BS741-$BS742</f>
        <v/>
      </c>
      <c r="EG741" s="56">
        <f>$BT741-$BT742</f>
        <v/>
      </c>
      <c r="EH741" s="56">
        <f>$BU741-$BU742</f>
        <v/>
      </c>
    </row>
    <row r="742">
      <c r="BV742" s="56">
        <f>($D742-$D743)*100</f>
        <v/>
      </c>
      <c r="BW742" s="56">
        <f>($C742-$C743)*100</f>
        <v/>
      </c>
      <c r="BX742" s="57">
        <f>IFERROR($I742/$I743-1,"")</f>
        <v/>
      </c>
      <c r="BY742" s="56">
        <f>($AF742-$AF743)*100</f>
        <v/>
      </c>
      <c r="BZ742" s="56">
        <f>($AG742-$AG743)*100</f>
        <v/>
      </c>
      <c r="CA742" s="56">
        <f>($AH742-$AH743)*100</f>
        <v/>
      </c>
      <c r="CB742" s="56">
        <f>($AI742-$AI743)*100</f>
        <v/>
      </c>
      <c r="CC742" s="56">
        <f>($AJ742-$AJ743)*100</f>
        <v/>
      </c>
      <c r="CD742" s="56">
        <f>($AK742-$AK743)*100</f>
        <v/>
      </c>
      <c r="CE742" s="56">
        <f>($AL742-$AL743)*100</f>
        <v/>
      </c>
      <c r="CF742" s="56">
        <f>($AM742-$AM743)*100</f>
        <v/>
      </c>
      <c r="CG742" s="56">
        <f>($AN742-$AN743)*100</f>
        <v/>
      </c>
      <c r="CH742" s="56">
        <f>($AO742-$AO743)*100</f>
        <v/>
      </c>
      <c r="CI742" s="56">
        <f>($AP742-$AP743)*100</f>
        <v/>
      </c>
      <c r="CJ742" s="56">
        <f>($AQ742-$AQ743)*100</f>
        <v/>
      </c>
      <c r="CK742" s="56">
        <f>($AR742-$AR743)*100</f>
        <v/>
      </c>
      <c r="CL742" s="56">
        <f>($AS742-$AS743)*100</f>
        <v/>
      </c>
      <c r="CM742" s="56">
        <f>($AT742-$AT743)*100</f>
        <v/>
      </c>
      <c r="CN742" s="56">
        <f>($AU742-$AU743)*100</f>
        <v/>
      </c>
      <c r="CO742" s="56">
        <f>($AV742-$AV743)*100</f>
        <v/>
      </c>
      <c r="CP742" s="56">
        <f>($AW742-$AW743)*100</f>
        <v/>
      </c>
      <c r="CQ742" s="56">
        <f>($AX742-$AX743)*100</f>
        <v/>
      </c>
      <c r="CR742" s="56">
        <f>($AY742-$AY743)*100</f>
        <v/>
      </c>
      <c r="CS742" s="57">
        <f>IFERROR($L743/$L742-1,"")</f>
        <v/>
      </c>
      <c r="CT742" s="57">
        <f>IFERROR($M743/$M742-1,"")</f>
        <v/>
      </c>
      <c r="CU742" s="57">
        <f>IFERROR($N743/$N742-1,"")</f>
        <v/>
      </c>
      <c r="CV742" s="57">
        <f>IFERROR($O743/$O742-1,"")</f>
        <v/>
      </c>
      <c r="CW742" s="57">
        <f>IFERROR($P743/$P742-1,"")</f>
        <v/>
      </c>
      <c r="CX742" s="57">
        <f>IFERROR($Q743/$Q742-1,"")</f>
        <v/>
      </c>
      <c r="CY742" s="57">
        <f>IFERROR($R743/$R742-1,"")</f>
        <v/>
      </c>
      <c r="CZ742" s="57">
        <f>IFERROR($S743/$S742-1,"")</f>
        <v/>
      </c>
      <c r="DA742" s="57">
        <f>IFERROR($T743/$T742-1,"")</f>
        <v/>
      </c>
      <c r="DB742" s="57">
        <f>IFERROR($U743/$U742-1,"")</f>
        <v/>
      </c>
      <c r="DC742" s="57">
        <f>IFERROR($V743/$V742-1,"")</f>
        <v/>
      </c>
      <c r="DD742" s="57">
        <f>IFERROR($W743/$W742-1,"")</f>
        <v/>
      </c>
      <c r="DE742" s="57">
        <f>IFERROR($X743/$X742-1,"")</f>
        <v/>
      </c>
      <c r="DF742" s="57">
        <f>IFERROR($Y743/$Y742-1,"")</f>
        <v/>
      </c>
      <c r="DG742" s="57">
        <f>IFERROR($Z743/$Z742-1,"")</f>
        <v/>
      </c>
      <c r="DH742" s="57">
        <f>IFERROR($AA743/$AA742-1,"")</f>
        <v/>
      </c>
      <c r="DI742" s="57">
        <f>IFERROR($AB743/$AB742-1,"")</f>
        <v/>
      </c>
      <c r="DJ742" s="57">
        <f>IFERROR($AC743/$AC742-1,"")</f>
        <v/>
      </c>
      <c r="DK742" s="57">
        <f>IFERROR($AD743/$AD742-1,"")</f>
        <v/>
      </c>
      <c r="DL742" s="57">
        <f>IFERROR($AE743/$AE742-1,"")</f>
        <v/>
      </c>
      <c r="DM742" s="56">
        <f>$AZ742-$AZ743</f>
        <v/>
      </c>
      <c r="DN742" s="56">
        <f>$BA742-$BA743</f>
        <v/>
      </c>
      <c r="DO742" s="56">
        <f>$BB742-$BB743</f>
        <v/>
      </c>
      <c r="DP742" s="56">
        <f>$BC742-$BC743</f>
        <v/>
      </c>
      <c r="DQ742" s="56">
        <f>$BD742-$BD743</f>
        <v/>
      </c>
      <c r="DR742" s="56">
        <f>$BE742-$BE743</f>
        <v/>
      </c>
      <c r="DS742" s="56">
        <f>$BF742-$BF743</f>
        <v/>
      </c>
      <c r="DT742" s="56">
        <f>$BG742-$BG743</f>
        <v/>
      </c>
      <c r="DU742" s="56">
        <f>$BH742-$BH743</f>
        <v/>
      </c>
      <c r="DV742" s="56">
        <f>$BI742-$BI743</f>
        <v/>
      </c>
      <c r="DW742" s="56">
        <f>$BJ742-$BJ743</f>
        <v/>
      </c>
      <c r="DX742" s="56">
        <f>$BK742-$BK743</f>
        <v/>
      </c>
      <c r="DY742" s="56">
        <f>$BL742-$BL743</f>
        <v/>
      </c>
      <c r="DZ742" s="56">
        <f>$BM742-$BM743</f>
        <v/>
      </c>
      <c r="EA742" s="56">
        <f>$BN742-$BN743</f>
        <v/>
      </c>
      <c r="EB742" s="56">
        <f>$BO742-$BO743</f>
        <v/>
      </c>
      <c r="EC742" s="56">
        <f>$BP742-$BP743</f>
        <v/>
      </c>
      <c r="ED742" s="56">
        <f>$BQ742-$BQ743</f>
        <v/>
      </c>
      <c r="EE742" s="56">
        <f>$BR742-$BR743</f>
        <v/>
      </c>
      <c r="EF742" s="56">
        <f>$BS742-$BS743</f>
        <v/>
      </c>
      <c r="EG742" s="56">
        <f>$BT742-$BT743</f>
        <v/>
      </c>
      <c r="EH742" s="56">
        <f>$BU742-$BU743</f>
        <v/>
      </c>
    </row>
    <row r="743">
      <c r="BV743" s="56">
        <f>($D743-$D744)*100</f>
        <v/>
      </c>
      <c r="BW743" s="56">
        <f>($C743-$C744)*100</f>
        <v/>
      </c>
      <c r="BX743" s="57">
        <f>IFERROR($I743/$I744-1,"")</f>
        <v/>
      </c>
      <c r="BY743" s="56">
        <f>($AF743-$AF744)*100</f>
        <v/>
      </c>
      <c r="BZ743" s="56">
        <f>($AG743-$AG744)*100</f>
        <v/>
      </c>
      <c r="CA743" s="56">
        <f>($AH743-$AH744)*100</f>
        <v/>
      </c>
      <c r="CB743" s="56">
        <f>($AI743-$AI744)*100</f>
        <v/>
      </c>
      <c r="CC743" s="56">
        <f>($AJ743-$AJ744)*100</f>
        <v/>
      </c>
      <c r="CD743" s="56">
        <f>($AK743-$AK744)*100</f>
        <v/>
      </c>
      <c r="CE743" s="56">
        <f>($AL743-$AL744)*100</f>
        <v/>
      </c>
      <c r="CF743" s="56">
        <f>($AM743-$AM744)*100</f>
        <v/>
      </c>
      <c r="CG743" s="56">
        <f>($AN743-$AN744)*100</f>
        <v/>
      </c>
      <c r="CH743" s="56">
        <f>($AO743-$AO744)*100</f>
        <v/>
      </c>
      <c r="CI743" s="56">
        <f>($AP743-$AP744)*100</f>
        <v/>
      </c>
      <c r="CJ743" s="56">
        <f>($AQ743-$AQ744)*100</f>
        <v/>
      </c>
      <c r="CK743" s="56">
        <f>($AR743-$AR744)*100</f>
        <v/>
      </c>
      <c r="CL743" s="56">
        <f>($AS743-$AS744)*100</f>
        <v/>
      </c>
      <c r="CM743" s="56">
        <f>($AT743-$AT744)*100</f>
        <v/>
      </c>
      <c r="CN743" s="56">
        <f>($AU743-$AU744)*100</f>
        <v/>
      </c>
      <c r="CO743" s="56">
        <f>($AV743-$AV744)*100</f>
        <v/>
      </c>
      <c r="CP743" s="56">
        <f>($AW743-$AW744)*100</f>
        <v/>
      </c>
      <c r="CQ743" s="56">
        <f>($AX743-$AX744)*100</f>
        <v/>
      </c>
      <c r="CR743" s="56">
        <f>($AY743-$AY744)*100</f>
        <v/>
      </c>
      <c r="CS743" s="57">
        <f>IFERROR($L744/$L743-1,"")</f>
        <v/>
      </c>
      <c r="CT743" s="57">
        <f>IFERROR($M744/$M743-1,"")</f>
        <v/>
      </c>
      <c r="CU743" s="57">
        <f>IFERROR($N744/$N743-1,"")</f>
        <v/>
      </c>
      <c r="CV743" s="57">
        <f>IFERROR($O744/$O743-1,"")</f>
        <v/>
      </c>
      <c r="CW743" s="57">
        <f>IFERROR($P744/$P743-1,"")</f>
        <v/>
      </c>
      <c r="CX743" s="57">
        <f>IFERROR($Q744/$Q743-1,"")</f>
        <v/>
      </c>
      <c r="CY743" s="57">
        <f>IFERROR($R744/$R743-1,"")</f>
        <v/>
      </c>
      <c r="CZ743" s="57">
        <f>IFERROR($S744/$S743-1,"")</f>
        <v/>
      </c>
      <c r="DA743" s="57">
        <f>IFERROR($T744/$T743-1,"")</f>
        <v/>
      </c>
      <c r="DB743" s="57">
        <f>IFERROR($U744/$U743-1,"")</f>
        <v/>
      </c>
      <c r="DC743" s="57">
        <f>IFERROR($V744/$V743-1,"")</f>
        <v/>
      </c>
      <c r="DD743" s="57">
        <f>IFERROR($W744/$W743-1,"")</f>
        <v/>
      </c>
      <c r="DE743" s="57">
        <f>IFERROR($X744/$X743-1,"")</f>
        <v/>
      </c>
      <c r="DF743" s="57">
        <f>IFERROR($Y744/$Y743-1,"")</f>
        <v/>
      </c>
      <c r="DG743" s="57">
        <f>IFERROR($Z744/$Z743-1,"")</f>
        <v/>
      </c>
      <c r="DH743" s="57">
        <f>IFERROR($AA744/$AA743-1,"")</f>
        <v/>
      </c>
      <c r="DI743" s="57">
        <f>IFERROR($AB744/$AB743-1,"")</f>
        <v/>
      </c>
      <c r="DJ743" s="57">
        <f>IFERROR($AC744/$AC743-1,"")</f>
        <v/>
      </c>
      <c r="DK743" s="57">
        <f>IFERROR($AD744/$AD743-1,"")</f>
        <v/>
      </c>
      <c r="DL743" s="57">
        <f>IFERROR($AE744/$AE743-1,"")</f>
        <v/>
      </c>
      <c r="DM743" s="56">
        <f>$AZ743-$AZ744</f>
        <v/>
      </c>
      <c r="DN743" s="56">
        <f>$BA743-$BA744</f>
        <v/>
      </c>
      <c r="DO743" s="56">
        <f>$BB743-$BB744</f>
        <v/>
      </c>
      <c r="DP743" s="56">
        <f>$BC743-$BC744</f>
        <v/>
      </c>
      <c r="DQ743" s="56">
        <f>$BD743-$BD744</f>
        <v/>
      </c>
      <c r="DR743" s="56">
        <f>$BE743-$BE744</f>
        <v/>
      </c>
      <c r="DS743" s="56">
        <f>$BF743-$BF744</f>
        <v/>
      </c>
      <c r="DT743" s="56">
        <f>$BG743-$BG744</f>
        <v/>
      </c>
      <c r="DU743" s="56">
        <f>$BH743-$BH744</f>
        <v/>
      </c>
      <c r="DV743" s="56">
        <f>$BI743-$BI744</f>
        <v/>
      </c>
      <c r="DW743" s="56">
        <f>$BJ743-$BJ744</f>
        <v/>
      </c>
      <c r="DX743" s="56">
        <f>$BK743-$BK744</f>
        <v/>
      </c>
      <c r="DY743" s="56">
        <f>$BL743-$BL744</f>
        <v/>
      </c>
      <c r="DZ743" s="56">
        <f>$BM743-$BM744</f>
        <v/>
      </c>
      <c r="EA743" s="56">
        <f>$BN743-$BN744</f>
        <v/>
      </c>
      <c r="EB743" s="56">
        <f>$BO743-$BO744</f>
        <v/>
      </c>
      <c r="EC743" s="56">
        <f>$BP743-$BP744</f>
        <v/>
      </c>
      <c r="ED743" s="56">
        <f>$BQ743-$BQ744</f>
        <v/>
      </c>
      <c r="EE743" s="56">
        <f>$BR743-$BR744</f>
        <v/>
      </c>
      <c r="EF743" s="56">
        <f>$BS743-$BS744</f>
        <v/>
      </c>
      <c r="EG743" s="56">
        <f>$BT743-$BT744</f>
        <v/>
      </c>
      <c r="EH743" s="56">
        <f>$BU743-$BU744</f>
        <v/>
      </c>
    </row>
    <row r="744">
      <c r="BV744" s="56">
        <f>($D744-$D745)*100</f>
        <v/>
      </c>
      <c r="BW744" s="56">
        <f>($C744-$C745)*100</f>
        <v/>
      </c>
      <c r="BX744" s="57">
        <f>IFERROR($I744/$I745-1,"")</f>
        <v/>
      </c>
      <c r="BY744" s="56">
        <f>($AF744-$AF745)*100</f>
        <v/>
      </c>
      <c r="BZ744" s="56">
        <f>($AG744-$AG745)*100</f>
        <v/>
      </c>
      <c r="CA744" s="56">
        <f>($AH744-$AH745)*100</f>
        <v/>
      </c>
      <c r="CB744" s="56">
        <f>($AI744-$AI745)*100</f>
        <v/>
      </c>
      <c r="CC744" s="56">
        <f>($AJ744-$AJ745)*100</f>
        <v/>
      </c>
      <c r="CD744" s="56">
        <f>($AK744-$AK745)*100</f>
        <v/>
      </c>
      <c r="CE744" s="56">
        <f>($AL744-$AL745)*100</f>
        <v/>
      </c>
      <c r="CF744" s="56">
        <f>($AM744-$AM745)*100</f>
        <v/>
      </c>
      <c r="CG744" s="56">
        <f>($AN744-$AN745)*100</f>
        <v/>
      </c>
      <c r="CH744" s="56">
        <f>($AO744-$AO745)*100</f>
        <v/>
      </c>
      <c r="CI744" s="56">
        <f>($AP744-$AP745)*100</f>
        <v/>
      </c>
      <c r="CJ744" s="56">
        <f>($AQ744-$AQ745)*100</f>
        <v/>
      </c>
      <c r="CK744" s="56">
        <f>($AR744-$AR745)*100</f>
        <v/>
      </c>
      <c r="CL744" s="56">
        <f>($AS744-$AS745)*100</f>
        <v/>
      </c>
      <c r="CM744" s="56">
        <f>($AT744-$AT745)*100</f>
        <v/>
      </c>
      <c r="CN744" s="56">
        <f>($AU744-$AU745)*100</f>
        <v/>
      </c>
      <c r="CO744" s="56">
        <f>($AV744-$AV745)*100</f>
        <v/>
      </c>
      <c r="CP744" s="56">
        <f>($AW744-$AW745)*100</f>
        <v/>
      </c>
      <c r="CQ744" s="56">
        <f>($AX744-$AX745)*100</f>
        <v/>
      </c>
      <c r="CR744" s="56">
        <f>($AY744-$AY745)*100</f>
        <v/>
      </c>
      <c r="CS744" s="57">
        <f>IFERROR($L745/$L744-1,"")</f>
        <v/>
      </c>
      <c r="CT744" s="57">
        <f>IFERROR($M745/$M744-1,"")</f>
        <v/>
      </c>
      <c r="CU744" s="57">
        <f>IFERROR($N745/$N744-1,"")</f>
        <v/>
      </c>
      <c r="CV744" s="57">
        <f>IFERROR($O745/$O744-1,"")</f>
        <v/>
      </c>
      <c r="CW744" s="57">
        <f>IFERROR($P745/$P744-1,"")</f>
        <v/>
      </c>
      <c r="CX744" s="57">
        <f>IFERROR($Q745/$Q744-1,"")</f>
        <v/>
      </c>
      <c r="CY744" s="57">
        <f>IFERROR($R745/$R744-1,"")</f>
        <v/>
      </c>
      <c r="CZ744" s="57">
        <f>IFERROR($S745/$S744-1,"")</f>
        <v/>
      </c>
      <c r="DA744" s="57">
        <f>IFERROR($T745/$T744-1,"")</f>
        <v/>
      </c>
      <c r="DB744" s="57">
        <f>IFERROR($U745/$U744-1,"")</f>
        <v/>
      </c>
      <c r="DC744" s="57">
        <f>IFERROR($V745/$V744-1,"")</f>
        <v/>
      </c>
      <c r="DD744" s="57">
        <f>IFERROR($W745/$W744-1,"")</f>
        <v/>
      </c>
      <c r="DE744" s="57">
        <f>IFERROR($X745/$X744-1,"")</f>
        <v/>
      </c>
      <c r="DF744" s="57">
        <f>IFERROR($Y745/$Y744-1,"")</f>
        <v/>
      </c>
      <c r="DG744" s="57">
        <f>IFERROR($Z745/$Z744-1,"")</f>
        <v/>
      </c>
      <c r="DH744" s="57">
        <f>IFERROR($AA745/$AA744-1,"")</f>
        <v/>
      </c>
      <c r="DI744" s="57">
        <f>IFERROR($AB745/$AB744-1,"")</f>
        <v/>
      </c>
      <c r="DJ744" s="57">
        <f>IFERROR($AC745/$AC744-1,"")</f>
        <v/>
      </c>
      <c r="DK744" s="57">
        <f>IFERROR($AD745/$AD744-1,"")</f>
        <v/>
      </c>
      <c r="DL744" s="57">
        <f>IFERROR($AE745/$AE744-1,"")</f>
        <v/>
      </c>
      <c r="DM744" s="56">
        <f>$AZ744-$AZ745</f>
        <v/>
      </c>
      <c r="DN744" s="56">
        <f>$BA744-$BA745</f>
        <v/>
      </c>
      <c r="DO744" s="56">
        <f>$BB744-$BB745</f>
        <v/>
      </c>
      <c r="DP744" s="56">
        <f>$BC744-$BC745</f>
        <v/>
      </c>
      <c r="DQ744" s="56">
        <f>$BD744-$BD745</f>
        <v/>
      </c>
      <c r="DR744" s="56">
        <f>$BE744-$BE745</f>
        <v/>
      </c>
      <c r="DS744" s="56">
        <f>$BF744-$BF745</f>
        <v/>
      </c>
      <c r="DT744" s="56">
        <f>$BG744-$BG745</f>
        <v/>
      </c>
      <c r="DU744" s="56">
        <f>$BH744-$BH745</f>
        <v/>
      </c>
      <c r="DV744" s="56">
        <f>$BI744-$BI745</f>
        <v/>
      </c>
      <c r="DW744" s="56">
        <f>$BJ744-$BJ745</f>
        <v/>
      </c>
      <c r="DX744" s="56">
        <f>$BK744-$BK745</f>
        <v/>
      </c>
      <c r="DY744" s="56">
        <f>$BL744-$BL745</f>
        <v/>
      </c>
      <c r="DZ744" s="56">
        <f>$BM744-$BM745</f>
        <v/>
      </c>
      <c r="EA744" s="56">
        <f>$BN744-$BN745</f>
        <v/>
      </c>
      <c r="EB744" s="56">
        <f>$BO744-$BO745</f>
        <v/>
      </c>
      <c r="EC744" s="56">
        <f>$BP744-$BP745</f>
        <v/>
      </c>
      <c r="ED744" s="56">
        <f>$BQ744-$BQ745</f>
        <v/>
      </c>
      <c r="EE744" s="56">
        <f>$BR744-$BR745</f>
        <v/>
      </c>
      <c r="EF744" s="56">
        <f>$BS744-$BS745</f>
        <v/>
      </c>
      <c r="EG744" s="56">
        <f>$BT744-$BT745</f>
        <v/>
      </c>
      <c r="EH744" s="56">
        <f>$BU744-$BU745</f>
        <v/>
      </c>
    </row>
    <row r="745">
      <c r="BV745" s="56">
        <f>($D745-$D746)*100</f>
        <v/>
      </c>
      <c r="BW745" s="56">
        <f>($C745-$C746)*100</f>
        <v/>
      </c>
      <c r="BX745" s="57">
        <f>IFERROR($I745/$I746-1,"")</f>
        <v/>
      </c>
      <c r="BY745" s="56">
        <f>($AF745-$AF746)*100</f>
        <v/>
      </c>
      <c r="BZ745" s="56">
        <f>($AG745-$AG746)*100</f>
        <v/>
      </c>
      <c r="CA745" s="56">
        <f>($AH745-$AH746)*100</f>
        <v/>
      </c>
      <c r="CB745" s="56">
        <f>($AI745-$AI746)*100</f>
        <v/>
      </c>
      <c r="CC745" s="56">
        <f>($AJ745-$AJ746)*100</f>
        <v/>
      </c>
      <c r="CD745" s="56">
        <f>($AK745-$AK746)*100</f>
        <v/>
      </c>
      <c r="CE745" s="56">
        <f>($AL745-$AL746)*100</f>
        <v/>
      </c>
      <c r="CF745" s="56">
        <f>($AM745-$AM746)*100</f>
        <v/>
      </c>
      <c r="CG745" s="56">
        <f>($AN745-$AN746)*100</f>
        <v/>
      </c>
      <c r="CH745" s="56">
        <f>($AO745-$AO746)*100</f>
        <v/>
      </c>
      <c r="CI745" s="56">
        <f>($AP745-$AP746)*100</f>
        <v/>
      </c>
      <c r="CJ745" s="56">
        <f>($AQ745-$AQ746)*100</f>
        <v/>
      </c>
      <c r="CK745" s="56">
        <f>($AR745-$AR746)*100</f>
        <v/>
      </c>
      <c r="CL745" s="56">
        <f>($AS745-$AS746)*100</f>
        <v/>
      </c>
      <c r="CM745" s="56">
        <f>($AT745-$AT746)*100</f>
        <v/>
      </c>
      <c r="CN745" s="56">
        <f>($AU745-$AU746)*100</f>
        <v/>
      </c>
      <c r="CO745" s="56">
        <f>($AV745-$AV746)*100</f>
        <v/>
      </c>
      <c r="CP745" s="56">
        <f>($AW745-$AW746)*100</f>
        <v/>
      </c>
      <c r="CQ745" s="56">
        <f>($AX745-$AX746)*100</f>
        <v/>
      </c>
      <c r="CR745" s="56">
        <f>($AY745-$AY746)*100</f>
        <v/>
      </c>
      <c r="CS745" s="57">
        <f>IFERROR($L746/$L745-1,"")</f>
        <v/>
      </c>
      <c r="CT745" s="57">
        <f>IFERROR($M746/$M745-1,"")</f>
        <v/>
      </c>
      <c r="CU745" s="57">
        <f>IFERROR($N746/$N745-1,"")</f>
        <v/>
      </c>
      <c r="CV745" s="57">
        <f>IFERROR($O746/$O745-1,"")</f>
        <v/>
      </c>
      <c r="CW745" s="57">
        <f>IFERROR($P746/$P745-1,"")</f>
        <v/>
      </c>
      <c r="CX745" s="57">
        <f>IFERROR($Q746/$Q745-1,"")</f>
        <v/>
      </c>
      <c r="CY745" s="57">
        <f>IFERROR($R746/$R745-1,"")</f>
        <v/>
      </c>
      <c r="CZ745" s="57">
        <f>IFERROR($S746/$S745-1,"")</f>
        <v/>
      </c>
      <c r="DA745" s="57">
        <f>IFERROR($T746/$T745-1,"")</f>
        <v/>
      </c>
      <c r="DB745" s="57">
        <f>IFERROR($U746/$U745-1,"")</f>
        <v/>
      </c>
      <c r="DC745" s="57">
        <f>IFERROR($V746/$V745-1,"")</f>
        <v/>
      </c>
      <c r="DD745" s="57">
        <f>IFERROR($W746/$W745-1,"")</f>
        <v/>
      </c>
      <c r="DE745" s="57">
        <f>IFERROR($X746/$X745-1,"")</f>
        <v/>
      </c>
      <c r="DF745" s="57">
        <f>IFERROR($Y746/$Y745-1,"")</f>
        <v/>
      </c>
      <c r="DG745" s="57">
        <f>IFERROR($Z746/$Z745-1,"")</f>
        <v/>
      </c>
      <c r="DH745" s="57">
        <f>IFERROR($AA746/$AA745-1,"")</f>
        <v/>
      </c>
      <c r="DI745" s="57">
        <f>IFERROR($AB746/$AB745-1,"")</f>
        <v/>
      </c>
      <c r="DJ745" s="57">
        <f>IFERROR($AC746/$AC745-1,"")</f>
        <v/>
      </c>
      <c r="DK745" s="57">
        <f>IFERROR($AD746/$AD745-1,"")</f>
        <v/>
      </c>
      <c r="DL745" s="57">
        <f>IFERROR($AE746/$AE745-1,"")</f>
        <v/>
      </c>
      <c r="DM745" s="56">
        <f>$AZ745-$AZ746</f>
        <v/>
      </c>
      <c r="DN745" s="56">
        <f>$BA745-$BA746</f>
        <v/>
      </c>
      <c r="DO745" s="56">
        <f>$BB745-$BB746</f>
        <v/>
      </c>
      <c r="DP745" s="56">
        <f>$BC745-$BC746</f>
        <v/>
      </c>
      <c r="DQ745" s="56">
        <f>$BD745-$BD746</f>
        <v/>
      </c>
      <c r="DR745" s="56">
        <f>$BE745-$BE746</f>
        <v/>
      </c>
      <c r="DS745" s="56">
        <f>$BF745-$BF746</f>
        <v/>
      </c>
      <c r="DT745" s="56">
        <f>$BG745-$BG746</f>
        <v/>
      </c>
      <c r="DU745" s="56">
        <f>$BH745-$BH746</f>
        <v/>
      </c>
      <c r="DV745" s="56">
        <f>$BI745-$BI746</f>
        <v/>
      </c>
      <c r="DW745" s="56">
        <f>$BJ745-$BJ746</f>
        <v/>
      </c>
      <c r="DX745" s="56">
        <f>$BK745-$BK746</f>
        <v/>
      </c>
      <c r="DY745" s="56">
        <f>$BL745-$BL746</f>
        <v/>
      </c>
      <c r="DZ745" s="56">
        <f>$BM745-$BM746</f>
        <v/>
      </c>
      <c r="EA745" s="56">
        <f>$BN745-$BN746</f>
        <v/>
      </c>
      <c r="EB745" s="56">
        <f>$BO745-$BO746</f>
        <v/>
      </c>
      <c r="EC745" s="56">
        <f>$BP745-$BP746</f>
        <v/>
      </c>
      <c r="ED745" s="56">
        <f>$BQ745-$BQ746</f>
        <v/>
      </c>
      <c r="EE745" s="56">
        <f>$BR745-$BR746</f>
        <v/>
      </c>
      <c r="EF745" s="56">
        <f>$BS745-$BS746</f>
        <v/>
      </c>
      <c r="EG745" s="56">
        <f>$BT745-$BT746</f>
        <v/>
      </c>
      <c r="EH745" s="56">
        <f>$BU745-$BU746</f>
        <v/>
      </c>
    </row>
    <row r="746">
      <c r="BV746" s="56">
        <f>($D746-$D747)*100</f>
        <v/>
      </c>
      <c r="BW746" s="56">
        <f>($C746-$C747)*100</f>
        <v/>
      </c>
      <c r="BX746" s="57">
        <f>IFERROR($I746/$I747-1,"")</f>
        <v/>
      </c>
      <c r="BY746" s="56">
        <f>($AF746-$AF747)*100</f>
        <v/>
      </c>
      <c r="BZ746" s="56">
        <f>($AG746-$AG747)*100</f>
        <v/>
      </c>
      <c r="CA746" s="56">
        <f>($AH746-$AH747)*100</f>
        <v/>
      </c>
      <c r="CB746" s="56">
        <f>($AI746-$AI747)*100</f>
        <v/>
      </c>
      <c r="CC746" s="56">
        <f>($AJ746-$AJ747)*100</f>
        <v/>
      </c>
      <c r="CD746" s="56">
        <f>($AK746-$AK747)*100</f>
        <v/>
      </c>
      <c r="CE746" s="56">
        <f>($AL746-$AL747)*100</f>
        <v/>
      </c>
      <c r="CF746" s="56">
        <f>($AM746-$AM747)*100</f>
        <v/>
      </c>
      <c r="CG746" s="56">
        <f>($AN746-$AN747)*100</f>
        <v/>
      </c>
      <c r="CH746" s="56">
        <f>($AO746-$AO747)*100</f>
        <v/>
      </c>
      <c r="CI746" s="56">
        <f>($AP746-$AP747)*100</f>
        <v/>
      </c>
      <c r="CJ746" s="56">
        <f>($AQ746-$AQ747)*100</f>
        <v/>
      </c>
      <c r="CK746" s="56">
        <f>($AR746-$AR747)*100</f>
        <v/>
      </c>
      <c r="CL746" s="56">
        <f>($AS746-$AS747)*100</f>
        <v/>
      </c>
      <c r="CM746" s="56">
        <f>($AT746-$AT747)*100</f>
        <v/>
      </c>
      <c r="CN746" s="56">
        <f>($AU746-$AU747)*100</f>
        <v/>
      </c>
      <c r="CO746" s="56">
        <f>($AV746-$AV747)*100</f>
        <v/>
      </c>
      <c r="CP746" s="56">
        <f>($AW746-$AW747)*100</f>
        <v/>
      </c>
      <c r="CQ746" s="56">
        <f>($AX746-$AX747)*100</f>
        <v/>
      </c>
      <c r="CR746" s="56">
        <f>($AY746-$AY747)*100</f>
        <v/>
      </c>
      <c r="CS746" s="57">
        <f>IFERROR($L747/$L746-1,"")</f>
        <v/>
      </c>
      <c r="CT746" s="57">
        <f>IFERROR($M747/$M746-1,"")</f>
        <v/>
      </c>
      <c r="CU746" s="57">
        <f>IFERROR($N747/$N746-1,"")</f>
        <v/>
      </c>
      <c r="CV746" s="57">
        <f>IFERROR($O747/$O746-1,"")</f>
        <v/>
      </c>
      <c r="CW746" s="57">
        <f>IFERROR($P747/$P746-1,"")</f>
        <v/>
      </c>
      <c r="CX746" s="57">
        <f>IFERROR($Q747/$Q746-1,"")</f>
        <v/>
      </c>
      <c r="CY746" s="57">
        <f>IFERROR($R747/$R746-1,"")</f>
        <v/>
      </c>
      <c r="CZ746" s="57">
        <f>IFERROR($S747/$S746-1,"")</f>
        <v/>
      </c>
      <c r="DA746" s="57">
        <f>IFERROR($T747/$T746-1,"")</f>
        <v/>
      </c>
      <c r="DB746" s="57">
        <f>IFERROR($U747/$U746-1,"")</f>
        <v/>
      </c>
      <c r="DC746" s="57">
        <f>IFERROR($V747/$V746-1,"")</f>
        <v/>
      </c>
      <c r="DD746" s="57">
        <f>IFERROR($W747/$W746-1,"")</f>
        <v/>
      </c>
      <c r="DE746" s="57">
        <f>IFERROR($X747/$X746-1,"")</f>
        <v/>
      </c>
      <c r="DF746" s="57">
        <f>IFERROR($Y747/$Y746-1,"")</f>
        <v/>
      </c>
      <c r="DG746" s="57">
        <f>IFERROR($Z747/$Z746-1,"")</f>
        <v/>
      </c>
      <c r="DH746" s="57">
        <f>IFERROR($AA747/$AA746-1,"")</f>
        <v/>
      </c>
      <c r="DI746" s="57">
        <f>IFERROR($AB747/$AB746-1,"")</f>
        <v/>
      </c>
      <c r="DJ746" s="57">
        <f>IFERROR($AC747/$AC746-1,"")</f>
        <v/>
      </c>
      <c r="DK746" s="57">
        <f>IFERROR($AD747/$AD746-1,"")</f>
        <v/>
      </c>
      <c r="DL746" s="57">
        <f>IFERROR($AE747/$AE746-1,"")</f>
        <v/>
      </c>
      <c r="DM746" s="56">
        <f>$AZ746-$AZ747</f>
        <v/>
      </c>
      <c r="DN746" s="56">
        <f>$BA746-$BA747</f>
        <v/>
      </c>
      <c r="DO746" s="56">
        <f>$BB746-$BB747</f>
        <v/>
      </c>
      <c r="DP746" s="56">
        <f>$BC746-$BC747</f>
        <v/>
      </c>
      <c r="DQ746" s="56">
        <f>$BD746-$BD747</f>
        <v/>
      </c>
      <c r="DR746" s="56">
        <f>$BE746-$BE747</f>
        <v/>
      </c>
      <c r="DS746" s="56">
        <f>$BF746-$BF747</f>
        <v/>
      </c>
      <c r="DT746" s="56">
        <f>$BG746-$BG747</f>
        <v/>
      </c>
      <c r="DU746" s="56">
        <f>$BH746-$BH747</f>
        <v/>
      </c>
      <c r="DV746" s="56">
        <f>$BI746-$BI747</f>
        <v/>
      </c>
      <c r="DW746" s="56">
        <f>$BJ746-$BJ747</f>
        <v/>
      </c>
      <c r="DX746" s="56">
        <f>$BK746-$BK747</f>
        <v/>
      </c>
      <c r="DY746" s="56">
        <f>$BL746-$BL747</f>
        <v/>
      </c>
      <c r="DZ746" s="56">
        <f>$BM746-$BM747</f>
        <v/>
      </c>
      <c r="EA746" s="56">
        <f>$BN746-$BN747</f>
        <v/>
      </c>
      <c r="EB746" s="56">
        <f>$BO746-$BO747</f>
        <v/>
      </c>
      <c r="EC746" s="56">
        <f>$BP746-$BP747</f>
        <v/>
      </c>
      <c r="ED746" s="56">
        <f>$BQ746-$BQ747</f>
        <v/>
      </c>
      <c r="EE746" s="56">
        <f>$BR746-$BR747</f>
        <v/>
      </c>
      <c r="EF746" s="56">
        <f>$BS746-$BS747</f>
        <v/>
      </c>
      <c r="EG746" s="56">
        <f>$BT746-$BT747</f>
        <v/>
      </c>
      <c r="EH746" s="56">
        <f>$BU746-$BU747</f>
        <v/>
      </c>
    </row>
    <row r="747">
      <c r="BV747" s="56">
        <f>($D747-$D748)*100</f>
        <v/>
      </c>
      <c r="BW747" s="56">
        <f>($C747-$C748)*100</f>
        <v/>
      </c>
      <c r="BX747" s="57">
        <f>IFERROR($I747/$I748-1,"")</f>
        <v/>
      </c>
      <c r="BY747" s="56">
        <f>($AF747-$AF748)*100</f>
        <v/>
      </c>
      <c r="BZ747" s="56">
        <f>($AG747-$AG748)*100</f>
        <v/>
      </c>
      <c r="CA747" s="56">
        <f>($AH747-$AH748)*100</f>
        <v/>
      </c>
      <c r="CB747" s="56">
        <f>($AI747-$AI748)*100</f>
        <v/>
      </c>
      <c r="CC747" s="56">
        <f>($AJ747-$AJ748)*100</f>
        <v/>
      </c>
      <c r="CD747" s="56">
        <f>($AK747-$AK748)*100</f>
        <v/>
      </c>
      <c r="CE747" s="56">
        <f>($AL747-$AL748)*100</f>
        <v/>
      </c>
      <c r="CF747" s="56">
        <f>($AM747-$AM748)*100</f>
        <v/>
      </c>
      <c r="CG747" s="56">
        <f>($AN747-$AN748)*100</f>
        <v/>
      </c>
      <c r="CH747" s="56">
        <f>($AO747-$AO748)*100</f>
        <v/>
      </c>
      <c r="CI747" s="56">
        <f>($AP747-$AP748)*100</f>
        <v/>
      </c>
      <c r="CJ747" s="56">
        <f>($AQ747-$AQ748)*100</f>
        <v/>
      </c>
      <c r="CK747" s="56">
        <f>($AR747-$AR748)*100</f>
        <v/>
      </c>
      <c r="CL747" s="56">
        <f>($AS747-$AS748)*100</f>
        <v/>
      </c>
      <c r="CM747" s="56">
        <f>($AT747-$AT748)*100</f>
        <v/>
      </c>
      <c r="CN747" s="56">
        <f>($AU747-$AU748)*100</f>
        <v/>
      </c>
      <c r="CO747" s="56">
        <f>($AV747-$AV748)*100</f>
        <v/>
      </c>
      <c r="CP747" s="56">
        <f>($AW747-$AW748)*100</f>
        <v/>
      </c>
      <c r="CQ747" s="56">
        <f>($AX747-$AX748)*100</f>
        <v/>
      </c>
      <c r="CR747" s="56">
        <f>($AY747-$AY748)*100</f>
        <v/>
      </c>
      <c r="CS747" s="57">
        <f>IFERROR($L748/$L747-1,"")</f>
        <v/>
      </c>
      <c r="CT747" s="57">
        <f>IFERROR($M748/$M747-1,"")</f>
        <v/>
      </c>
      <c r="CU747" s="57">
        <f>IFERROR($N748/$N747-1,"")</f>
        <v/>
      </c>
      <c r="CV747" s="57">
        <f>IFERROR($O748/$O747-1,"")</f>
        <v/>
      </c>
      <c r="CW747" s="57">
        <f>IFERROR($P748/$P747-1,"")</f>
        <v/>
      </c>
      <c r="CX747" s="57">
        <f>IFERROR($Q748/$Q747-1,"")</f>
        <v/>
      </c>
      <c r="CY747" s="57">
        <f>IFERROR($R748/$R747-1,"")</f>
        <v/>
      </c>
      <c r="CZ747" s="57">
        <f>IFERROR($S748/$S747-1,"")</f>
        <v/>
      </c>
      <c r="DA747" s="57">
        <f>IFERROR($T748/$T747-1,"")</f>
        <v/>
      </c>
      <c r="DB747" s="57">
        <f>IFERROR($U748/$U747-1,"")</f>
        <v/>
      </c>
      <c r="DC747" s="57">
        <f>IFERROR($V748/$V747-1,"")</f>
        <v/>
      </c>
      <c r="DD747" s="57">
        <f>IFERROR($W748/$W747-1,"")</f>
        <v/>
      </c>
      <c r="DE747" s="57">
        <f>IFERROR($X748/$X747-1,"")</f>
        <v/>
      </c>
      <c r="DF747" s="57">
        <f>IFERROR($Y748/$Y747-1,"")</f>
        <v/>
      </c>
      <c r="DG747" s="57">
        <f>IFERROR($Z748/$Z747-1,"")</f>
        <v/>
      </c>
      <c r="DH747" s="57">
        <f>IFERROR($AA748/$AA747-1,"")</f>
        <v/>
      </c>
      <c r="DI747" s="57">
        <f>IFERROR($AB748/$AB747-1,"")</f>
        <v/>
      </c>
      <c r="DJ747" s="57">
        <f>IFERROR($AC748/$AC747-1,"")</f>
        <v/>
      </c>
      <c r="DK747" s="57">
        <f>IFERROR($AD748/$AD747-1,"")</f>
        <v/>
      </c>
      <c r="DL747" s="57">
        <f>IFERROR($AE748/$AE747-1,"")</f>
        <v/>
      </c>
      <c r="DM747" s="56">
        <f>$AZ747-$AZ748</f>
        <v/>
      </c>
      <c r="DN747" s="56">
        <f>$BA747-$BA748</f>
        <v/>
      </c>
      <c r="DO747" s="56">
        <f>$BB747-$BB748</f>
        <v/>
      </c>
      <c r="DP747" s="56">
        <f>$BC747-$BC748</f>
        <v/>
      </c>
      <c r="DQ747" s="56">
        <f>$BD747-$BD748</f>
        <v/>
      </c>
      <c r="DR747" s="56">
        <f>$BE747-$BE748</f>
        <v/>
      </c>
      <c r="DS747" s="56">
        <f>$BF747-$BF748</f>
        <v/>
      </c>
      <c r="DT747" s="56">
        <f>$BG747-$BG748</f>
        <v/>
      </c>
      <c r="DU747" s="56">
        <f>$BH747-$BH748</f>
        <v/>
      </c>
      <c r="DV747" s="56">
        <f>$BI747-$BI748</f>
        <v/>
      </c>
      <c r="DW747" s="56">
        <f>$BJ747-$BJ748</f>
        <v/>
      </c>
      <c r="DX747" s="56">
        <f>$BK747-$BK748</f>
        <v/>
      </c>
      <c r="DY747" s="56">
        <f>$BL747-$BL748</f>
        <v/>
      </c>
      <c r="DZ747" s="56">
        <f>$BM747-$BM748</f>
        <v/>
      </c>
      <c r="EA747" s="56">
        <f>$BN747-$BN748</f>
        <v/>
      </c>
      <c r="EB747" s="56">
        <f>$BO747-$BO748</f>
        <v/>
      </c>
      <c r="EC747" s="56">
        <f>$BP747-$BP748</f>
        <v/>
      </c>
      <c r="ED747" s="56">
        <f>$BQ747-$BQ748</f>
        <v/>
      </c>
      <c r="EE747" s="56">
        <f>$BR747-$BR748</f>
        <v/>
      </c>
      <c r="EF747" s="56">
        <f>$BS747-$BS748</f>
        <v/>
      </c>
      <c r="EG747" s="56">
        <f>$BT747-$BT748</f>
        <v/>
      </c>
      <c r="EH747" s="56">
        <f>$BU747-$BU748</f>
        <v/>
      </c>
    </row>
    <row r="748">
      <c r="BV748" s="56">
        <f>($D748-$D749)*100</f>
        <v/>
      </c>
      <c r="BW748" s="56">
        <f>($C748-$C749)*100</f>
        <v/>
      </c>
      <c r="BX748" s="57">
        <f>IFERROR($I748/$I749-1,"")</f>
        <v/>
      </c>
      <c r="BY748" s="56">
        <f>($AF748-$AF749)*100</f>
        <v/>
      </c>
      <c r="BZ748" s="56">
        <f>($AG748-$AG749)*100</f>
        <v/>
      </c>
      <c r="CA748" s="56">
        <f>($AH748-$AH749)*100</f>
        <v/>
      </c>
      <c r="CB748" s="56">
        <f>($AI748-$AI749)*100</f>
        <v/>
      </c>
      <c r="CC748" s="56">
        <f>($AJ748-$AJ749)*100</f>
        <v/>
      </c>
      <c r="CD748" s="56">
        <f>($AK748-$AK749)*100</f>
        <v/>
      </c>
      <c r="CE748" s="56">
        <f>($AL748-$AL749)*100</f>
        <v/>
      </c>
      <c r="CF748" s="56">
        <f>($AM748-$AM749)*100</f>
        <v/>
      </c>
      <c r="CG748" s="56">
        <f>($AN748-$AN749)*100</f>
        <v/>
      </c>
      <c r="CH748" s="56">
        <f>($AO748-$AO749)*100</f>
        <v/>
      </c>
      <c r="CI748" s="56">
        <f>($AP748-$AP749)*100</f>
        <v/>
      </c>
      <c r="CJ748" s="56">
        <f>($AQ748-$AQ749)*100</f>
        <v/>
      </c>
      <c r="CK748" s="56">
        <f>($AR748-$AR749)*100</f>
        <v/>
      </c>
      <c r="CL748" s="56">
        <f>($AS748-$AS749)*100</f>
        <v/>
      </c>
      <c r="CM748" s="56">
        <f>($AT748-$AT749)*100</f>
        <v/>
      </c>
      <c r="CN748" s="56">
        <f>($AU748-$AU749)*100</f>
        <v/>
      </c>
      <c r="CO748" s="56">
        <f>($AV748-$AV749)*100</f>
        <v/>
      </c>
      <c r="CP748" s="56">
        <f>($AW748-$AW749)*100</f>
        <v/>
      </c>
      <c r="CQ748" s="56">
        <f>($AX748-$AX749)*100</f>
        <v/>
      </c>
      <c r="CR748" s="56">
        <f>($AY748-$AY749)*100</f>
        <v/>
      </c>
      <c r="CS748" s="57">
        <f>IFERROR($L749/$L748-1,"")</f>
        <v/>
      </c>
      <c r="CT748" s="57">
        <f>IFERROR($M749/$M748-1,"")</f>
        <v/>
      </c>
      <c r="CU748" s="57">
        <f>IFERROR($N749/$N748-1,"")</f>
        <v/>
      </c>
      <c r="CV748" s="57">
        <f>IFERROR($O749/$O748-1,"")</f>
        <v/>
      </c>
      <c r="CW748" s="57">
        <f>IFERROR($P749/$P748-1,"")</f>
        <v/>
      </c>
      <c r="CX748" s="57">
        <f>IFERROR($Q749/$Q748-1,"")</f>
        <v/>
      </c>
      <c r="CY748" s="57">
        <f>IFERROR($R749/$R748-1,"")</f>
        <v/>
      </c>
      <c r="CZ748" s="57">
        <f>IFERROR($S749/$S748-1,"")</f>
        <v/>
      </c>
      <c r="DA748" s="57">
        <f>IFERROR($T749/$T748-1,"")</f>
        <v/>
      </c>
      <c r="DB748" s="57">
        <f>IFERROR($U749/$U748-1,"")</f>
        <v/>
      </c>
      <c r="DC748" s="57">
        <f>IFERROR($V749/$V748-1,"")</f>
        <v/>
      </c>
      <c r="DD748" s="57">
        <f>IFERROR($W749/$W748-1,"")</f>
        <v/>
      </c>
      <c r="DE748" s="57">
        <f>IFERROR($X749/$X748-1,"")</f>
        <v/>
      </c>
      <c r="DF748" s="57">
        <f>IFERROR($Y749/$Y748-1,"")</f>
        <v/>
      </c>
      <c r="DG748" s="57">
        <f>IFERROR($Z749/$Z748-1,"")</f>
        <v/>
      </c>
      <c r="DH748" s="57">
        <f>IFERROR($AA749/$AA748-1,"")</f>
        <v/>
      </c>
      <c r="DI748" s="57">
        <f>IFERROR($AB749/$AB748-1,"")</f>
        <v/>
      </c>
      <c r="DJ748" s="57">
        <f>IFERROR($AC749/$AC748-1,"")</f>
        <v/>
      </c>
      <c r="DK748" s="57">
        <f>IFERROR($AD749/$AD748-1,"")</f>
        <v/>
      </c>
      <c r="DL748" s="57">
        <f>IFERROR($AE749/$AE748-1,"")</f>
        <v/>
      </c>
      <c r="DM748" s="56">
        <f>$AZ748-$AZ749</f>
        <v/>
      </c>
      <c r="DN748" s="56">
        <f>$BA748-$BA749</f>
        <v/>
      </c>
      <c r="DO748" s="56">
        <f>$BB748-$BB749</f>
        <v/>
      </c>
      <c r="DP748" s="56">
        <f>$BC748-$BC749</f>
        <v/>
      </c>
      <c r="DQ748" s="56">
        <f>$BD748-$BD749</f>
        <v/>
      </c>
      <c r="DR748" s="56">
        <f>$BE748-$BE749</f>
        <v/>
      </c>
      <c r="DS748" s="56">
        <f>$BF748-$BF749</f>
        <v/>
      </c>
      <c r="DT748" s="56">
        <f>$BG748-$BG749</f>
        <v/>
      </c>
      <c r="DU748" s="56">
        <f>$BH748-$BH749</f>
        <v/>
      </c>
      <c r="DV748" s="56">
        <f>$BI748-$BI749</f>
        <v/>
      </c>
      <c r="DW748" s="56">
        <f>$BJ748-$BJ749</f>
        <v/>
      </c>
      <c r="DX748" s="56">
        <f>$BK748-$BK749</f>
        <v/>
      </c>
      <c r="DY748" s="56">
        <f>$BL748-$BL749</f>
        <v/>
      </c>
      <c r="DZ748" s="56">
        <f>$BM748-$BM749</f>
        <v/>
      </c>
      <c r="EA748" s="56">
        <f>$BN748-$BN749</f>
        <v/>
      </c>
      <c r="EB748" s="56">
        <f>$BO748-$BO749</f>
        <v/>
      </c>
      <c r="EC748" s="56">
        <f>$BP748-$BP749</f>
        <v/>
      </c>
      <c r="ED748" s="56">
        <f>$BQ748-$BQ749</f>
        <v/>
      </c>
      <c r="EE748" s="56">
        <f>$BR748-$BR749</f>
        <v/>
      </c>
      <c r="EF748" s="56">
        <f>$BS748-$BS749</f>
        <v/>
      </c>
      <c r="EG748" s="56">
        <f>$BT748-$BT749</f>
        <v/>
      </c>
      <c r="EH748" s="56">
        <f>$BU748-$BU749</f>
        <v/>
      </c>
    </row>
    <row r="749">
      <c r="BV749" s="56">
        <f>($D749-$D750)*100</f>
        <v/>
      </c>
      <c r="BW749" s="56">
        <f>($C749-$C750)*100</f>
        <v/>
      </c>
      <c r="BX749" s="57">
        <f>IFERROR($I749/$I750-1,"")</f>
        <v/>
      </c>
      <c r="BY749" s="56">
        <f>($AF749-$AF750)*100</f>
        <v/>
      </c>
      <c r="BZ749" s="56">
        <f>($AG749-$AG750)*100</f>
        <v/>
      </c>
      <c r="CA749" s="56">
        <f>($AH749-$AH750)*100</f>
        <v/>
      </c>
      <c r="CB749" s="56">
        <f>($AI749-$AI750)*100</f>
        <v/>
      </c>
      <c r="CC749" s="56">
        <f>($AJ749-$AJ750)*100</f>
        <v/>
      </c>
      <c r="CD749" s="56">
        <f>($AK749-$AK750)*100</f>
        <v/>
      </c>
      <c r="CE749" s="56">
        <f>($AL749-$AL750)*100</f>
        <v/>
      </c>
      <c r="CF749" s="56">
        <f>($AM749-$AM750)*100</f>
        <v/>
      </c>
      <c r="CG749" s="56">
        <f>($AN749-$AN750)*100</f>
        <v/>
      </c>
      <c r="CH749" s="56">
        <f>($AO749-$AO750)*100</f>
        <v/>
      </c>
      <c r="CI749" s="56">
        <f>($AP749-$AP750)*100</f>
        <v/>
      </c>
      <c r="CJ749" s="56">
        <f>($AQ749-$AQ750)*100</f>
        <v/>
      </c>
      <c r="CK749" s="56">
        <f>($AR749-$AR750)*100</f>
        <v/>
      </c>
      <c r="CL749" s="56">
        <f>($AS749-$AS750)*100</f>
        <v/>
      </c>
      <c r="CM749" s="56">
        <f>($AT749-$AT750)*100</f>
        <v/>
      </c>
      <c r="CN749" s="56">
        <f>($AU749-$AU750)*100</f>
        <v/>
      </c>
      <c r="CO749" s="56">
        <f>($AV749-$AV750)*100</f>
        <v/>
      </c>
      <c r="CP749" s="56">
        <f>($AW749-$AW750)*100</f>
        <v/>
      </c>
      <c r="CQ749" s="56">
        <f>($AX749-$AX750)*100</f>
        <v/>
      </c>
      <c r="CR749" s="56">
        <f>($AY749-$AY750)*100</f>
        <v/>
      </c>
      <c r="CS749" s="57">
        <f>IFERROR($L750/$L749-1,"")</f>
        <v/>
      </c>
      <c r="CT749" s="57">
        <f>IFERROR($M750/$M749-1,"")</f>
        <v/>
      </c>
      <c r="CU749" s="57">
        <f>IFERROR($N750/$N749-1,"")</f>
        <v/>
      </c>
      <c r="CV749" s="57">
        <f>IFERROR($O750/$O749-1,"")</f>
        <v/>
      </c>
      <c r="CW749" s="57">
        <f>IFERROR($P750/$P749-1,"")</f>
        <v/>
      </c>
      <c r="CX749" s="57">
        <f>IFERROR($Q750/$Q749-1,"")</f>
        <v/>
      </c>
      <c r="CY749" s="57">
        <f>IFERROR($R750/$R749-1,"")</f>
        <v/>
      </c>
      <c r="CZ749" s="57">
        <f>IFERROR($S750/$S749-1,"")</f>
        <v/>
      </c>
      <c r="DA749" s="57">
        <f>IFERROR($T750/$T749-1,"")</f>
        <v/>
      </c>
      <c r="DB749" s="57">
        <f>IFERROR($U750/$U749-1,"")</f>
        <v/>
      </c>
      <c r="DC749" s="57">
        <f>IFERROR($V750/$V749-1,"")</f>
        <v/>
      </c>
      <c r="DD749" s="57">
        <f>IFERROR($W750/$W749-1,"")</f>
        <v/>
      </c>
      <c r="DE749" s="57">
        <f>IFERROR($X750/$X749-1,"")</f>
        <v/>
      </c>
      <c r="DF749" s="57">
        <f>IFERROR($Y750/$Y749-1,"")</f>
        <v/>
      </c>
      <c r="DG749" s="57">
        <f>IFERROR($Z750/$Z749-1,"")</f>
        <v/>
      </c>
      <c r="DH749" s="57">
        <f>IFERROR($AA750/$AA749-1,"")</f>
        <v/>
      </c>
      <c r="DI749" s="57">
        <f>IFERROR($AB750/$AB749-1,"")</f>
        <v/>
      </c>
      <c r="DJ749" s="57">
        <f>IFERROR($AC750/$AC749-1,"")</f>
        <v/>
      </c>
      <c r="DK749" s="57">
        <f>IFERROR($AD750/$AD749-1,"")</f>
        <v/>
      </c>
      <c r="DL749" s="57">
        <f>IFERROR($AE750/$AE749-1,"")</f>
        <v/>
      </c>
      <c r="DM749" s="56">
        <f>$AZ749-$AZ750</f>
        <v/>
      </c>
      <c r="DN749" s="56">
        <f>$BA749-$BA750</f>
        <v/>
      </c>
      <c r="DO749" s="56">
        <f>$BB749-$BB750</f>
        <v/>
      </c>
      <c r="DP749" s="56">
        <f>$BC749-$BC750</f>
        <v/>
      </c>
      <c r="DQ749" s="56">
        <f>$BD749-$BD750</f>
        <v/>
      </c>
      <c r="DR749" s="56">
        <f>$BE749-$BE750</f>
        <v/>
      </c>
      <c r="DS749" s="56">
        <f>$BF749-$BF750</f>
        <v/>
      </c>
      <c r="DT749" s="56">
        <f>$BG749-$BG750</f>
        <v/>
      </c>
      <c r="DU749" s="56">
        <f>$BH749-$BH750</f>
        <v/>
      </c>
      <c r="DV749" s="56">
        <f>$BI749-$BI750</f>
        <v/>
      </c>
      <c r="DW749" s="56">
        <f>$BJ749-$BJ750</f>
        <v/>
      </c>
      <c r="DX749" s="56">
        <f>$BK749-$BK750</f>
        <v/>
      </c>
      <c r="DY749" s="56">
        <f>$BL749-$BL750</f>
        <v/>
      </c>
      <c r="DZ749" s="56">
        <f>$BM749-$BM750</f>
        <v/>
      </c>
      <c r="EA749" s="56">
        <f>$BN749-$BN750</f>
        <v/>
      </c>
      <c r="EB749" s="56">
        <f>$BO749-$BO750</f>
        <v/>
      </c>
      <c r="EC749" s="56">
        <f>$BP749-$BP750</f>
        <v/>
      </c>
      <c r="ED749" s="56">
        <f>$BQ749-$BQ750</f>
        <v/>
      </c>
      <c r="EE749" s="56">
        <f>$BR749-$BR750</f>
        <v/>
      </c>
      <c r="EF749" s="56">
        <f>$BS749-$BS750</f>
        <v/>
      </c>
      <c r="EG749" s="56">
        <f>$BT749-$BT750</f>
        <v/>
      </c>
      <c r="EH749" s="56">
        <f>$BU749-$BU750</f>
        <v/>
      </c>
    </row>
    <row r="750">
      <c r="BV750" s="56">
        <f>($D750-$D751)*100</f>
        <v/>
      </c>
      <c r="BW750" s="56">
        <f>($C750-$C751)*100</f>
        <v/>
      </c>
      <c r="BX750" s="57">
        <f>IFERROR($I750/$I751-1,"")</f>
        <v/>
      </c>
      <c r="BY750" s="56">
        <f>($AF750-$AF751)*100</f>
        <v/>
      </c>
      <c r="BZ750" s="56">
        <f>($AG750-$AG751)*100</f>
        <v/>
      </c>
      <c r="CA750" s="56">
        <f>($AH750-$AH751)*100</f>
        <v/>
      </c>
      <c r="CB750" s="56">
        <f>($AI750-$AI751)*100</f>
        <v/>
      </c>
      <c r="CC750" s="56">
        <f>($AJ750-$AJ751)*100</f>
        <v/>
      </c>
      <c r="CD750" s="56">
        <f>($AK750-$AK751)*100</f>
        <v/>
      </c>
      <c r="CE750" s="56">
        <f>($AL750-$AL751)*100</f>
        <v/>
      </c>
      <c r="CF750" s="56">
        <f>($AM750-$AM751)*100</f>
        <v/>
      </c>
      <c r="CG750" s="56">
        <f>($AN750-$AN751)*100</f>
        <v/>
      </c>
      <c r="CH750" s="56">
        <f>($AO750-$AO751)*100</f>
        <v/>
      </c>
      <c r="CI750" s="56">
        <f>($AP750-$AP751)*100</f>
        <v/>
      </c>
      <c r="CJ750" s="56">
        <f>($AQ750-$AQ751)*100</f>
        <v/>
      </c>
      <c r="CK750" s="56">
        <f>($AR750-$AR751)*100</f>
        <v/>
      </c>
      <c r="CL750" s="56">
        <f>($AS750-$AS751)*100</f>
        <v/>
      </c>
      <c r="CM750" s="56">
        <f>($AT750-$AT751)*100</f>
        <v/>
      </c>
      <c r="CN750" s="56">
        <f>($AU750-$AU751)*100</f>
        <v/>
      </c>
      <c r="CO750" s="56">
        <f>($AV750-$AV751)*100</f>
        <v/>
      </c>
      <c r="CP750" s="56">
        <f>($AW750-$AW751)*100</f>
        <v/>
      </c>
      <c r="CQ750" s="56">
        <f>($AX750-$AX751)*100</f>
        <v/>
      </c>
      <c r="CR750" s="56">
        <f>($AY750-$AY751)*100</f>
        <v/>
      </c>
      <c r="CS750" s="57">
        <f>IFERROR($L751/$L750-1,"")</f>
        <v/>
      </c>
      <c r="CT750" s="57">
        <f>IFERROR($M751/$M750-1,"")</f>
        <v/>
      </c>
      <c r="CU750" s="57">
        <f>IFERROR($N751/$N750-1,"")</f>
        <v/>
      </c>
      <c r="CV750" s="57">
        <f>IFERROR($O751/$O750-1,"")</f>
        <v/>
      </c>
      <c r="CW750" s="57">
        <f>IFERROR($P751/$P750-1,"")</f>
        <v/>
      </c>
      <c r="CX750" s="57">
        <f>IFERROR($Q751/$Q750-1,"")</f>
        <v/>
      </c>
      <c r="CY750" s="57">
        <f>IFERROR($R751/$R750-1,"")</f>
        <v/>
      </c>
      <c r="CZ750" s="57">
        <f>IFERROR($S751/$S750-1,"")</f>
        <v/>
      </c>
      <c r="DA750" s="57">
        <f>IFERROR($T751/$T750-1,"")</f>
        <v/>
      </c>
      <c r="DB750" s="57">
        <f>IFERROR($U751/$U750-1,"")</f>
        <v/>
      </c>
      <c r="DC750" s="57">
        <f>IFERROR($V751/$V750-1,"")</f>
        <v/>
      </c>
      <c r="DD750" s="57">
        <f>IFERROR($W751/$W750-1,"")</f>
        <v/>
      </c>
      <c r="DE750" s="57">
        <f>IFERROR($X751/$X750-1,"")</f>
        <v/>
      </c>
      <c r="DF750" s="57">
        <f>IFERROR($Y751/$Y750-1,"")</f>
        <v/>
      </c>
      <c r="DG750" s="57">
        <f>IFERROR($Z751/$Z750-1,"")</f>
        <v/>
      </c>
      <c r="DH750" s="57">
        <f>IFERROR($AA751/$AA750-1,"")</f>
        <v/>
      </c>
      <c r="DI750" s="57">
        <f>IFERROR($AB751/$AB750-1,"")</f>
        <v/>
      </c>
      <c r="DJ750" s="57">
        <f>IFERROR($AC751/$AC750-1,"")</f>
        <v/>
      </c>
      <c r="DK750" s="57">
        <f>IFERROR($AD751/$AD750-1,"")</f>
        <v/>
      </c>
      <c r="DL750" s="57">
        <f>IFERROR($AE751/$AE750-1,"")</f>
        <v/>
      </c>
      <c r="DM750" s="56">
        <f>$AZ750-$AZ751</f>
        <v/>
      </c>
      <c r="DN750" s="56">
        <f>$BA750-$BA751</f>
        <v/>
      </c>
      <c r="DO750" s="56">
        <f>$BB750-$BB751</f>
        <v/>
      </c>
      <c r="DP750" s="56">
        <f>$BC750-$BC751</f>
        <v/>
      </c>
      <c r="DQ750" s="56">
        <f>$BD750-$BD751</f>
        <v/>
      </c>
      <c r="DR750" s="56">
        <f>$BE750-$BE751</f>
        <v/>
      </c>
      <c r="DS750" s="56">
        <f>$BF750-$BF751</f>
        <v/>
      </c>
      <c r="DT750" s="56">
        <f>$BG750-$BG751</f>
        <v/>
      </c>
      <c r="DU750" s="56">
        <f>$BH750-$BH751</f>
        <v/>
      </c>
      <c r="DV750" s="56">
        <f>$BI750-$BI751</f>
        <v/>
      </c>
      <c r="DW750" s="56">
        <f>$BJ750-$BJ751</f>
        <v/>
      </c>
      <c r="DX750" s="56">
        <f>$BK750-$BK751</f>
        <v/>
      </c>
      <c r="DY750" s="56">
        <f>$BL750-$BL751</f>
        <v/>
      </c>
      <c r="DZ750" s="56">
        <f>$BM750-$BM751</f>
        <v/>
      </c>
      <c r="EA750" s="56">
        <f>$BN750-$BN751</f>
        <v/>
      </c>
      <c r="EB750" s="56">
        <f>$BO750-$BO751</f>
        <v/>
      </c>
      <c r="EC750" s="56">
        <f>$BP750-$BP751</f>
        <v/>
      </c>
      <c r="ED750" s="56">
        <f>$BQ750-$BQ751</f>
        <v/>
      </c>
      <c r="EE750" s="56">
        <f>$BR750-$BR751</f>
        <v/>
      </c>
      <c r="EF750" s="56">
        <f>$BS750-$BS751</f>
        <v/>
      </c>
      <c r="EG750" s="56">
        <f>$BT750-$BT751</f>
        <v/>
      </c>
      <c r="EH750" s="56">
        <f>$BU750-$BU751</f>
        <v/>
      </c>
    </row>
    <row r="751">
      <c r="BV751" s="56">
        <f>($D751-$D752)*100</f>
        <v/>
      </c>
      <c r="BW751" s="56">
        <f>($C751-$C752)*100</f>
        <v/>
      </c>
      <c r="BX751" s="57">
        <f>IFERROR($I751/$I752-1,"")</f>
        <v/>
      </c>
      <c r="BY751" s="56">
        <f>($AF751-$AF752)*100</f>
        <v/>
      </c>
      <c r="BZ751" s="56">
        <f>($AG751-$AG752)*100</f>
        <v/>
      </c>
      <c r="CA751" s="56">
        <f>($AH751-$AH752)*100</f>
        <v/>
      </c>
      <c r="CB751" s="56">
        <f>($AI751-$AI752)*100</f>
        <v/>
      </c>
      <c r="CC751" s="56">
        <f>($AJ751-$AJ752)*100</f>
        <v/>
      </c>
      <c r="CD751" s="56">
        <f>($AK751-$AK752)*100</f>
        <v/>
      </c>
      <c r="CE751" s="56">
        <f>($AL751-$AL752)*100</f>
        <v/>
      </c>
      <c r="CF751" s="56">
        <f>($AM751-$AM752)*100</f>
        <v/>
      </c>
      <c r="CG751" s="56">
        <f>($AN751-$AN752)*100</f>
        <v/>
      </c>
      <c r="CH751" s="56">
        <f>($AO751-$AO752)*100</f>
        <v/>
      </c>
      <c r="CI751" s="56">
        <f>($AP751-$AP752)*100</f>
        <v/>
      </c>
      <c r="CJ751" s="56">
        <f>($AQ751-$AQ752)*100</f>
        <v/>
      </c>
      <c r="CK751" s="56">
        <f>($AR751-$AR752)*100</f>
        <v/>
      </c>
      <c r="CL751" s="56">
        <f>($AS751-$AS752)*100</f>
        <v/>
      </c>
      <c r="CM751" s="56">
        <f>($AT751-$AT752)*100</f>
        <v/>
      </c>
      <c r="CN751" s="56">
        <f>($AU751-$AU752)*100</f>
        <v/>
      </c>
      <c r="CO751" s="56">
        <f>($AV751-$AV752)*100</f>
        <v/>
      </c>
      <c r="CP751" s="56">
        <f>($AW751-$AW752)*100</f>
        <v/>
      </c>
      <c r="CQ751" s="56">
        <f>($AX751-$AX752)*100</f>
        <v/>
      </c>
      <c r="CR751" s="56">
        <f>($AY751-$AY752)*100</f>
        <v/>
      </c>
      <c r="CS751" s="57">
        <f>IFERROR($L752/$L751-1,"")</f>
        <v/>
      </c>
      <c r="CT751" s="57">
        <f>IFERROR($M752/$M751-1,"")</f>
        <v/>
      </c>
      <c r="CU751" s="57">
        <f>IFERROR($N752/$N751-1,"")</f>
        <v/>
      </c>
      <c r="CV751" s="57">
        <f>IFERROR($O752/$O751-1,"")</f>
        <v/>
      </c>
      <c r="CW751" s="57">
        <f>IFERROR($P752/$P751-1,"")</f>
        <v/>
      </c>
      <c r="CX751" s="57">
        <f>IFERROR($Q752/$Q751-1,"")</f>
        <v/>
      </c>
      <c r="CY751" s="57">
        <f>IFERROR($R752/$R751-1,"")</f>
        <v/>
      </c>
      <c r="CZ751" s="57">
        <f>IFERROR($S752/$S751-1,"")</f>
        <v/>
      </c>
      <c r="DA751" s="57">
        <f>IFERROR($T752/$T751-1,"")</f>
        <v/>
      </c>
      <c r="DB751" s="57">
        <f>IFERROR($U752/$U751-1,"")</f>
        <v/>
      </c>
      <c r="DC751" s="57">
        <f>IFERROR($V752/$V751-1,"")</f>
        <v/>
      </c>
      <c r="DD751" s="57">
        <f>IFERROR($W752/$W751-1,"")</f>
        <v/>
      </c>
      <c r="DE751" s="57">
        <f>IFERROR($X752/$X751-1,"")</f>
        <v/>
      </c>
      <c r="DF751" s="57">
        <f>IFERROR($Y752/$Y751-1,"")</f>
        <v/>
      </c>
      <c r="DG751" s="57">
        <f>IFERROR($Z752/$Z751-1,"")</f>
        <v/>
      </c>
      <c r="DH751" s="57">
        <f>IFERROR($AA752/$AA751-1,"")</f>
        <v/>
      </c>
      <c r="DI751" s="57">
        <f>IFERROR($AB752/$AB751-1,"")</f>
        <v/>
      </c>
      <c r="DJ751" s="57">
        <f>IFERROR($AC752/$AC751-1,"")</f>
        <v/>
      </c>
      <c r="DK751" s="57">
        <f>IFERROR($AD752/$AD751-1,"")</f>
        <v/>
      </c>
      <c r="DL751" s="57">
        <f>IFERROR($AE752/$AE751-1,"")</f>
        <v/>
      </c>
      <c r="DM751" s="56">
        <f>$AZ751-$AZ752</f>
        <v/>
      </c>
      <c r="DN751" s="56">
        <f>$BA751-$BA752</f>
        <v/>
      </c>
      <c r="DO751" s="56">
        <f>$BB751-$BB752</f>
        <v/>
      </c>
      <c r="DP751" s="56">
        <f>$BC751-$BC752</f>
        <v/>
      </c>
      <c r="DQ751" s="56">
        <f>$BD751-$BD752</f>
        <v/>
      </c>
      <c r="DR751" s="56">
        <f>$BE751-$BE752</f>
        <v/>
      </c>
      <c r="DS751" s="56">
        <f>$BF751-$BF752</f>
        <v/>
      </c>
      <c r="DT751" s="56">
        <f>$BG751-$BG752</f>
        <v/>
      </c>
      <c r="DU751" s="56">
        <f>$BH751-$BH752</f>
        <v/>
      </c>
      <c r="DV751" s="56">
        <f>$BI751-$BI752</f>
        <v/>
      </c>
      <c r="DW751" s="56">
        <f>$BJ751-$BJ752</f>
        <v/>
      </c>
      <c r="DX751" s="56">
        <f>$BK751-$BK752</f>
        <v/>
      </c>
      <c r="DY751" s="56">
        <f>$BL751-$BL752</f>
        <v/>
      </c>
      <c r="DZ751" s="56">
        <f>$BM751-$BM752</f>
        <v/>
      </c>
      <c r="EA751" s="56">
        <f>$BN751-$BN752</f>
        <v/>
      </c>
      <c r="EB751" s="56">
        <f>$BO751-$BO752</f>
        <v/>
      </c>
      <c r="EC751" s="56">
        <f>$BP751-$BP752</f>
        <v/>
      </c>
      <c r="ED751" s="56">
        <f>$BQ751-$BQ752</f>
        <v/>
      </c>
      <c r="EE751" s="56">
        <f>$BR751-$BR752</f>
        <v/>
      </c>
      <c r="EF751" s="56">
        <f>$BS751-$BS752</f>
        <v/>
      </c>
      <c r="EG751" s="56">
        <f>$BT751-$BT752</f>
        <v/>
      </c>
      <c r="EH751" s="56">
        <f>$BU751-$BU752</f>
        <v/>
      </c>
    </row>
    <row r="752">
      <c r="BV752" s="56">
        <f>($D752-$D753)*100</f>
        <v/>
      </c>
      <c r="BW752" s="56">
        <f>($C752-$C753)*100</f>
        <v/>
      </c>
      <c r="BX752" s="57">
        <f>IFERROR($I752/$I753-1,"")</f>
        <v/>
      </c>
      <c r="BY752" s="56">
        <f>($AF752-$AF753)*100</f>
        <v/>
      </c>
      <c r="BZ752" s="56">
        <f>($AG752-$AG753)*100</f>
        <v/>
      </c>
      <c r="CA752" s="56">
        <f>($AH752-$AH753)*100</f>
        <v/>
      </c>
      <c r="CB752" s="56">
        <f>($AI752-$AI753)*100</f>
        <v/>
      </c>
      <c r="CC752" s="56">
        <f>($AJ752-$AJ753)*100</f>
        <v/>
      </c>
      <c r="CD752" s="56">
        <f>($AK752-$AK753)*100</f>
        <v/>
      </c>
      <c r="CE752" s="56">
        <f>($AL752-$AL753)*100</f>
        <v/>
      </c>
      <c r="CF752" s="56">
        <f>($AM752-$AM753)*100</f>
        <v/>
      </c>
      <c r="CG752" s="56">
        <f>($AN752-$AN753)*100</f>
        <v/>
      </c>
      <c r="CH752" s="56">
        <f>($AO752-$AO753)*100</f>
        <v/>
      </c>
      <c r="CI752" s="56">
        <f>($AP752-$AP753)*100</f>
        <v/>
      </c>
      <c r="CJ752" s="56">
        <f>($AQ752-$AQ753)*100</f>
        <v/>
      </c>
      <c r="CK752" s="56">
        <f>($AR752-$AR753)*100</f>
        <v/>
      </c>
      <c r="CL752" s="56">
        <f>($AS752-$AS753)*100</f>
        <v/>
      </c>
      <c r="CM752" s="56">
        <f>($AT752-$AT753)*100</f>
        <v/>
      </c>
      <c r="CN752" s="56">
        <f>($AU752-$AU753)*100</f>
        <v/>
      </c>
      <c r="CO752" s="56">
        <f>($AV752-$AV753)*100</f>
        <v/>
      </c>
      <c r="CP752" s="56">
        <f>($AW752-$AW753)*100</f>
        <v/>
      </c>
      <c r="CQ752" s="56">
        <f>($AX752-$AX753)*100</f>
        <v/>
      </c>
      <c r="CR752" s="56">
        <f>($AY752-$AY753)*100</f>
        <v/>
      </c>
      <c r="CS752" s="57">
        <f>IFERROR($L753/$L752-1,"")</f>
        <v/>
      </c>
      <c r="CT752" s="57">
        <f>IFERROR($M753/$M752-1,"")</f>
        <v/>
      </c>
      <c r="CU752" s="57">
        <f>IFERROR($N753/$N752-1,"")</f>
        <v/>
      </c>
      <c r="CV752" s="57">
        <f>IFERROR($O753/$O752-1,"")</f>
        <v/>
      </c>
      <c r="CW752" s="57">
        <f>IFERROR($P753/$P752-1,"")</f>
        <v/>
      </c>
      <c r="CX752" s="57">
        <f>IFERROR($Q753/$Q752-1,"")</f>
        <v/>
      </c>
      <c r="CY752" s="57">
        <f>IFERROR($R753/$R752-1,"")</f>
        <v/>
      </c>
      <c r="CZ752" s="57">
        <f>IFERROR($S753/$S752-1,"")</f>
        <v/>
      </c>
      <c r="DA752" s="57">
        <f>IFERROR($T753/$T752-1,"")</f>
        <v/>
      </c>
      <c r="DB752" s="57">
        <f>IFERROR($U753/$U752-1,"")</f>
        <v/>
      </c>
      <c r="DC752" s="57">
        <f>IFERROR($V753/$V752-1,"")</f>
        <v/>
      </c>
      <c r="DD752" s="57">
        <f>IFERROR($W753/$W752-1,"")</f>
        <v/>
      </c>
      <c r="DE752" s="57">
        <f>IFERROR($X753/$X752-1,"")</f>
        <v/>
      </c>
      <c r="DF752" s="57">
        <f>IFERROR($Y753/$Y752-1,"")</f>
        <v/>
      </c>
      <c r="DG752" s="57">
        <f>IFERROR($Z753/$Z752-1,"")</f>
        <v/>
      </c>
      <c r="DH752" s="57">
        <f>IFERROR($AA753/$AA752-1,"")</f>
        <v/>
      </c>
      <c r="DI752" s="57">
        <f>IFERROR($AB753/$AB752-1,"")</f>
        <v/>
      </c>
      <c r="DJ752" s="57">
        <f>IFERROR($AC753/$AC752-1,"")</f>
        <v/>
      </c>
      <c r="DK752" s="57">
        <f>IFERROR($AD753/$AD752-1,"")</f>
        <v/>
      </c>
      <c r="DL752" s="57">
        <f>IFERROR($AE753/$AE752-1,"")</f>
        <v/>
      </c>
      <c r="DM752" s="56">
        <f>$AZ752-$AZ753</f>
        <v/>
      </c>
      <c r="DN752" s="56">
        <f>$BA752-$BA753</f>
        <v/>
      </c>
      <c r="DO752" s="56">
        <f>$BB752-$BB753</f>
        <v/>
      </c>
      <c r="DP752" s="56">
        <f>$BC752-$BC753</f>
        <v/>
      </c>
      <c r="DQ752" s="56">
        <f>$BD752-$BD753</f>
        <v/>
      </c>
      <c r="DR752" s="56">
        <f>$BE752-$BE753</f>
        <v/>
      </c>
      <c r="DS752" s="56">
        <f>$BF752-$BF753</f>
        <v/>
      </c>
      <c r="DT752" s="56">
        <f>$BG752-$BG753</f>
        <v/>
      </c>
      <c r="DU752" s="56">
        <f>$BH752-$BH753</f>
        <v/>
      </c>
      <c r="DV752" s="56">
        <f>$BI752-$BI753</f>
        <v/>
      </c>
      <c r="DW752" s="56">
        <f>$BJ752-$BJ753</f>
        <v/>
      </c>
      <c r="DX752" s="56">
        <f>$BK752-$BK753</f>
        <v/>
      </c>
      <c r="DY752" s="56">
        <f>$BL752-$BL753</f>
        <v/>
      </c>
      <c r="DZ752" s="56">
        <f>$BM752-$BM753</f>
        <v/>
      </c>
      <c r="EA752" s="56">
        <f>$BN752-$BN753</f>
        <v/>
      </c>
      <c r="EB752" s="56">
        <f>$BO752-$BO753</f>
        <v/>
      </c>
      <c r="EC752" s="56">
        <f>$BP752-$BP753</f>
        <v/>
      </c>
      <c r="ED752" s="56">
        <f>$BQ752-$BQ753</f>
        <v/>
      </c>
      <c r="EE752" s="56">
        <f>$BR752-$BR753</f>
        <v/>
      </c>
      <c r="EF752" s="56">
        <f>$BS752-$BS753</f>
        <v/>
      </c>
      <c r="EG752" s="56">
        <f>$BT752-$BT753</f>
        <v/>
      </c>
      <c r="EH752" s="56">
        <f>$BU752-$BU753</f>
        <v/>
      </c>
    </row>
    <row r="753">
      <c r="BV753" s="56">
        <f>($D753-$D754)*100</f>
        <v/>
      </c>
      <c r="BW753" s="56">
        <f>($C753-$C754)*100</f>
        <v/>
      </c>
      <c r="BX753" s="57">
        <f>IFERROR($I753/$I754-1,"")</f>
        <v/>
      </c>
      <c r="BY753" s="56">
        <f>($AF753-$AF754)*100</f>
        <v/>
      </c>
      <c r="BZ753" s="56">
        <f>($AG753-$AG754)*100</f>
        <v/>
      </c>
      <c r="CA753" s="56">
        <f>($AH753-$AH754)*100</f>
        <v/>
      </c>
      <c r="CB753" s="56">
        <f>($AI753-$AI754)*100</f>
        <v/>
      </c>
      <c r="CC753" s="56">
        <f>($AJ753-$AJ754)*100</f>
        <v/>
      </c>
      <c r="CD753" s="56">
        <f>($AK753-$AK754)*100</f>
        <v/>
      </c>
      <c r="CE753" s="56">
        <f>($AL753-$AL754)*100</f>
        <v/>
      </c>
      <c r="CF753" s="56">
        <f>($AM753-$AM754)*100</f>
        <v/>
      </c>
      <c r="CG753" s="56">
        <f>($AN753-$AN754)*100</f>
        <v/>
      </c>
      <c r="CH753" s="56">
        <f>($AO753-$AO754)*100</f>
        <v/>
      </c>
      <c r="CI753" s="56">
        <f>($AP753-$AP754)*100</f>
        <v/>
      </c>
      <c r="CJ753" s="56">
        <f>($AQ753-$AQ754)*100</f>
        <v/>
      </c>
      <c r="CK753" s="56">
        <f>($AR753-$AR754)*100</f>
        <v/>
      </c>
      <c r="CL753" s="56">
        <f>($AS753-$AS754)*100</f>
        <v/>
      </c>
      <c r="CM753" s="56">
        <f>($AT753-$AT754)*100</f>
        <v/>
      </c>
      <c r="CN753" s="56">
        <f>($AU753-$AU754)*100</f>
        <v/>
      </c>
      <c r="CO753" s="56">
        <f>($AV753-$AV754)*100</f>
        <v/>
      </c>
      <c r="CP753" s="56">
        <f>($AW753-$AW754)*100</f>
        <v/>
      </c>
      <c r="CQ753" s="56">
        <f>($AX753-$AX754)*100</f>
        <v/>
      </c>
      <c r="CR753" s="56">
        <f>($AY753-$AY754)*100</f>
        <v/>
      </c>
      <c r="CS753" s="57">
        <f>IFERROR($L754/$L753-1,"")</f>
        <v/>
      </c>
      <c r="CT753" s="57">
        <f>IFERROR($M754/$M753-1,"")</f>
        <v/>
      </c>
      <c r="CU753" s="57">
        <f>IFERROR($N754/$N753-1,"")</f>
        <v/>
      </c>
      <c r="CV753" s="57">
        <f>IFERROR($O754/$O753-1,"")</f>
        <v/>
      </c>
      <c r="CW753" s="57">
        <f>IFERROR($P754/$P753-1,"")</f>
        <v/>
      </c>
      <c r="CX753" s="57">
        <f>IFERROR($Q754/$Q753-1,"")</f>
        <v/>
      </c>
      <c r="CY753" s="57">
        <f>IFERROR($R754/$R753-1,"")</f>
        <v/>
      </c>
      <c r="CZ753" s="57">
        <f>IFERROR($S754/$S753-1,"")</f>
        <v/>
      </c>
      <c r="DA753" s="57">
        <f>IFERROR($T754/$T753-1,"")</f>
        <v/>
      </c>
      <c r="DB753" s="57">
        <f>IFERROR($U754/$U753-1,"")</f>
        <v/>
      </c>
      <c r="DC753" s="57">
        <f>IFERROR($V754/$V753-1,"")</f>
        <v/>
      </c>
      <c r="DD753" s="57">
        <f>IFERROR($W754/$W753-1,"")</f>
        <v/>
      </c>
      <c r="DE753" s="57">
        <f>IFERROR($X754/$X753-1,"")</f>
        <v/>
      </c>
      <c r="DF753" s="57">
        <f>IFERROR($Y754/$Y753-1,"")</f>
        <v/>
      </c>
      <c r="DG753" s="57">
        <f>IFERROR($Z754/$Z753-1,"")</f>
        <v/>
      </c>
      <c r="DH753" s="57">
        <f>IFERROR($AA754/$AA753-1,"")</f>
        <v/>
      </c>
      <c r="DI753" s="57">
        <f>IFERROR($AB754/$AB753-1,"")</f>
        <v/>
      </c>
      <c r="DJ753" s="57">
        <f>IFERROR($AC754/$AC753-1,"")</f>
        <v/>
      </c>
      <c r="DK753" s="57">
        <f>IFERROR($AD754/$AD753-1,"")</f>
        <v/>
      </c>
      <c r="DL753" s="57">
        <f>IFERROR($AE754/$AE753-1,"")</f>
        <v/>
      </c>
      <c r="DM753" s="56">
        <f>$AZ753-$AZ754</f>
        <v/>
      </c>
      <c r="DN753" s="56">
        <f>$BA753-$BA754</f>
        <v/>
      </c>
      <c r="DO753" s="56">
        <f>$BB753-$BB754</f>
        <v/>
      </c>
      <c r="DP753" s="56">
        <f>$BC753-$BC754</f>
        <v/>
      </c>
      <c r="DQ753" s="56">
        <f>$BD753-$BD754</f>
        <v/>
      </c>
      <c r="DR753" s="56">
        <f>$BE753-$BE754</f>
        <v/>
      </c>
      <c r="DS753" s="56">
        <f>$BF753-$BF754</f>
        <v/>
      </c>
      <c r="DT753" s="56">
        <f>$BG753-$BG754</f>
        <v/>
      </c>
      <c r="DU753" s="56">
        <f>$BH753-$BH754</f>
        <v/>
      </c>
      <c r="DV753" s="56">
        <f>$BI753-$BI754</f>
        <v/>
      </c>
      <c r="DW753" s="56">
        <f>$BJ753-$BJ754</f>
        <v/>
      </c>
      <c r="DX753" s="56">
        <f>$BK753-$BK754</f>
        <v/>
      </c>
      <c r="DY753" s="56">
        <f>$BL753-$BL754</f>
        <v/>
      </c>
      <c r="DZ753" s="56">
        <f>$BM753-$BM754</f>
        <v/>
      </c>
      <c r="EA753" s="56">
        <f>$BN753-$BN754</f>
        <v/>
      </c>
      <c r="EB753" s="56">
        <f>$BO753-$BO754</f>
        <v/>
      </c>
      <c r="EC753" s="56">
        <f>$BP753-$BP754</f>
        <v/>
      </c>
      <c r="ED753" s="56">
        <f>$BQ753-$BQ754</f>
        <v/>
      </c>
      <c r="EE753" s="56">
        <f>$BR753-$BR754</f>
        <v/>
      </c>
      <c r="EF753" s="56">
        <f>$BS753-$BS754</f>
        <v/>
      </c>
      <c r="EG753" s="56">
        <f>$BT753-$BT754</f>
        <v/>
      </c>
      <c r="EH753" s="56">
        <f>$BU753-$BU754</f>
        <v/>
      </c>
    </row>
    <row r="754">
      <c r="BV754" s="56">
        <f>($D754-$D755)*100</f>
        <v/>
      </c>
      <c r="BW754" s="56">
        <f>($C754-$C755)*100</f>
        <v/>
      </c>
      <c r="BX754" s="57">
        <f>IFERROR($I754/$I755-1,"")</f>
        <v/>
      </c>
      <c r="BY754" s="56">
        <f>($AF754-$AF755)*100</f>
        <v/>
      </c>
      <c r="BZ754" s="56">
        <f>($AG754-$AG755)*100</f>
        <v/>
      </c>
      <c r="CA754" s="56">
        <f>($AH754-$AH755)*100</f>
        <v/>
      </c>
      <c r="CB754" s="56">
        <f>($AI754-$AI755)*100</f>
        <v/>
      </c>
      <c r="CC754" s="56">
        <f>($AJ754-$AJ755)*100</f>
        <v/>
      </c>
      <c r="CD754" s="56">
        <f>($AK754-$AK755)*100</f>
        <v/>
      </c>
      <c r="CE754" s="56">
        <f>($AL754-$AL755)*100</f>
        <v/>
      </c>
      <c r="CF754" s="56">
        <f>($AM754-$AM755)*100</f>
        <v/>
      </c>
      <c r="CG754" s="56">
        <f>($AN754-$AN755)*100</f>
        <v/>
      </c>
      <c r="CH754" s="56">
        <f>($AO754-$AO755)*100</f>
        <v/>
      </c>
      <c r="CI754" s="56">
        <f>($AP754-$AP755)*100</f>
        <v/>
      </c>
      <c r="CJ754" s="56">
        <f>($AQ754-$AQ755)*100</f>
        <v/>
      </c>
      <c r="CK754" s="56">
        <f>($AR754-$AR755)*100</f>
        <v/>
      </c>
      <c r="CL754" s="56">
        <f>($AS754-$AS755)*100</f>
        <v/>
      </c>
      <c r="CM754" s="56">
        <f>($AT754-$AT755)*100</f>
        <v/>
      </c>
      <c r="CN754" s="56">
        <f>($AU754-$AU755)*100</f>
        <v/>
      </c>
      <c r="CO754" s="56">
        <f>($AV754-$AV755)*100</f>
        <v/>
      </c>
      <c r="CP754" s="56">
        <f>($AW754-$AW755)*100</f>
        <v/>
      </c>
      <c r="CQ754" s="56">
        <f>($AX754-$AX755)*100</f>
        <v/>
      </c>
      <c r="CR754" s="56">
        <f>($AY754-$AY755)*100</f>
        <v/>
      </c>
      <c r="CS754" s="57">
        <f>IFERROR($L755/$L754-1,"")</f>
        <v/>
      </c>
      <c r="CT754" s="57">
        <f>IFERROR($M755/$M754-1,"")</f>
        <v/>
      </c>
      <c r="CU754" s="57">
        <f>IFERROR($N755/$N754-1,"")</f>
        <v/>
      </c>
      <c r="CV754" s="57">
        <f>IFERROR($O755/$O754-1,"")</f>
        <v/>
      </c>
      <c r="CW754" s="57">
        <f>IFERROR($P755/$P754-1,"")</f>
        <v/>
      </c>
      <c r="CX754" s="57">
        <f>IFERROR($Q755/$Q754-1,"")</f>
        <v/>
      </c>
      <c r="CY754" s="57">
        <f>IFERROR($R755/$R754-1,"")</f>
        <v/>
      </c>
      <c r="CZ754" s="57">
        <f>IFERROR($S755/$S754-1,"")</f>
        <v/>
      </c>
      <c r="DA754" s="57">
        <f>IFERROR($T755/$T754-1,"")</f>
        <v/>
      </c>
      <c r="DB754" s="57">
        <f>IFERROR($U755/$U754-1,"")</f>
        <v/>
      </c>
      <c r="DC754" s="57">
        <f>IFERROR($V755/$V754-1,"")</f>
        <v/>
      </c>
      <c r="DD754" s="57">
        <f>IFERROR($W755/$W754-1,"")</f>
        <v/>
      </c>
      <c r="DE754" s="57">
        <f>IFERROR($X755/$X754-1,"")</f>
        <v/>
      </c>
      <c r="DF754" s="57">
        <f>IFERROR($Y755/$Y754-1,"")</f>
        <v/>
      </c>
      <c r="DG754" s="57">
        <f>IFERROR($Z755/$Z754-1,"")</f>
        <v/>
      </c>
      <c r="DH754" s="57">
        <f>IFERROR($AA755/$AA754-1,"")</f>
        <v/>
      </c>
      <c r="DI754" s="57">
        <f>IFERROR($AB755/$AB754-1,"")</f>
        <v/>
      </c>
      <c r="DJ754" s="57">
        <f>IFERROR($AC755/$AC754-1,"")</f>
        <v/>
      </c>
      <c r="DK754" s="57">
        <f>IFERROR($AD755/$AD754-1,"")</f>
        <v/>
      </c>
      <c r="DL754" s="57">
        <f>IFERROR($AE755/$AE754-1,"")</f>
        <v/>
      </c>
      <c r="DM754" s="56">
        <f>$AZ754-$AZ755</f>
        <v/>
      </c>
      <c r="DN754" s="56">
        <f>$BA754-$BA755</f>
        <v/>
      </c>
      <c r="DO754" s="56">
        <f>$BB754-$BB755</f>
        <v/>
      </c>
      <c r="DP754" s="56">
        <f>$BC754-$BC755</f>
        <v/>
      </c>
      <c r="DQ754" s="56">
        <f>$BD754-$BD755</f>
        <v/>
      </c>
      <c r="DR754" s="56">
        <f>$BE754-$BE755</f>
        <v/>
      </c>
      <c r="DS754" s="56">
        <f>$BF754-$BF755</f>
        <v/>
      </c>
      <c r="DT754" s="56">
        <f>$BG754-$BG755</f>
        <v/>
      </c>
      <c r="DU754" s="56">
        <f>$BH754-$BH755</f>
        <v/>
      </c>
      <c r="DV754" s="56">
        <f>$BI754-$BI755</f>
        <v/>
      </c>
      <c r="DW754" s="56">
        <f>$BJ754-$BJ755</f>
        <v/>
      </c>
      <c r="DX754" s="56">
        <f>$BK754-$BK755</f>
        <v/>
      </c>
      <c r="DY754" s="56">
        <f>$BL754-$BL755</f>
        <v/>
      </c>
      <c r="DZ754" s="56">
        <f>$BM754-$BM755</f>
        <v/>
      </c>
      <c r="EA754" s="56">
        <f>$BN754-$BN755</f>
        <v/>
      </c>
      <c r="EB754" s="56">
        <f>$BO754-$BO755</f>
        <v/>
      </c>
      <c r="EC754" s="56">
        <f>$BP754-$BP755</f>
        <v/>
      </c>
      <c r="ED754" s="56">
        <f>$BQ754-$BQ755</f>
        <v/>
      </c>
      <c r="EE754" s="56">
        <f>$BR754-$BR755</f>
        <v/>
      </c>
      <c r="EF754" s="56">
        <f>$BS754-$BS755</f>
        <v/>
      </c>
      <c r="EG754" s="56">
        <f>$BT754-$BT755</f>
        <v/>
      </c>
      <c r="EH754" s="56">
        <f>$BU754-$BU755</f>
        <v/>
      </c>
    </row>
    <row r="755">
      <c r="BV755" s="56">
        <f>($D755-$D756)*100</f>
        <v/>
      </c>
      <c r="BW755" s="56">
        <f>($C755-$C756)*100</f>
        <v/>
      </c>
      <c r="BX755" s="57">
        <f>IFERROR($I755/$I756-1,"")</f>
        <v/>
      </c>
      <c r="BY755" s="56">
        <f>($AF755-$AF756)*100</f>
        <v/>
      </c>
      <c r="BZ755" s="56">
        <f>($AG755-$AG756)*100</f>
        <v/>
      </c>
      <c r="CA755" s="56">
        <f>($AH755-$AH756)*100</f>
        <v/>
      </c>
      <c r="CB755" s="56">
        <f>($AI755-$AI756)*100</f>
        <v/>
      </c>
      <c r="CC755" s="56">
        <f>($AJ755-$AJ756)*100</f>
        <v/>
      </c>
      <c r="CD755" s="56">
        <f>($AK755-$AK756)*100</f>
        <v/>
      </c>
      <c r="CE755" s="56">
        <f>($AL755-$AL756)*100</f>
        <v/>
      </c>
      <c r="CF755" s="56">
        <f>($AM755-$AM756)*100</f>
        <v/>
      </c>
      <c r="CG755" s="56">
        <f>($AN755-$AN756)*100</f>
        <v/>
      </c>
      <c r="CH755" s="56">
        <f>($AO755-$AO756)*100</f>
        <v/>
      </c>
      <c r="CI755" s="56">
        <f>($AP755-$AP756)*100</f>
        <v/>
      </c>
      <c r="CJ755" s="56">
        <f>($AQ755-$AQ756)*100</f>
        <v/>
      </c>
      <c r="CK755" s="56">
        <f>($AR755-$AR756)*100</f>
        <v/>
      </c>
      <c r="CL755" s="56">
        <f>($AS755-$AS756)*100</f>
        <v/>
      </c>
      <c r="CM755" s="56">
        <f>($AT755-$AT756)*100</f>
        <v/>
      </c>
      <c r="CN755" s="56">
        <f>($AU755-$AU756)*100</f>
        <v/>
      </c>
      <c r="CO755" s="56">
        <f>($AV755-$AV756)*100</f>
        <v/>
      </c>
      <c r="CP755" s="56">
        <f>($AW755-$AW756)*100</f>
        <v/>
      </c>
      <c r="CQ755" s="56">
        <f>($AX755-$AX756)*100</f>
        <v/>
      </c>
      <c r="CR755" s="56">
        <f>($AY755-$AY756)*100</f>
        <v/>
      </c>
      <c r="CS755" s="57">
        <f>IFERROR($L756/$L755-1,"")</f>
        <v/>
      </c>
      <c r="CT755" s="57">
        <f>IFERROR($M756/$M755-1,"")</f>
        <v/>
      </c>
      <c r="CU755" s="57">
        <f>IFERROR($N756/$N755-1,"")</f>
        <v/>
      </c>
      <c r="CV755" s="57">
        <f>IFERROR($O756/$O755-1,"")</f>
        <v/>
      </c>
      <c r="CW755" s="57">
        <f>IFERROR($P756/$P755-1,"")</f>
        <v/>
      </c>
      <c r="CX755" s="57">
        <f>IFERROR($Q756/$Q755-1,"")</f>
        <v/>
      </c>
      <c r="CY755" s="57">
        <f>IFERROR($R756/$R755-1,"")</f>
        <v/>
      </c>
      <c r="CZ755" s="57">
        <f>IFERROR($S756/$S755-1,"")</f>
        <v/>
      </c>
      <c r="DA755" s="57">
        <f>IFERROR($T756/$T755-1,"")</f>
        <v/>
      </c>
      <c r="DB755" s="57">
        <f>IFERROR($U756/$U755-1,"")</f>
        <v/>
      </c>
      <c r="DC755" s="57">
        <f>IFERROR($V756/$V755-1,"")</f>
        <v/>
      </c>
      <c r="DD755" s="57">
        <f>IFERROR($W756/$W755-1,"")</f>
        <v/>
      </c>
      <c r="DE755" s="57">
        <f>IFERROR($X756/$X755-1,"")</f>
        <v/>
      </c>
      <c r="DF755" s="57">
        <f>IFERROR($Y756/$Y755-1,"")</f>
        <v/>
      </c>
      <c r="DG755" s="57">
        <f>IFERROR($Z756/$Z755-1,"")</f>
        <v/>
      </c>
      <c r="DH755" s="57">
        <f>IFERROR($AA756/$AA755-1,"")</f>
        <v/>
      </c>
      <c r="DI755" s="57">
        <f>IFERROR($AB756/$AB755-1,"")</f>
        <v/>
      </c>
      <c r="DJ755" s="57">
        <f>IFERROR($AC756/$AC755-1,"")</f>
        <v/>
      </c>
      <c r="DK755" s="57">
        <f>IFERROR($AD756/$AD755-1,"")</f>
        <v/>
      </c>
      <c r="DL755" s="57">
        <f>IFERROR($AE756/$AE755-1,"")</f>
        <v/>
      </c>
      <c r="DM755" s="56">
        <f>$AZ755-$AZ756</f>
        <v/>
      </c>
      <c r="DN755" s="56">
        <f>$BA755-$BA756</f>
        <v/>
      </c>
      <c r="DO755" s="56">
        <f>$BB755-$BB756</f>
        <v/>
      </c>
      <c r="DP755" s="56">
        <f>$BC755-$BC756</f>
        <v/>
      </c>
      <c r="DQ755" s="56">
        <f>$BD755-$BD756</f>
        <v/>
      </c>
      <c r="DR755" s="56">
        <f>$BE755-$BE756</f>
        <v/>
      </c>
      <c r="DS755" s="56">
        <f>$BF755-$BF756</f>
        <v/>
      </c>
      <c r="DT755" s="56">
        <f>$BG755-$BG756</f>
        <v/>
      </c>
      <c r="DU755" s="56">
        <f>$BH755-$BH756</f>
        <v/>
      </c>
      <c r="DV755" s="56">
        <f>$BI755-$BI756</f>
        <v/>
      </c>
      <c r="DW755" s="56">
        <f>$BJ755-$BJ756</f>
        <v/>
      </c>
      <c r="DX755" s="56">
        <f>$BK755-$BK756</f>
        <v/>
      </c>
      <c r="DY755" s="56">
        <f>$BL755-$BL756</f>
        <v/>
      </c>
      <c r="DZ755" s="56">
        <f>$BM755-$BM756</f>
        <v/>
      </c>
      <c r="EA755" s="56">
        <f>$BN755-$BN756</f>
        <v/>
      </c>
      <c r="EB755" s="56">
        <f>$BO755-$BO756</f>
        <v/>
      </c>
      <c r="EC755" s="56">
        <f>$BP755-$BP756</f>
        <v/>
      </c>
      <c r="ED755" s="56">
        <f>$BQ755-$BQ756</f>
        <v/>
      </c>
      <c r="EE755" s="56">
        <f>$BR755-$BR756</f>
        <v/>
      </c>
      <c r="EF755" s="56">
        <f>$BS755-$BS756</f>
        <v/>
      </c>
      <c r="EG755" s="56">
        <f>$BT755-$BT756</f>
        <v/>
      </c>
      <c r="EH755" s="56">
        <f>$BU755-$BU756</f>
        <v/>
      </c>
    </row>
    <row r="756">
      <c r="BV756" s="56">
        <f>($D756-$D757)*100</f>
        <v/>
      </c>
      <c r="BW756" s="56">
        <f>($C756-$C757)*100</f>
        <v/>
      </c>
      <c r="BX756" s="57">
        <f>IFERROR($I756/$I757-1,"")</f>
        <v/>
      </c>
      <c r="BY756" s="56">
        <f>($AF756-$AF757)*100</f>
        <v/>
      </c>
      <c r="BZ756" s="56">
        <f>($AG756-$AG757)*100</f>
        <v/>
      </c>
      <c r="CA756" s="56">
        <f>($AH756-$AH757)*100</f>
        <v/>
      </c>
      <c r="CB756" s="56">
        <f>($AI756-$AI757)*100</f>
        <v/>
      </c>
      <c r="CC756" s="56">
        <f>($AJ756-$AJ757)*100</f>
        <v/>
      </c>
      <c r="CD756" s="56">
        <f>($AK756-$AK757)*100</f>
        <v/>
      </c>
      <c r="CE756" s="56">
        <f>($AL756-$AL757)*100</f>
        <v/>
      </c>
      <c r="CF756" s="56">
        <f>($AM756-$AM757)*100</f>
        <v/>
      </c>
      <c r="CG756" s="56">
        <f>($AN756-$AN757)*100</f>
        <v/>
      </c>
      <c r="CH756" s="56">
        <f>($AO756-$AO757)*100</f>
        <v/>
      </c>
      <c r="CI756" s="56">
        <f>($AP756-$AP757)*100</f>
        <v/>
      </c>
      <c r="CJ756" s="56">
        <f>($AQ756-$AQ757)*100</f>
        <v/>
      </c>
      <c r="CK756" s="56">
        <f>($AR756-$AR757)*100</f>
        <v/>
      </c>
      <c r="CL756" s="56">
        <f>($AS756-$AS757)*100</f>
        <v/>
      </c>
      <c r="CM756" s="56">
        <f>($AT756-$AT757)*100</f>
        <v/>
      </c>
      <c r="CN756" s="56">
        <f>($AU756-$AU757)*100</f>
        <v/>
      </c>
      <c r="CO756" s="56">
        <f>($AV756-$AV757)*100</f>
        <v/>
      </c>
      <c r="CP756" s="56">
        <f>($AW756-$AW757)*100</f>
        <v/>
      </c>
      <c r="CQ756" s="56">
        <f>($AX756-$AX757)*100</f>
        <v/>
      </c>
      <c r="CR756" s="56">
        <f>($AY756-$AY757)*100</f>
        <v/>
      </c>
      <c r="CS756" s="57">
        <f>IFERROR($L757/$L756-1,"")</f>
        <v/>
      </c>
      <c r="CT756" s="57">
        <f>IFERROR($M757/$M756-1,"")</f>
        <v/>
      </c>
      <c r="CU756" s="57">
        <f>IFERROR($N757/$N756-1,"")</f>
        <v/>
      </c>
      <c r="CV756" s="57">
        <f>IFERROR($O757/$O756-1,"")</f>
        <v/>
      </c>
      <c r="CW756" s="57">
        <f>IFERROR($P757/$P756-1,"")</f>
        <v/>
      </c>
      <c r="CX756" s="57">
        <f>IFERROR($Q757/$Q756-1,"")</f>
        <v/>
      </c>
      <c r="CY756" s="57">
        <f>IFERROR($R757/$R756-1,"")</f>
        <v/>
      </c>
      <c r="CZ756" s="57">
        <f>IFERROR($S757/$S756-1,"")</f>
        <v/>
      </c>
      <c r="DA756" s="57">
        <f>IFERROR($T757/$T756-1,"")</f>
        <v/>
      </c>
      <c r="DB756" s="57">
        <f>IFERROR($U757/$U756-1,"")</f>
        <v/>
      </c>
      <c r="DC756" s="57">
        <f>IFERROR($V757/$V756-1,"")</f>
        <v/>
      </c>
      <c r="DD756" s="57">
        <f>IFERROR($W757/$W756-1,"")</f>
        <v/>
      </c>
      <c r="DE756" s="57">
        <f>IFERROR($X757/$X756-1,"")</f>
        <v/>
      </c>
      <c r="DF756" s="57">
        <f>IFERROR($Y757/$Y756-1,"")</f>
        <v/>
      </c>
      <c r="DG756" s="57">
        <f>IFERROR($Z757/$Z756-1,"")</f>
        <v/>
      </c>
      <c r="DH756" s="57">
        <f>IFERROR($AA757/$AA756-1,"")</f>
        <v/>
      </c>
      <c r="DI756" s="57">
        <f>IFERROR($AB757/$AB756-1,"")</f>
        <v/>
      </c>
      <c r="DJ756" s="57">
        <f>IFERROR($AC757/$AC756-1,"")</f>
        <v/>
      </c>
      <c r="DK756" s="57">
        <f>IFERROR($AD757/$AD756-1,"")</f>
        <v/>
      </c>
      <c r="DL756" s="57">
        <f>IFERROR($AE757/$AE756-1,"")</f>
        <v/>
      </c>
      <c r="DM756" s="56">
        <f>$AZ756-$AZ757</f>
        <v/>
      </c>
      <c r="DN756" s="56">
        <f>$BA756-$BA757</f>
        <v/>
      </c>
      <c r="DO756" s="56">
        <f>$BB756-$BB757</f>
        <v/>
      </c>
      <c r="DP756" s="56">
        <f>$BC756-$BC757</f>
        <v/>
      </c>
      <c r="DQ756" s="56">
        <f>$BD756-$BD757</f>
        <v/>
      </c>
      <c r="DR756" s="56">
        <f>$BE756-$BE757</f>
        <v/>
      </c>
      <c r="DS756" s="56">
        <f>$BF756-$BF757</f>
        <v/>
      </c>
      <c r="DT756" s="56">
        <f>$BG756-$BG757</f>
        <v/>
      </c>
      <c r="DU756" s="56">
        <f>$BH756-$BH757</f>
        <v/>
      </c>
      <c r="DV756" s="56">
        <f>$BI756-$BI757</f>
        <v/>
      </c>
      <c r="DW756" s="56">
        <f>$BJ756-$BJ757</f>
        <v/>
      </c>
      <c r="DX756" s="56">
        <f>$BK756-$BK757</f>
        <v/>
      </c>
      <c r="DY756" s="56">
        <f>$BL756-$BL757</f>
        <v/>
      </c>
      <c r="DZ756" s="56">
        <f>$BM756-$BM757</f>
        <v/>
      </c>
      <c r="EA756" s="56">
        <f>$BN756-$BN757</f>
        <v/>
      </c>
      <c r="EB756" s="56">
        <f>$BO756-$BO757</f>
        <v/>
      </c>
      <c r="EC756" s="56">
        <f>$BP756-$BP757</f>
        <v/>
      </c>
      <c r="ED756" s="56">
        <f>$BQ756-$BQ757</f>
        <v/>
      </c>
      <c r="EE756" s="56">
        <f>$BR756-$BR757</f>
        <v/>
      </c>
      <c r="EF756" s="56">
        <f>$BS756-$BS757</f>
        <v/>
      </c>
      <c r="EG756" s="56">
        <f>$BT756-$BT757</f>
        <v/>
      </c>
      <c r="EH756" s="56">
        <f>$BU756-$BU757</f>
        <v/>
      </c>
    </row>
    <row r="757">
      <c r="BV757" s="56">
        <f>($D757-$D758)*100</f>
        <v/>
      </c>
      <c r="BW757" s="56">
        <f>($C757-$C758)*100</f>
        <v/>
      </c>
      <c r="BX757" s="57">
        <f>IFERROR($I757/$I758-1,"")</f>
        <v/>
      </c>
      <c r="BY757" s="56">
        <f>($AF757-$AF758)*100</f>
        <v/>
      </c>
      <c r="BZ757" s="56">
        <f>($AG757-$AG758)*100</f>
        <v/>
      </c>
      <c r="CA757" s="56">
        <f>($AH757-$AH758)*100</f>
        <v/>
      </c>
      <c r="CB757" s="56">
        <f>($AI757-$AI758)*100</f>
        <v/>
      </c>
      <c r="CC757" s="56">
        <f>($AJ757-$AJ758)*100</f>
        <v/>
      </c>
      <c r="CD757" s="56">
        <f>($AK757-$AK758)*100</f>
        <v/>
      </c>
      <c r="CE757" s="56">
        <f>($AL757-$AL758)*100</f>
        <v/>
      </c>
      <c r="CF757" s="56">
        <f>($AM757-$AM758)*100</f>
        <v/>
      </c>
      <c r="CG757" s="56">
        <f>($AN757-$AN758)*100</f>
        <v/>
      </c>
      <c r="CH757" s="56">
        <f>($AO757-$AO758)*100</f>
        <v/>
      </c>
      <c r="CI757" s="56">
        <f>($AP757-$AP758)*100</f>
        <v/>
      </c>
      <c r="CJ757" s="56">
        <f>($AQ757-$AQ758)*100</f>
        <v/>
      </c>
      <c r="CK757" s="56">
        <f>($AR757-$AR758)*100</f>
        <v/>
      </c>
      <c r="CL757" s="56">
        <f>($AS757-$AS758)*100</f>
        <v/>
      </c>
      <c r="CM757" s="56">
        <f>($AT757-$AT758)*100</f>
        <v/>
      </c>
      <c r="CN757" s="56">
        <f>($AU757-$AU758)*100</f>
        <v/>
      </c>
      <c r="CO757" s="56">
        <f>($AV757-$AV758)*100</f>
        <v/>
      </c>
      <c r="CP757" s="56">
        <f>($AW757-$AW758)*100</f>
        <v/>
      </c>
      <c r="CQ757" s="56">
        <f>($AX757-$AX758)*100</f>
        <v/>
      </c>
      <c r="CR757" s="56">
        <f>($AY757-$AY758)*100</f>
        <v/>
      </c>
      <c r="CS757" s="57">
        <f>IFERROR($L758/$L757-1,"")</f>
        <v/>
      </c>
      <c r="CT757" s="57">
        <f>IFERROR($M758/$M757-1,"")</f>
        <v/>
      </c>
      <c r="CU757" s="57">
        <f>IFERROR($N758/$N757-1,"")</f>
        <v/>
      </c>
      <c r="CV757" s="57">
        <f>IFERROR($O758/$O757-1,"")</f>
        <v/>
      </c>
      <c r="CW757" s="57">
        <f>IFERROR($P758/$P757-1,"")</f>
        <v/>
      </c>
      <c r="CX757" s="57">
        <f>IFERROR($Q758/$Q757-1,"")</f>
        <v/>
      </c>
      <c r="CY757" s="57">
        <f>IFERROR($R758/$R757-1,"")</f>
        <v/>
      </c>
      <c r="CZ757" s="57">
        <f>IFERROR($S758/$S757-1,"")</f>
        <v/>
      </c>
      <c r="DA757" s="57">
        <f>IFERROR($T758/$T757-1,"")</f>
        <v/>
      </c>
      <c r="DB757" s="57">
        <f>IFERROR($U758/$U757-1,"")</f>
        <v/>
      </c>
      <c r="DC757" s="57">
        <f>IFERROR($V758/$V757-1,"")</f>
        <v/>
      </c>
      <c r="DD757" s="57">
        <f>IFERROR($W758/$W757-1,"")</f>
        <v/>
      </c>
      <c r="DE757" s="57">
        <f>IFERROR($X758/$X757-1,"")</f>
        <v/>
      </c>
      <c r="DF757" s="57">
        <f>IFERROR($Y758/$Y757-1,"")</f>
        <v/>
      </c>
      <c r="DG757" s="57">
        <f>IFERROR($Z758/$Z757-1,"")</f>
        <v/>
      </c>
      <c r="DH757" s="57">
        <f>IFERROR($AA758/$AA757-1,"")</f>
        <v/>
      </c>
      <c r="DI757" s="57">
        <f>IFERROR($AB758/$AB757-1,"")</f>
        <v/>
      </c>
      <c r="DJ757" s="57">
        <f>IFERROR($AC758/$AC757-1,"")</f>
        <v/>
      </c>
      <c r="DK757" s="57">
        <f>IFERROR($AD758/$AD757-1,"")</f>
        <v/>
      </c>
      <c r="DL757" s="57">
        <f>IFERROR($AE758/$AE757-1,"")</f>
        <v/>
      </c>
      <c r="DM757" s="56">
        <f>$AZ757-$AZ758</f>
        <v/>
      </c>
      <c r="DN757" s="56">
        <f>$BA757-$BA758</f>
        <v/>
      </c>
      <c r="DO757" s="56">
        <f>$BB757-$BB758</f>
        <v/>
      </c>
      <c r="DP757" s="56">
        <f>$BC757-$BC758</f>
        <v/>
      </c>
      <c r="DQ757" s="56">
        <f>$BD757-$BD758</f>
        <v/>
      </c>
      <c r="DR757" s="56">
        <f>$BE757-$BE758</f>
        <v/>
      </c>
      <c r="DS757" s="56">
        <f>$BF757-$BF758</f>
        <v/>
      </c>
      <c r="DT757" s="56">
        <f>$BG757-$BG758</f>
        <v/>
      </c>
      <c r="DU757" s="56">
        <f>$BH757-$BH758</f>
        <v/>
      </c>
      <c r="DV757" s="56">
        <f>$BI757-$BI758</f>
        <v/>
      </c>
      <c r="DW757" s="56">
        <f>$BJ757-$BJ758</f>
        <v/>
      </c>
      <c r="DX757" s="56">
        <f>$BK757-$BK758</f>
        <v/>
      </c>
      <c r="DY757" s="56">
        <f>$BL757-$BL758</f>
        <v/>
      </c>
      <c r="DZ757" s="56">
        <f>$BM757-$BM758</f>
        <v/>
      </c>
      <c r="EA757" s="56">
        <f>$BN757-$BN758</f>
        <v/>
      </c>
      <c r="EB757" s="56">
        <f>$BO757-$BO758</f>
        <v/>
      </c>
      <c r="EC757" s="56">
        <f>$BP757-$BP758</f>
        <v/>
      </c>
      <c r="ED757" s="56">
        <f>$BQ757-$BQ758</f>
        <v/>
      </c>
      <c r="EE757" s="56">
        <f>$BR757-$BR758</f>
        <v/>
      </c>
      <c r="EF757" s="56">
        <f>$BS757-$BS758</f>
        <v/>
      </c>
      <c r="EG757" s="56">
        <f>$BT757-$BT758</f>
        <v/>
      </c>
      <c r="EH757" s="56">
        <f>$BU757-$BU758</f>
        <v/>
      </c>
    </row>
    <row r="758">
      <c r="BV758" s="56">
        <f>($D758-$D759)*100</f>
        <v/>
      </c>
      <c r="BW758" s="56">
        <f>($C758-$C759)*100</f>
        <v/>
      </c>
      <c r="BX758" s="57">
        <f>IFERROR($I758/$I759-1,"")</f>
        <v/>
      </c>
      <c r="BY758" s="56">
        <f>($AF758-$AF759)*100</f>
        <v/>
      </c>
      <c r="BZ758" s="56">
        <f>($AG758-$AG759)*100</f>
        <v/>
      </c>
      <c r="CA758" s="56">
        <f>($AH758-$AH759)*100</f>
        <v/>
      </c>
      <c r="CB758" s="56">
        <f>($AI758-$AI759)*100</f>
        <v/>
      </c>
      <c r="CC758" s="56">
        <f>($AJ758-$AJ759)*100</f>
        <v/>
      </c>
      <c r="CD758" s="56">
        <f>($AK758-$AK759)*100</f>
        <v/>
      </c>
      <c r="CE758" s="56">
        <f>($AL758-$AL759)*100</f>
        <v/>
      </c>
      <c r="CF758" s="56">
        <f>($AM758-$AM759)*100</f>
        <v/>
      </c>
      <c r="CG758" s="56">
        <f>($AN758-$AN759)*100</f>
        <v/>
      </c>
      <c r="CH758" s="56">
        <f>($AO758-$AO759)*100</f>
        <v/>
      </c>
      <c r="CI758" s="56">
        <f>($AP758-$AP759)*100</f>
        <v/>
      </c>
      <c r="CJ758" s="56">
        <f>($AQ758-$AQ759)*100</f>
        <v/>
      </c>
      <c r="CK758" s="56">
        <f>($AR758-$AR759)*100</f>
        <v/>
      </c>
      <c r="CL758" s="56">
        <f>($AS758-$AS759)*100</f>
        <v/>
      </c>
      <c r="CM758" s="56">
        <f>($AT758-$AT759)*100</f>
        <v/>
      </c>
      <c r="CN758" s="56">
        <f>($AU758-$AU759)*100</f>
        <v/>
      </c>
      <c r="CO758" s="56">
        <f>($AV758-$AV759)*100</f>
        <v/>
      </c>
      <c r="CP758" s="56">
        <f>($AW758-$AW759)*100</f>
        <v/>
      </c>
      <c r="CQ758" s="56">
        <f>($AX758-$AX759)*100</f>
        <v/>
      </c>
      <c r="CR758" s="56">
        <f>($AY758-$AY759)*100</f>
        <v/>
      </c>
      <c r="CS758" s="57">
        <f>IFERROR($L759/$L758-1,"")</f>
        <v/>
      </c>
      <c r="CT758" s="57">
        <f>IFERROR($M759/$M758-1,"")</f>
        <v/>
      </c>
      <c r="CU758" s="57">
        <f>IFERROR($N759/$N758-1,"")</f>
        <v/>
      </c>
      <c r="CV758" s="57">
        <f>IFERROR($O759/$O758-1,"")</f>
        <v/>
      </c>
      <c r="CW758" s="57">
        <f>IFERROR($P759/$P758-1,"")</f>
        <v/>
      </c>
      <c r="CX758" s="57">
        <f>IFERROR($Q759/$Q758-1,"")</f>
        <v/>
      </c>
      <c r="CY758" s="57">
        <f>IFERROR($R759/$R758-1,"")</f>
        <v/>
      </c>
      <c r="CZ758" s="57">
        <f>IFERROR($S759/$S758-1,"")</f>
        <v/>
      </c>
      <c r="DA758" s="57">
        <f>IFERROR($T759/$T758-1,"")</f>
        <v/>
      </c>
      <c r="DB758" s="57">
        <f>IFERROR($U759/$U758-1,"")</f>
        <v/>
      </c>
      <c r="DC758" s="57">
        <f>IFERROR($V759/$V758-1,"")</f>
        <v/>
      </c>
      <c r="DD758" s="57">
        <f>IFERROR($W759/$W758-1,"")</f>
        <v/>
      </c>
      <c r="DE758" s="57">
        <f>IFERROR($X759/$X758-1,"")</f>
        <v/>
      </c>
      <c r="DF758" s="57">
        <f>IFERROR($Y759/$Y758-1,"")</f>
        <v/>
      </c>
      <c r="DG758" s="57">
        <f>IFERROR($Z759/$Z758-1,"")</f>
        <v/>
      </c>
      <c r="DH758" s="57">
        <f>IFERROR($AA759/$AA758-1,"")</f>
        <v/>
      </c>
      <c r="DI758" s="57">
        <f>IFERROR($AB759/$AB758-1,"")</f>
        <v/>
      </c>
      <c r="DJ758" s="57">
        <f>IFERROR($AC759/$AC758-1,"")</f>
        <v/>
      </c>
      <c r="DK758" s="57">
        <f>IFERROR($AD759/$AD758-1,"")</f>
        <v/>
      </c>
      <c r="DL758" s="57">
        <f>IFERROR($AE759/$AE758-1,"")</f>
        <v/>
      </c>
      <c r="DM758" s="56">
        <f>$AZ758-$AZ759</f>
        <v/>
      </c>
      <c r="DN758" s="56">
        <f>$BA758-$BA759</f>
        <v/>
      </c>
      <c r="DO758" s="56">
        <f>$BB758-$BB759</f>
        <v/>
      </c>
      <c r="DP758" s="56">
        <f>$BC758-$BC759</f>
        <v/>
      </c>
      <c r="DQ758" s="56">
        <f>$BD758-$BD759</f>
        <v/>
      </c>
      <c r="DR758" s="56">
        <f>$BE758-$BE759</f>
        <v/>
      </c>
      <c r="DS758" s="56">
        <f>$BF758-$BF759</f>
        <v/>
      </c>
      <c r="DT758" s="56">
        <f>$BG758-$BG759</f>
        <v/>
      </c>
      <c r="DU758" s="56">
        <f>$BH758-$BH759</f>
        <v/>
      </c>
      <c r="DV758" s="56">
        <f>$BI758-$BI759</f>
        <v/>
      </c>
      <c r="DW758" s="56">
        <f>$BJ758-$BJ759</f>
        <v/>
      </c>
      <c r="DX758" s="56">
        <f>$BK758-$BK759</f>
        <v/>
      </c>
      <c r="DY758" s="56">
        <f>$BL758-$BL759</f>
        <v/>
      </c>
      <c r="DZ758" s="56">
        <f>$BM758-$BM759</f>
        <v/>
      </c>
      <c r="EA758" s="56">
        <f>$BN758-$BN759</f>
        <v/>
      </c>
      <c r="EB758" s="56">
        <f>$BO758-$BO759</f>
        <v/>
      </c>
      <c r="EC758" s="56">
        <f>$BP758-$BP759</f>
        <v/>
      </c>
      <c r="ED758" s="56">
        <f>$BQ758-$BQ759</f>
        <v/>
      </c>
      <c r="EE758" s="56">
        <f>$BR758-$BR759</f>
        <v/>
      </c>
      <c r="EF758" s="56">
        <f>$BS758-$BS759</f>
        <v/>
      </c>
      <c r="EG758" s="56">
        <f>$BT758-$BT759</f>
        <v/>
      </c>
      <c r="EH758" s="56">
        <f>$BU758-$BU759</f>
        <v/>
      </c>
    </row>
    <row r="759">
      <c r="BV759" s="56">
        <f>($D759-$D760)*100</f>
        <v/>
      </c>
      <c r="BW759" s="56">
        <f>($C759-$C760)*100</f>
        <v/>
      </c>
      <c r="BX759" s="57">
        <f>IFERROR($I759/$I760-1,"")</f>
        <v/>
      </c>
      <c r="BY759" s="56">
        <f>($AF759-$AF760)*100</f>
        <v/>
      </c>
      <c r="BZ759" s="56">
        <f>($AG759-$AG760)*100</f>
        <v/>
      </c>
      <c r="CA759" s="56">
        <f>($AH759-$AH760)*100</f>
        <v/>
      </c>
      <c r="CB759" s="56">
        <f>($AI759-$AI760)*100</f>
        <v/>
      </c>
      <c r="CC759" s="56">
        <f>($AJ759-$AJ760)*100</f>
        <v/>
      </c>
      <c r="CD759" s="56">
        <f>($AK759-$AK760)*100</f>
        <v/>
      </c>
      <c r="CE759" s="56">
        <f>($AL759-$AL760)*100</f>
        <v/>
      </c>
      <c r="CF759" s="56">
        <f>($AM759-$AM760)*100</f>
        <v/>
      </c>
      <c r="CG759" s="56">
        <f>($AN759-$AN760)*100</f>
        <v/>
      </c>
      <c r="CH759" s="56">
        <f>($AO759-$AO760)*100</f>
        <v/>
      </c>
      <c r="CI759" s="56">
        <f>($AP759-$AP760)*100</f>
        <v/>
      </c>
      <c r="CJ759" s="56">
        <f>($AQ759-$AQ760)*100</f>
        <v/>
      </c>
      <c r="CK759" s="56">
        <f>($AR759-$AR760)*100</f>
        <v/>
      </c>
      <c r="CL759" s="56">
        <f>($AS759-$AS760)*100</f>
        <v/>
      </c>
      <c r="CM759" s="56">
        <f>($AT759-$AT760)*100</f>
        <v/>
      </c>
      <c r="CN759" s="56">
        <f>($AU759-$AU760)*100</f>
        <v/>
      </c>
      <c r="CO759" s="56">
        <f>($AV759-$AV760)*100</f>
        <v/>
      </c>
      <c r="CP759" s="56">
        <f>($AW759-$AW760)*100</f>
        <v/>
      </c>
      <c r="CQ759" s="56">
        <f>($AX759-$AX760)*100</f>
        <v/>
      </c>
      <c r="CR759" s="56">
        <f>($AY759-$AY760)*100</f>
        <v/>
      </c>
      <c r="CS759" s="57">
        <f>IFERROR($L760/$L759-1,"")</f>
        <v/>
      </c>
      <c r="CT759" s="57">
        <f>IFERROR($M760/$M759-1,"")</f>
        <v/>
      </c>
      <c r="CU759" s="57">
        <f>IFERROR($N760/$N759-1,"")</f>
        <v/>
      </c>
      <c r="CV759" s="57">
        <f>IFERROR($O760/$O759-1,"")</f>
        <v/>
      </c>
      <c r="CW759" s="57">
        <f>IFERROR($P760/$P759-1,"")</f>
        <v/>
      </c>
      <c r="CX759" s="57">
        <f>IFERROR($Q760/$Q759-1,"")</f>
        <v/>
      </c>
      <c r="CY759" s="57">
        <f>IFERROR($R760/$R759-1,"")</f>
        <v/>
      </c>
      <c r="CZ759" s="57">
        <f>IFERROR($S760/$S759-1,"")</f>
        <v/>
      </c>
      <c r="DA759" s="57">
        <f>IFERROR($T760/$T759-1,"")</f>
        <v/>
      </c>
      <c r="DB759" s="57">
        <f>IFERROR($U760/$U759-1,"")</f>
        <v/>
      </c>
      <c r="DC759" s="57">
        <f>IFERROR($V760/$V759-1,"")</f>
        <v/>
      </c>
      <c r="DD759" s="57">
        <f>IFERROR($W760/$W759-1,"")</f>
        <v/>
      </c>
      <c r="DE759" s="57">
        <f>IFERROR($X760/$X759-1,"")</f>
        <v/>
      </c>
      <c r="DF759" s="57">
        <f>IFERROR($Y760/$Y759-1,"")</f>
        <v/>
      </c>
      <c r="DG759" s="57">
        <f>IFERROR($Z760/$Z759-1,"")</f>
        <v/>
      </c>
      <c r="DH759" s="57">
        <f>IFERROR($AA760/$AA759-1,"")</f>
        <v/>
      </c>
      <c r="DI759" s="57">
        <f>IFERROR($AB760/$AB759-1,"")</f>
        <v/>
      </c>
      <c r="DJ759" s="57">
        <f>IFERROR($AC760/$AC759-1,"")</f>
        <v/>
      </c>
      <c r="DK759" s="57">
        <f>IFERROR($AD760/$AD759-1,"")</f>
        <v/>
      </c>
      <c r="DL759" s="57">
        <f>IFERROR($AE760/$AE759-1,"")</f>
        <v/>
      </c>
      <c r="DM759" s="56">
        <f>$AZ759-$AZ760</f>
        <v/>
      </c>
      <c r="DN759" s="56">
        <f>$BA759-$BA760</f>
        <v/>
      </c>
      <c r="DO759" s="56">
        <f>$BB759-$BB760</f>
        <v/>
      </c>
      <c r="DP759" s="56">
        <f>$BC759-$BC760</f>
        <v/>
      </c>
      <c r="DQ759" s="56">
        <f>$BD759-$BD760</f>
        <v/>
      </c>
      <c r="DR759" s="56">
        <f>$BE759-$BE760</f>
        <v/>
      </c>
      <c r="DS759" s="56">
        <f>$BF759-$BF760</f>
        <v/>
      </c>
      <c r="DT759" s="56">
        <f>$BG759-$BG760</f>
        <v/>
      </c>
      <c r="DU759" s="56">
        <f>$BH759-$BH760</f>
        <v/>
      </c>
      <c r="DV759" s="56">
        <f>$BI759-$BI760</f>
        <v/>
      </c>
      <c r="DW759" s="56">
        <f>$BJ759-$BJ760</f>
        <v/>
      </c>
      <c r="DX759" s="56">
        <f>$BK759-$BK760</f>
        <v/>
      </c>
      <c r="DY759" s="56">
        <f>$BL759-$BL760</f>
        <v/>
      </c>
      <c r="DZ759" s="56">
        <f>$BM759-$BM760</f>
        <v/>
      </c>
      <c r="EA759" s="56">
        <f>$BN759-$BN760</f>
        <v/>
      </c>
      <c r="EB759" s="56">
        <f>$BO759-$BO760</f>
        <v/>
      </c>
      <c r="EC759" s="56">
        <f>$BP759-$BP760</f>
        <v/>
      </c>
      <c r="ED759" s="56">
        <f>$BQ759-$BQ760</f>
        <v/>
      </c>
      <c r="EE759" s="56">
        <f>$BR759-$BR760</f>
        <v/>
      </c>
      <c r="EF759" s="56">
        <f>$BS759-$BS760</f>
        <v/>
      </c>
      <c r="EG759" s="56">
        <f>$BT759-$BT760</f>
        <v/>
      </c>
      <c r="EH759" s="56">
        <f>$BU759-$BU760</f>
        <v/>
      </c>
    </row>
    <row r="760">
      <c r="BV760" s="56">
        <f>($D760-$D761)*100</f>
        <v/>
      </c>
      <c r="BW760" s="56">
        <f>($C760-$C761)*100</f>
        <v/>
      </c>
      <c r="BX760" s="57">
        <f>IFERROR($I760/$I761-1,"")</f>
        <v/>
      </c>
      <c r="BY760" s="56">
        <f>($AF760-$AF761)*100</f>
        <v/>
      </c>
      <c r="BZ760" s="56">
        <f>($AG760-$AG761)*100</f>
        <v/>
      </c>
      <c r="CA760" s="56">
        <f>($AH760-$AH761)*100</f>
        <v/>
      </c>
      <c r="CB760" s="56">
        <f>($AI760-$AI761)*100</f>
        <v/>
      </c>
      <c r="CC760" s="56">
        <f>($AJ760-$AJ761)*100</f>
        <v/>
      </c>
      <c r="CD760" s="56">
        <f>($AK760-$AK761)*100</f>
        <v/>
      </c>
      <c r="CE760" s="56">
        <f>($AL760-$AL761)*100</f>
        <v/>
      </c>
      <c r="CF760" s="56">
        <f>($AM760-$AM761)*100</f>
        <v/>
      </c>
      <c r="CG760" s="56">
        <f>($AN760-$AN761)*100</f>
        <v/>
      </c>
      <c r="CH760" s="56">
        <f>($AO760-$AO761)*100</f>
        <v/>
      </c>
      <c r="CI760" s="56">
        <f>($AP760-$AP761)*100</f>
        <v/>
      </c>
      <c r="CJ760" s="56">
        <f>($AQ760-$AQ761)*100</f>
        <v/>
      </c>
      <c r="CK760" s="56">
        <f>($AR760-$AR761)*100</f>
        <v/>
      </c>
      <c r="CL760" s="56">
        <f>($AS760-$AS761)*100</f>
        <v/>
      </c>
      <c r="CM760" s="56">
        <f>($AT760-$AT761)*100</f>
        <v/>
      </c>
      <c r="CN760" s="56">
        <f>($AU760-$AU761)*100</f>
        <v/>
      </c>
      <c r="CO760" s="56">
        <f>($AV760-$AV761)*100</f>
        <v/>
      </c>
      <c r="CP760" s="56">
        <f>($AW760-$AW761)*100</f>
        <v/>
      </c>
      <c r="CQ760" s="56">
        <f>($AX760-$AX761)*100</f>
        <v/>
      </c>
      <c r="CR760" s="56">
        <f>($AY760-$AY761)*100</f>
        <v/>
      </c>
      <c r="CS760" s="57">
        <f>IFERROR($L761/$L760-1,"")</f>
        <v/>
      </c>
      <c r="CT760" s="57">
        <f>IFERROR($M761/$M760-1,"")</f>
        <v/>
      </c>
      <c r="CU760" s="57">
        <f>IFERROR($N761/$N760-1,"")</f>
        <v/>
      </c>
      <c r="CV760" s="57">
        <f>IFERROR($O761/$O760-1,"")</f>
        <v/>
      </c>
      <c r="CW760" s="57">
        <f>IFERROR($P761/$P760-1,"")</f>
        <v/>
      </c>
      <c r="CX760" s="57">
        <f>IFERROR($Q761/$Q760-1,"")</f>
        <v/>
      </c>
      <c r="CY760" s="57">
        <f>IFERROR($R761/$R760-1,"")</f>
        <v/>
      </c>
      <c r="CZ760" s="57">
        <f>IFERROR($S761/$S760-1,"")</f>
        <v/>
      </c>
      <c r="DA760" s="57">
        <f>IFERROR($T761/$T760-1,"")</f>
        <v/>
      </c>
      <c r="DB760" s="57">
        <f>IFERROR($U761/$U760-1,"")</f>
        <v/>
      </c>
      <c r="DC760" s="57">
        <f>IFERROR($V761/$V760-1,"")</f>
        <v/>
      </c>
      <c r="DD760" s="57">
        <f>IFERROR($W761/$W760-1,"")</f>
        <v/>
      </c>
      <c r="DE760" s="57">
        <f>IFERROR($X761/$X760-1,"")</f>
        <v/>
      </c>
      <c r="DF760" s="57">
        <f>IFERROR($Y761/$Y760-1,"")</f>
        <v/>
      </c>
      <c r="DG760" s="57">
        <f>IFERROR($Z761/$Z760-1,"")</f>
        <v/>
      </c>
      <c r="DH760" s="57">
        <f>IFERROR($AA761/$AA760-1,"")</f>
        <v/>
      </c>
      <c r="DI760" s="57">
        <f>IFERROR($AB761/$AB760-1,"")</f>
        <v/>
      </c>
      <c r="DJ760" s="57">
        <f>IFERROR($AC761/$AC760-1,"")</f>
        <v/>
      </c>
      <c r="DK760" s="57">
        <f>IFERROR($AD761/$AD760-1,"")</f>
        <v/>
      </c>
      <c r="DL760" s="57">
        <f>IFERROR($AE761/$AE760-1,"")</f>
        <v/>
      </c>
      <c r="DM760" s="56">
        <f>$AZ760-$AZ761</f>
        <v/>
      </c>
      <c r="DN760" s="56">
        <f>$BA760-$BA761</f>
        <v/>
      </c>
      <c r="DO760" s="56">
        <f>$BB760-$BB761</f>
        <v/>
      </c>
      <c r="DP760" s="56">
        <f>$BC760-$BC761</f>
        <v/>
      </c>
      <c r="DQ760" s="56">
        <f>$BD760-$BD761</f>
        <v/>
      </c>
      <c r="DR760" s="56">
        <f>$BE760-$BE761</f>
        <v/>
      </c>
      <c r="DS760" s="56">
        <f>$BF760-$BF761</f>
        <v/>
      </c>
      <c r="DT760" s="56">
        <f>$BG760-$BG761</f>
        <v/>
      </c>
      <c r="DU760" s="56">
        <f>$BH760-$BH761</f>
        <v/>
      </c>
      <c r="DV760" s="56">
        <f>$BI760-$BI761</f>
        <v/>
      </c>
      <c r="DW760" s="56">
        <f>$BJ760-$BJ761</f>
        <v/>
      </c>
      <c r="DX760" s="56">
        <f>$BK760-$BK761</f>
        <v/>
      </c>
      <c r="DY760" s="56">
        <f>$BL760-$BL761</f>
        <v/>
      </c>
      <c r="DZ760" s="56">
        <f>$BM760-$BM761</f>
        <v/>
      </c>
      <c r="EA760" s="56">
        <f>$BN760-$BN761</f>
        <v/>
      </c>
      <c r="EB760" s="56">
        <f>$BO760-$BO761</f>
        <v/>
      </c>
      <c r="EC760" s="56">
        <f>$BP760-$BP761</f>
        <v/>
      </c>
      <c r="ED760" s="56">
        <f>$BQ760-$BQ761</f>
        <v/>
      </c>
      <c r="EE760" s="56">
        <f>$BR760-$BR761</f>
        <v/>
      </c>
      <c r="EF760" s="56">
        <f>$BS760-$BS761</f>
        <v/>
      </c>
      <c r="EG760" s="56">
        <f>$BT760-$BT761</f>
        <v/>
      </c>
      <c r="EH760" s="56">
        <f>$BU760-$BU761</f>
        <v/>
      </c>
    </row>
    <row r="761">
      <c r="BV761" s="56">
        <f>($D761-$D762)*100</f>
        <v/>
      </c>
      <c r="BW761" s="56">
        <f>($C761-$C762)*100</f>
        <v/>
      </c>
      <c r="BX761" s="57">
        <f>IFERROR($I761/$I762-1,"")</f>
        <v/>
      </c>
      <c r="BY761" s="56">
        <f>($AF761-$AF762)*100</f>
        <v/>
      </c>
      <c r="BZ761" s="56">
        <f>($AG761-$AG762)*100</f>
        <v/>
      </c>
      <c r="CA761" s="56">
        <f>($AH761-$AH762)*100</f>
        <v/>
      </c>
      <c r="CB761" s="56">
        <f>($AI761-$AI762)*100</f>
        <v/>
      </c>
      <c r="CC761" s="56">
        <f>($AJ761-$AJ762)*100</f>
        <v/>
      </c>
      <c r="CD761" s="56">
        <f>($AK761-$AK762)*100</f>
        <v/>
      </c>
      <c r="CE761" s="56">
        <f>($AL761-$AL762)*100</f>
        <v/>
      </c>
      <c r="CF761" s="56">
        <f>($AM761-$AM762)*100</f>
        <v/>
      </c>
      <c r="CG761" s="56">
        <f>($AN761-$AN762)*100</f>
        <v/>
      </c>
      <c r="CH761" s="56">
        <f>($AO761-$AO762)*100</f>
        <v/>
      </c>
      <c r="CI761" s="56">
        <f>($AP761-$AP762)*100</f>
        <v/>
      </c>
      <c r="CJ761" s="56">
        <f>($AQ761-$AQ762)*100</f>
        <v/>
      </c>
      <c r="CK761" s="56">
        <f>($AR761-$AR762)*100</f>
        <v/>
      </c>
      <c r="CL761" s="56">
        <f>($AS761-$AS762)*100</f>
        <v/>
      </c>
      <c r="CM761" s="56">
        <f>($AT761-$AT762)*100</f>
        <v/>
      </c>
      <c r="CN761" s="56">
        <f>($AU761-$AU762)*100</f>
        <v/>
      </c>
      <c r="CO761" s="56">
        <f>($AV761-$AV762)*100</f>
        <v/>
      </c>
      <c r="CP761" s="56">
        <f>($AW761-$AW762)*100</f>
        <v/>
      </c>
      <c r="CQ761" s="56">
        <f>($AX761-$AX762)*100</f>
        <v/>
      </c>
      <c r="CR761" s="56">
        <f>($AY761-$AY762)*100</f>
        <v/>
      </c>
      <c r="CS761" s="57">
        <f>IFERROR($L762/$L761-1,"")</f>
        <v/>
      </c>
      <c r="CT761" s="57">
        <f>IFERROR($M762/$M761-1,"")</f>
        <v/>
      </c>
      <c r="CU761" s="57">
        <f>IFERROR($N762/$N761-1,"")</f>
        <v/>
      </c>
      <c r="CV761" s="57">
        <f>IFERROR($O762/$O761-1,"")</f>
        <v/>
      </c>
      <c r="CW761" s="57">
        <f>IFERROR($P762/$P761-1,"")</f>
        <v/>
      </c>
      <c r="CX761" s="57">
        <f>IFERROR($Q762/$Q761-1,"")</f>
        <v/>
      </c>
      <c r="CY761" s="57">
        <f>IFERROR($R762/$R761-1,"")</f>
        <v/>
      </c>
      <c r="CZ761" s="57">
        <f>IFERROR($S762/$S761-1,"")</f>
        <v/>
      </c>
      <c r="DA761" s="57">
        <f>IFERROR($T762/$T761-1,"")</f>
        <v/>
      </c>
      <c r="DB761" s="57">
        <f>IFERROR($U762/$U761-1,"")</f>
        <v/>
      </c>
      <c r="DC761" s="57">
        <f>IFERROR($V762/$V761-1,"")</f>
        <v/>
      </c>
      <c r="DD761" s="57">
        <f>IFERROR($W762/$W761-1,"")</f>
        <v/>
      </c>
      <c r="DE761" s="57">
        <f>IFERROR($X762/$X761-1,"")</f>
        <v/>
      </c>
      <c r="DF761" s="57">
        <f>IFERROR($Y762/$Y761-1,"")</f>
        <v/>
      </c>
      <c r="DG761" s="57">
        <f>IFERROR($Z762/$Z761-1,"")</f>
        <v/>
      </c>
      <c r="DH761" s="57">
        <f>IFERROR($AA762/$AA761-1,"")</f>
        <v/>
      </c>
      <c r="DI761" s="57">
        <f>IFERROR($AB762/$AB761-1,"")</f>
        <v/>
      </c>
      <c r="DJ761" s="57">
        <f>IFERROR($AC762/$AC761-1,"")</f>
        <v/>
      </c>
      <c r="DK761" s="57">
        <f>IFERROR($AD762/$AD761-1,"")</f>
        <v/>
      </c>
      <c r="DL761" s="57">
        <f>IFERROR($AE762/$AE761-1,"")</f>
        <v/>
      </c>
      <c r="DM761" s="56">
        <f>$AZ761-$AZ762</f>
        <v/>
      </c>
      <c r="DN761" s="56">
        <f>$BA761-$BA762</f>
        <v/>
      </c>
      <c r="DO761" s="56">
        <f>$BB761-$BB762</f>
        <v/>
      </c>
      <c r="DP761" s="56">
        <f>$BC761-$BC762</f>
        <v/>
      </c>
      <c r="DQ761" s="56">
        <f>$BD761-$BD762</f>
        <v/>
      </c>
      <c r="DR761" s="56">
        <f>$BE761-$BE762</f>
        <v/>
      </c>
      <c r="DS761" s="56">
        <f>$BF761-$BF762</f>
        <v/>
      </c>
      <c r="DT761" s="56">
        <f>$BG761-$BG762</f>
        <v/>
      </c>
      <c r="DU761" s="56">
        <f>$BH761-$BH762</f>
        <v/>
      </c>
      <c r="DV761" s="56">
        <f>$BI761-$BI762</f>
        <v/>
      </c>
      <c r="DW761" s="56">
        <f>$BJ761-$BJ762</f>
        <v/>
      </c>
      <c r="DX761" s="56">
        <f>$BK761-$BK762</f>
        <v/>
      </c>
      <c r="DY761" s="56">
        <f>$BL761-$BL762</f>
        <v/>
      </c>
      <c r="DZ761" s="56">
        <f>$BM761-$BM762</f>
        <v/>
      </c>
      <c r="EA761" s="56">
        <f>$BN761-$BN762</f>
        <v/>
      </c>
      <c r="EB761" s="56">
        <f>$BO761-$BO762</f>
        <v/>
      </c>
      <c r="EC761" s="56">
        <f>$BP761-$BP762</f>
        <v/>
      </c>
      <c r="ED761" s="56">
        <f>$BQ761-$BQ762</f>
        <v/>
      </c>
      <c r="EE761" s="56">
        <f>$BR761-$BR762</f>
        <v/>
      </c>
      <c r="EF761" s="56">
        <f>$BS761-$BS762</f>
        <v/>
      </c>
      <c r="EG761" s="56">
        <f>$BT761-$BT762</f>
        <v/>
      </c>
      <c r="EH761" s="56">
        <f>$BU761-$BU762</f>
        <v/>
      </c>
    </row>
    <row r="762">
      <c r="BV762" s="56">
        <f>($D762-$D763)*100</f>
        <v/>
      </c>
      <c r="BW762" s="56">
        <f>($C762-$C763)*100</f>
        <v/>
      </c>
      <c r="BX762" s="57">
        <f>IFERROR($I762/$I763-1,"")</f>
        <v/>
      </c>
      <c r="BY762" s="56">
        <f>($AF762-$AF763)*100</f>
        <v/>
      </c>
      <c r="BZ762" s="56">
        <f>($AG762-$AG763)*100</f>
        <v/>
      </c>
      <c r="CA762" s="56">
        <f>($AH762-$AH763)*100</f>
        <v/>
      </c>
      <c r="CB762" s="56">
        <f>($AI762-$AI763)*100</f>
        <v/>
      </c>
      <c r="CC762" s="56">
        <f>($AJ762-$AJ763)*100</f>
        <v/>
      </c>
      <c r="CD762" s="56">
        <f>($AK762-$AK763)*100</f>
        <v/>
      </c>
      <c r="CE762" s="56">
        <f>($AL762-$AL763)*100</f>
        <v/>
      </c>
      <c r="CF762" s="56">
        <f>($AM762-$AM763)*100</f>
        <v/>
      </c>
      <c r="CG762" s="56">
        <f>($AN762-$AN763)*100</f>
        <v/>
      </c>
      <c r="CH762" s="56">
        <f>($AO762-$AO763)*100</f>
        <v/>
      </c>
      <c r="CI762" s="56">
        <f>($AP762-$AP763)*100</f>
        <v/>
      </c>
      <c r="CJ762" s="56">
        <f>($AQ762-$AQ763)*100</f>
        <v/>
      </c>
      <c r="CK762" s="56">
        <f>($AR762-$AR763)*100</f>
        <v/>
      </c>
      <c r="CL762" s="56">
        <f>($AS762-$AS763)*100</f>
        <v/>
      </c>
      <c r="CM762" s="56">
        <f>($AT762-$AT763)*100</f>
        <v/>
      </c>
      <c r="CN762" s="56">
        <f>($AU762-$AU763)*100</f>
        <v/>
      </c>
      <c r="CO762" s="56">
        <f>($AV762-$AV763)*100</f>
        <v/>
      </c>
      <c r="CP762" s="56">
        <f>($AW762-$AW763)*100</f>
        <v/>
      </c>
      <c r="CQ762" s="56">
        <f>($AX762-$AX763)*100</f>
        <v/>
      </c>
      <c r="CR762" s="56">
        <f>($AY762-$AY763)*100</f>
        <v/>
      </c>
      <c r="CS762" s="57">
        <f>IFERROR($L763/$L762-1,"")</f>
        <v/>
      </c>
      <c r="CT762" s="57">
        <f>IFERROR($M763/$M762-1,"")</f>
        <v/>
      </c>
      <c r="CU762" s="57">
        <f>IFERROR($N763/$N762-1,"")</f>
        <v/>
      </c>
      <c r="CV762" s="57">
        <f>IFERROR($O763/$O762-1,"")</f>
        <v/>
      </c>
      <c r="CW762" s="57">
        <f>IFERROR($P763/$P762-1,"")</f>
        <v/>
      </c>
      <c r="CX762" s="57">
        <f>IFERROR($Q763/$Q762-1,"")</f>
        <v/>
      </c>
      <c r="CY762" s="57">
        <f>IFERROR($R763/$R762-1,"")</f>
        <v/>
      </c>
      <c r="CZ762" s="57">
        <f>IFERROR($S763/$S762-1,"")</f>
        <v/>
      </c>
      <c r="DA762" s="57">
        <f>IFERROR($T763/$T762-1,"")</f>
        <v/>
      </c>
      <c r="DB762" s="57">
        <f>IFERROR($U763/$U762-1,"")</f>
        <v/>
      </c>
      <c r="DC762" s="57">
        <f>IFERROR($V763/$V762-1,"")</f>
        <v/>
      </c>
      <c r="DD762" s="57">
        <f>IFERROR($W763/$W762-1,"")</f>
        <v/>
      </c>
      <c r="DE762" s="57">
        <f>IFERROR($X763/$X762-1,"")</f>
        <v/>
      </c>
      <c r="DF762" s="57">
        <f>IFERROR($Y763/$Y762-1,"")</f>
        <v/>
      </c>
      <c r="DG762" s="57">
        <f>IFERROR($Z763/$Z762-1,"")</f>
        <v/>
      </c>
      <c r="DH762" s="57">
        <f>IFERROR($AA763/$AA762-1,"")</f>
        <v/>
      </c>
      <c r="DI762" s="57">
        <f>IFERROR($AB763/$AB762-1,"")</f>
        <v/>
      </c>
      <c r="DJ762" s="57">
        <f>IFERROR($AC763/$AC762-1,"")</f>
        <v/>
      </c>
      <c r="DK762" s="57">
        <f>IFERROR($AD763/$AD762-1,"")</f>
        <v/>
      </c>
      <c r="DL762" s="57">
        <f>IFERROR($AE763/$AE762-1,"")</f>
        <v/>
      </c>
      <c r="DM762" s="56">
        <f>$AZ762-$AZ763</f>
        <v/>
      </c>
      <c r="DN762" s="56">
        <f>$BA762-$BA763</f>
        <v/>
      </c>
      <c r="DO762" s="56">
        <f>$BB762-$BB763</f>
        <v/>
      </c>
      <c r="DP762" s="56">
        <f>$BC762-$BC763</f>
        <v/>
      </c>
      <c r="DQ762" s="56">
        <f>$BD762-$BD763</f>
        <v/>
      </c>
      <c r="DR762" s="56">
        <f>$BE762-$BE763</f>
        <v/>
      </c>
      <c r="DS762" s="56">
        <f>$BF762-$BF763</f>
        <v/>
      </c>
      <c r="DT762" s="56">
        <f>$BG762-$BG763</f>
        <v/>
      </c>
      <c r="DU762" s="56">
        <f>$BH762-$BH763</f>
        <v/>
      </c>
      <c r="DV762" s="56">
        <f>$BI762-$BI763</f>
        <v/>
      </c>
      <c r="DW762" s="56">
        <f>$BJ762-$BJ763</f>
        <v/>
      </c>
      <c r="DX762" s="56">
        <f>$BK762-$BK763</f>
        <v/>
      </c>
      <c r="DY762" s="56">
        <f>$BL762-$BL763</f>
        <v/>
      </c>
      <c r="DZ762" s="56">
        <f>$BM762-$BM763</f>
        <v/>
      </c>
      <c r="EA762" s="56">
        <f>$BN762-$BN763</f>
        <v/>
      </c>
      <c r="EB762" s="56">
        <f>$BO762-$BO763</f>
        <v/>
      </c>
      <c r="EC762" s="56">
        <f>$BP762-$BP763</f>
        <v/>
      </c>
      <c r="ED762" s="56">
        <f>$BQ762-$BQ763</f>
        <v/>
      </c>
      <c r="EE762" s="56">
        <f>$BR762-$BR763</f>
        <v/>
      </c>
      <c r="EF762" s="56">
        <f>$BS762-$BS763</f>
        <v/>
      </c>
      <c r="EG762" s="56">
        <f>$BT762-$BT763</f>
        <v/>
      </c>
      <c r="EH762" s="56">
        <f>$BU762-$BU763</f>
        <v/>
      </c>
    </row>
    <row r="763">
      <c r="BV763" s="56">
        <f>($D763-$D764)*100</f>
        <v/>
      </c>
      <c r="BW763" s="56">
        <f>($C763-$C764)*100</f>
        <v/>
      </c>
      <c r="BX763" s="57">
        <f>IFERROR($I763/$I764-1,"")</f>
        <v/>
      </c>
      <c r="BY763" s="56">
        <f>($AF763-$AF764)*100</f>
        <v/>
      </c>
      <c r="BZ763" s="56">
        <f>($AG763-$AG764)*100</f>
        <v/>
      </c>
      <c r="CA763" s="56">
        <f>($AH763-$AH764)*100</f>
        <v/>
      </c>
      <c r="CB763" s="56">
        <f>($AI763-$AI764)*100</f>
        <v/>
      </c>
      <c r="CC763" s="56">
        <f>($AJ763-$AJ764)*100</f>
        <v/>
      </c>
      <c r="CD763" s="56">
        <f>($AK763-$AK764)*100</f>
        <v/>
      </c>
      <c r="CE763" s="56">
        <f>($AL763-$AL764)*100</f>
        <v/>
      </c>
      <c r="CF763" s="56">
        <f>($AM763-$AM764)*100</f>
        <v/>
      </c>
      <c r="CG763" s="56">
        <f>($AN763-$AN764)*100</f>
        <v/>
      </c>
      <c r="CH763" s="56">
        <f>($AO763-$AO764)*100</f>
        <v/>
      </c>
      <c r="CI763" s="56">
        <f>($AP763-$AP764)*100</f>
        <v/>
      </c>
      <c r="CJ763" s="56">
        <f>($AQ763-$AQ764)*100</f>
        <v/>
      </c>
      <c r="CK763" s="56">
        <f>($AR763-$AR764)*100</f>
        <v/>
      </c>
      <c r="CL763" s="56">
        <f>($AS763-$AS764)*100</f>
        <v/>
      </c>
      <c r="CM763" s="56">
        <f>($AT763-$AT764)*100</f>
        <v/>
      </c>
      <c r="CN763" s="56">
        <f>($AU763-$AU764)*100</f>
        <v/>
      </c>
      <c r="CO763" s="56">
        <f>($AV763-$AV764)*100</f>
        <v/>
      </c>
      <c r="CP763" s="56">
        <f>($AW763-$AW764)*100</f>
        <v/>
      </c>
      <c r="CQ763" s="56">
        <f>($AX763-$AX764)*100</f>
        <v/>
      </c>
      <c r="CR763" s="56">
        <f>($AY763-$AY764)*100</f>
        <v/>
      </c>
      <c r="CS763" s="57">
        <f>IFERROR($L764/$L763-1,"")</f>
        <v/>
      </c>
      <c r="CT763" s="57">
        <f>IFERROR($M764/$M763-1,"")</f>
        <v/>
      </c>
      <c r="CU763" s="57">
        <f>IFERROR($N764/$N763-1,"")</f>
        <v/>
      </c>
      <c r="CV763" s="57">
        <f>IFERROR($O764/$O763-1,"")</f>
        <v/>
      </c>
      <c r="CW763" s="57">
        <f>IFERROR($P764/$P763-1,"")</f>
        <v/>
      </c>
      <c r="CX763" s="57">
        <f>IFERROR($Q764/$Q763-1,"")</f>
        <v/>
      </c>
      <c r="CY763" s="57">
        <f>IFERROR($R764/$R763-1,"")</f>
        <v/>
      </c>
      <c r="CZ763" s="57">
        <f>IFERROR($S764/$S763-1,"")</f>
        <v/>
      </c>
      <c r="DA763" s="57">
        <f>IFERROR($T764/$T763-1,"")</f>
        <v/>
      </c>
      <c r="DB763" s="57">
        <f>IFERROR($U764/$U763-1,"")</f>
        <v/>
      </c>
      <c r="DC763" s="57">
        <f>IFERROR($V764/$V763-1,"")</f>
        <v/>
      </c>
      <c r="DD763" s="57">
        <f>IFERROR($W764/$W763-1,"")</f>
        <v/>
      </c>
      <c r="DE763" s="57">
        <f>IFERROR($X764/$X763-1,"")</f>
        <v/>
      </c>
      <c r="DF763" s="57">
        <f>IFERROR($Y764/$Y763-1,"")</f>
        <v/>
      </c>
      <c r="DG763" s="57">
        <f>IFERROR($Z764/$Z763-1,"")</f>
        <v/>
      </c>
      <c r="DH763" s="57">
        <f>IFERROR($AA764/$AA763-1,"")</f>
        <v/>
      </c>
      <c r="DI763" s="57">
        <f>IFERROR($AB764/$AB763-1,"")</f>
        <v/>
      </c>
      <c r="DJ763" s="57">
        <f>IFERROR($AC764/$AC763-1,"")</f>
        <v/>
      </c>
      <c r="DK763" s="57">
        <f>IFERROR($AD764/$AD763-1,"")</f>
        <v/>
      </c>
      <c r="DL763" s="57">
        <f>IFERROR($AE764/$AE763-1,"")</f>
        <v/>
      </c>
      <c r="DM763" s="56">
        <f>$AZ763-$AZ764</f>
        <v/>
      </c>
      <c r="DN763" s="56">
        <f>$BA763-$BA764</f>
        <v/>
      </c>
      <c r="DO763" s="56">
        <f>$BB763-$BB764</f>
        <v/>
      </c>
      <c r="DP763" s="56">
        <f>$BC763-$BC764</f>
        <v/>
      </c>
      <c r="DQ763" s="56">
        <f>$BD763-$BD764</f>
        <v/>
      </c>
      <c r="DR763" s="56">
        <f>$BE763-$BE764</f>
        <v/>
      </c>
      <c r="DS763" s="56">
        <f>$BF763-$BF764</f>
        <v/>
      </c>
      <c r="DT763" s="56">
        <f>$BG763-$BG764</f>
        <v/>
      </c>
      <c r="DU763" s="56">
        <f>$BH763-$BH764</f>
        <v/>
      </c>
      <c r="DV763" s="56">
        <f>$BI763-$BI764</f>
        <v/>
      </c>
      <c r="DW763" s="56">
        <f>$BJ763-$BJ764</f>
        <v/>
      </c>
      <c r="DX763" s="56">
        <f>$BK763-$BK764</f>
        <v/>
      </c>
      <c r="DY763" s="56">
        <f>$BL763-$BL764</f>
        <v/>
      </c>
      <c r="DZ763" s="56">
        <f>$BM763-$BM764</f>
        <v/>
      </c>
      <c r="EA763" s="56">
        <f>$BN763-$BN764</f>
        <v/>
      </c>
      <c r="EB763" s="56">
        <f>$BO763-$BO764</f>
        <v/>
      </c>
      <c r="EC763" s="56">
        <f>$BP763-$BP764</f>
        <v/>
      </c>
      <c r="ED763" s="56">
        <f>$BQ763-$BQ764</f>
        <v/>
      </c>
      <c r="EE763" s="56">
        <f>$BR763-$BR764</f>
        <v/>
      </c>
      <c r="EF763" s="56">
        <f>$BS763-$BS764</f>
        <v/>
      </c>
      <c r="EG763" s="56">
        <f>$BT763-$BT764</f>
        <v/>
      </c>
      <c r="EH763" s="56">
        <f>$BU763-$BU764</f>
        <v/>
      </c>
    </row>
    <row r="764">
      <c r="BV764" s="56">
        <f>($D764-$D765)*100</f>
        <v/>
      </c>
      <c r="BW764" s="56">
        <f>($C764-$C765)*100</f>
        <v/>
      </c>
      <c r="BX764" s="57">
        <f>IFERROR($I764/$I765-1,"")</f>
        <v/>
      </c>
      <c r="BY764" s="56">
        <f>($AF764-$AF765)*100</f>
        <v/>
      </c>
      <c r="BZ764" s="56">
        <f>($AG764-$AG765)*100</f>
        <v/>
      </c>
      <c r="CA764" s="56">
        <f>($AH764-$AH765)*100</f>
        <v/>
      </c>
      <c r="CB764" s="56">
        <f>($AI764-$AI765)*100</f>
        <v/>
      </c>
      <c r="CC764" s="56">
        <f>($AJ764-$AJ765)*100</f>
        <v/>
      </c>
      <c r="CD764" s="56">
        <f>($AK764-$AK765)*100</f>
        <v/>
      </c>
      <c r="CE764" s="56">
        <f>($AL764-$AL765)*100</f>
        <v/>
      </c>
      <c r="CF764" s="56">
        <f>($AM764-$AM765)*100</f>
        <v/>
      </c>
      <c r="CG764" s="56">
        <f>($AN764-$AN765)*100</f>
        <v/>
      </c>
      <c r="CH764" s="56">
        <f>($AO764-$AO765)*100</f>
        <v/>
      </c>
      <c r="CI764" s="56">
        <f>($AP764-$AP765)*100</f>
        <v/>
      </c>
      <c r="CJ764" s="56">
        <f>($AQ764-$AQ765)*100</f>
        <v/>
      </c>
      <c r="CK764" s="56">
        <f>($AR764-$AR765)*100</f>
        <v/>
      </c>
      <c r="CL764" s="56">
        <f>($AS764-$AS765)*100</f>
        <v/>
      </c>
      <c r="CM764" s="56">
        <f>($AT764-$AT765)*100</f>
        <v/>
      </c>
      <c r="CN764" s="56">
        <f>($AU764-$AU765)*100</f>
        <v/>
      </c>
      <c r="CO764" s="56">
        <f>($AV764-$AV765)*100</f>
        <v/>
      </c>
      <c r="CP764" s="56">
        <f>($AW764-$AW765)*100</f>
        <v/>
      </c>
      <c r="CQ764" s="56">
        <f>($AX764-$AX765)*100</f>
        <v/>
      </c>
      <c r="CR764" s="56">
        <f>($AY764-$AY765)*100</f>
        <v/>
      </c>
      <c r="CS764" s="57">
        <f>IFERROR($L765/$L764-1,"")</f>
        <v/>
      </c>
      <c r="CT764" s="57">
        <f>IFERROR($M765/$M764-1,"")</f>
        <v/>
      </c>
      <c r="CU764" s="57">
        <f>IFERROR($N765/$N764-1,"")</f>
        <v/>
      </c>
      <c r="CV764" s="57">
        <f>IFERROR($O765/$O764-1,"")</f>
        <v/>
      </c>
      <c r="CW764" s="57">
        <f>IFERROR($P765/$P764-1,"")</f>
        <v/>
      </c>
      <c r="CX764" s="57">
        <f>IFERROR($Q765/$Q764-1,"")</f>
        <v/>
      </c>
      <c r="CY764" s="57">
        <f>IFERROR($R765/$R764-1,"")</f>
        <v/>
      </c>
      <c r="CZ764" s="57">
        <f>IFERROR($S765/$S764-1,"")</f>
        <v/>
      </c>
      <c r="DA764" s="57">
        <f>IFERROR($T765/$T764-1,"")</f>
        <v/>
      </c>
      <c r="DB764" s="57">
        <f>IFERROR($U765/$U764-1,"")</f>
        <v/>
      </c>
      <c r="DC764" s="57">
        <f>IFERROR($V765/$V764-1,"")</f>
        <v/>
      </c>
      <c r="DD764" s="57">
        <f>IFERROR($W765/$W764-1,"")</f>
        <v/>
      </c>
      <c r="DE764" s="57">
        <f>IFERROR($X765/$X764-1,"")</f>
        <v/>
      </c>
      <c r="DF764" s="57">
        <f>IFERROR($Y765/$Y764-1,"")</f>
        <v/>
      </c>
      <c r="DG764" s="57">
        <f>IFERROR($Z765/$Z764-1,"")</f>
        <v/>
      </c>
      <c r="DH764" s="57">
        <f>IFERROR($AA765/$AA764-1,"")</f>
        <v/>
      </c>
      <c r="DI764" s="57">
        <f>IFERROR($AB765/$AB764-1,"")</f>
        <v/>
      </c>
      <c r="DJ764" s="57">
        <f>IFERROR($AC765/$AC764-1,"")</f>
        <v/>
      </c>
      <c r="DK764" s="57">
        <f>IFERROR($AD765/$AD764-1,"")</f>
        <v/>
      </c>
      <c r="DL764" s="57">
        <f>IFERROR($AE765/$AE764-1,"")</f>
        <v/>
      </c>
      <c r="DM764" s="56">
        <f>$AZ764-$AZ765</f>
        <v/>
      </c>
      <c r="DN764" s="56">
        <f>$BA764-$BA765</f>
        <v/>
      </c>
      <c r="DO764" s="56">
        <f>$BB764-$BB765</f>
        <v/>
      </c>
      <c r="DP764" s="56">
        <f>$BC764-$BC765</f>
        <v/>
      </c>
      <c r="DQ764" s="56">
        <f>$BD764-$BD765</f>
        <v/>
      </c>
      <c r="DR764" s="56">
        <f>$BE764-$BE765</f>
        <v/>
      </c>
      <c r="DS764" s="56">
        <f>$BF764-$BF765</f>
        <v/>
      </c>
      <c r="DT764" s="56">
        <f>$BG764-$BG765</f>
        <v/>
      </c>
      <c r="DU764" s="56">
        <f>$BH764-$BH765</f>
        <v/>
      </c>
      <c r="DV764" s="56">
        <f>$BI764-$BI765</f>
        <v/>
      </c>
      <c r="DW764" s="56">
        <f>$BJ764-$BJ765</f>
        <v/>
      </c>
      <c r="DX764" s="56">
        <f>$BK764-$BK765</f>
        <v/>
      </c>
      <c r="DY764" s="56">
        <f>$BL764-$BL765</f>
        <v/>
      </c>
      <c r="DZ764" s="56">
        <f>$BM764-$BM765</f>
        <v/>
      </c>
      <c r="EA764" s="56">
        <f>$BN764-$BN765</f>
        <v/>
      </c>
      <c r="EB764" s="56">
        <f>$BO764-$BO765</f>
        <v/>
      </c>
      <c r="EC764" s="56">
        <f>$BP764-$BP765</f>
        <v/>
      </c>
      <c r="ED764" s="56">
        <f>$BQ764-$BQ765</f>
        <v/>
      </c>
      <c r="EE764" s="56">
        <f>$BR764-$BR765</f>
        <v/>
      </c>
      <c r="EF764" s="56">
        <f>$BS764-$BS765</f>
        <v/>
      </c>
      <c r="EG764" s="56">
        <f>$BT764-$BT765</f>
        <v/>
      </c>
      <c r="EH764" s="56">
        <f>$BU764-$BU765</f>
        <v/>
      </c>
    </row>
    <row r="765">
      <c r="BV765" s="56">
        <f>($D765-$D766)*100</f>
        <v/>
      </c>
      <c r="BW765" s="56">
        <f>($C765-$C766)*100</f>
        <v/>
      </c>
      <c r="BX765" s="57">
        <f>IFERROR($I765/$I766-1,"")</f>
        <v/>
      </c>
      <c r="BY765" s="56">
        <f>($AF765-$AF766)*100</f>
        <v/>
      </c>
      <c r="BZ765" s="56">
        <f>($AG765-$AG766)*100</f>
        <v/>
      </c>
      <c r="CA765" s="56">
        <f>($AH765-$AH766)*100</f>
        <v/>
      </c>
      <c r="CB765" s="56">
        <f>($AI765-$AI766)*100</f>
        <v/>
      </c>
      <c r="CC765" s="56">
        <f>($AJ765-$AJ766)*100</f>
        <v/>
      </c>
      <c r="CD765" s="56">
        <f>($AK765-$AK766)*100</f>
        <v/>
      </c>
      <c r="CE765" s="56">
        <f>($AL765-$AL766)*100</f>
        <v/>
      </c>
      <c r="CF765" s="56">
        <f>($AM765-$AM766)*100</f>
        <v/>
      </c>
      <c r="CG765" s="56">
        <f>($AN765-$AN766)*100</f>
        <v/>
      </c>
      <c r="CH765" s="56">
        <f>($AO765-$AO766)*100</f>
        <v/>
      </c>
      <c r="CI765" s="56">
        <f>($AP765-$AP766)*100</f>
        <v/>
      </c>
      <c r="CJ765" s="56">
        <f>($AQ765-$AQ766)*100</f>
        <v/>
      </c>
      <c r="CK765" s="56">
        <f>($AR765-$AR766)*100</f>
        <v/>
      </c>
      <c r="CL765" s="56">
        <f>($AS765-$AS766)*100</f>
        <v/>
      </c>
      <c r="CM765" s="56">
        <f>($AT765-$AT766)*100</f>
        <v/>
      </c>
      <c r="CN765" s="56">
        <f>($AU765-$AU766)*100</f>
        <v/>
      </c>
      <c r="CO765" s="56">
        <f>($AV765-$AV766)*100</f>
        <v/>
      </c>
      <c r="CP765" s="56">
        <f>($AW765-$AW766)*100</f>
        <v/>
      </c>
      <c r="CQ765" s="56">
        <f>($AX765-$AX766)*100</f>
        <v/>
      </c>
      <c r="CR765" s="56">
        <f>($AY765-$AY766)*100</f>
        <v/>
      </c>
      <c r="CS765" s="57">
        <f>IFERROR($L766/$L765-1,"")</f>
        <v/>
      </c>
      <c r="CT765" s="57">
        <f>IFERROR($M766/$M765-1,"")</f>
        <v/>
      </c>
      <c r="CU765" s="57">
        <f>IFERROR($N766/$N765-1,"")</f>
        <v/>
      </c>
      <c r="CV765" s="57">
        <f>IFERROR($O766/$O765-1,"")</f>
        <v/>
      </c>
      <c r="CW765" s="57">
        <f>IFERROR($P766/$P765-1,"")</f>
        <v/>
      </c>
      <c r="CX765" s="57">
        <f>IFERROR($Q766/$Q765-1,"")</f>
        <v/>
      </c>
      <c r="CY765" s="57">
        <f>IFERROR($R766/$R765-1,"")</f>
        <v/>
      </c>
      <c r="CZ765" s="57">
        <f>IFERROR($S766/$S765-1,"")</f>
        <v/>
      </c>
      <c r="DA765" s="57">
        <f>IFERROR($T766/$T765-1,"")</f>
        <v/>
      </c>
      <c r="DB765" s="57">
        <f>IFERROR($U766/$U765-1,"")</f>
        <v/>
      </c>
      <c r="DC765" s="57">
        <f>IFERROR($V766/$V765-1,"")</f>
        <v/>
      </c>
      <c r="DD765" s="57">
        <f>IFERROR($W766/$W765-1,"")</f>
        <v/>
      </c>
      <c r="DE765" s="57">
        <f>IFERROR($X766/$X765-1,"")</f>
        <v/>
      </c>
      <c r="DF765" s="57">
        <f>IFERROR($Y766/$Y765-1,"")</f>
        <v/>
      </c>
      <c r="DG765" s="57">
        <f>IFERROR($Z766/$Z765-1,"")</f>
        <v/>
      </c>
      <c r="DH765" s="57">
        <f>IFERROR($AA766/$AA765-1,"")</f>
        <v/>
      </c>
      <c r="DI765" s="57">
        <f>IFERROR($AB766/$AB765-1,"")</f>
        <v/>
      </c>
      <c r="DJ765" s="57">
        <f>IFERROR($AC766/$AC765-1,"")</f>
        <v/>
      </c>
      <c r="DK765" s="57">
        <f>IFERROR($AD766/$AD765-1,"")</f>
        <v/>
      </c>
      <c r="DL765" s="57">
        <f>IFERROR($AE766/$AE765-1,"")</f>
        <v/>
      </c>
      <c r="DM765" s="56">
        <f>$AZ765-$AZ766</f>
        <v/>
      </c>
      <c r="DN765" s="56">
        <f>$BA765-$BA766</f>
        <v/>
      </c>
      <c r="DO765" s="56">
        <f>$BB765-$BB766</f>
        <v/>
      </c>
      <c r="DP765" s="56">
        <f>$BC765-$BC766</f>
        <v/>
      </c>
      <c r="DQ765" s="56">
        <f>$BD765-$BD766</f>
        <v/>
      </c>
      <c r="DR765" s="56">
        <f>$BE765-$BE766</f>
        <v/>
      </c>
      <c r="DS765" s="56">
        <f>$BF765-$BF766</f>
        <v/>
      </c>
      <c r="DT765" s="56">
        <f>$BG765-$BG766</f>
        <v/>
      </c>
      <c r="DU765" s="56">
        <f>$BH765-$BH766</f>
        <v/>
      </c>
      <c r="DV765" s="56">
        <f>$BI765-$BI766</f>
        <v/>
      </c>
      <c r="DW765" s="56">
        <f>$BJ765-$BJ766</f>
        <v/>
      </c>
      <c r="DX765" s="56">
        <f>$BK765-$BK766</f>
        <v/>
      </c>
      <c r="DY765" s="56">
        <f>$BL765-$BL766</f>
        <v/>
      </c>
      <c r="DZ765" s="56">
        <f>$BM765-$BM766</f>
        <v/>
      </c>
      <c r="EA765" s="56">
        <f>$BN765-$BN766</f>
        <v/>
      </c>
      <c r="EB765" s="56">
        <f>$BO765-$BO766</f>
        <v/>
      </c>
      <c r="EC765" s="56">
        <f>$BP765-$BP766</f>
        <v/>
      </c>
      <c r="ED765" s="56">
        <f>$BQ765-$BQ766</f>
        <v/>
      </c>
      <c r="EE765" s="56">
        <f>$BR765-$BR766</f>
        <v/>
      </c>
      <c r="EF765" s="56">
        <f>$BS765-$BS766</f>
        <v/>
      </c>
      <c r="EG765" s="56">
        <f>$BT765-$BT766</f>
        <v/>
      </c>
      <c r="EH765" s="56">
        <f>$BU765-$BU766</f>
        <v/>
      </c>
    </row>
    <row r="766">
      <c r="BV766" s="56">
        <f>($D766-$D767)*100</f>
        <v/>
      </c>
      <c r="BW766" s="56">
        <f>($C766-$C767)*100</f>
        <v/>
      </c>
      <c r="BX766" s="57">
        <f>IFERROR($I766/$I767-1,"")</f>
        <v/>
      </c>
      <c r="BY766" s="56">
        <f>($AF766-$AF767)*100</f>
        <v/>
      </c>
      <c r="BZ766" s="56">
        <f>($AG766-$AG767)*100</f>
        <v/>
      </c>
      <c r="CA766" s="56">
        <f>($AH766-$AH767)*100</f>
        <v/>
      </c>
      <c r="CB766" s="56">
        <f>($AI766-$AI767)*100</f>
        <v/>
      </c>
      <c r="CC766" s="56">
        <f>($AJ766-$AJ767)*100</f>
        <v/>
      </c>
      <c r="CD766" s="56">
        <f>($AK766-$AK767)*100</f>
        <v/>
      </c>
      <c r="CE766" s="56">
        <f>($AL766-$AL767)*100</f>
        <v/>
      </c>
      <c r="CF766" s="56">
        <f>($AM766-$AM767)*100</f>
        <v/>
      </c>
      <c r="CG766" s="56">
        <f>($AN766-$AN767)*100</f>
        <v/>
      </c>
      <c r="CH766" s="56">
        <f>($AO766-$AO767)*100</f>
        <v/>
      </c>
      <c r="CI766" s="56">
        <f>($AP766-$AP767)*100</f>
        <v/>
      </c>
      <c r="CJ766" s="56">
        <f>($AQ766-$AQ767)*100</f>
        <v/>
      </c>
      <c r="CK766" s="56">
        <f>($AR766-$AR767)*100</f>
        <v/>
      </c>
      <c r="CL766" s="56">
        <f>($AS766-$AS767)*100</f>
        <v/>
      </c>
      <c r="CM766" s="56">
        <f>($AT766-$AT767)*100</f>
        <v/>
      </c>
      <c r="CN766" s="56">
        <f>($AU766-$AU767)*100</f>
        <v/>
      </c>
      <c r="CO766" s="56">
        <f>($AV766-$AV767)*100</f>
        <v/>
      </c>
      <c r="CP766" s="56">
        <f>($AW766-$AW767)*100</f>
        <v/>
      </c>
      <c r="CQ766" s="56">
        <f>($AX766-$AX767)*100</f>
        <v/>
      </c>
      <c r="CR766" s="56">
        <f>($AY766-$AY767)*100</f>
        <v/>
      </c>
      <c r="CS766" s="57">
        <f>IFERROR($L767/$L766-1,"")</f>
        <v/>
      </c>
      <c r="CT766" s="57">
        <f>IFERROR($M767/$M766-1,"")</f>
        <v/>
      </c>
      <c r="CU766" s="57">
        <f>IFERROR($N767/$N766-1,"")</f>
        <v/>
      </c>
      <c r="CV766" s="57">
        <f>IFERROR($O767/$O766-1,"")</f>
        <v/>
      </c>
      <c r="CW766" s="57">
        <f>IFERROR($P767/$P766-1,"")</f>
        <v/>
      </c>
      <c r="CX766" s="57">
        <f>IFERROR($Q767/$Q766-1,"")</f>
        <v/>
      </c>
      <c r="CY766" s="57">
        <f>IFERROR($R767/$R766-1,"")</f>
        <v/>
      </c>
      <c r="CZ766" s="57">
        <f>IFERROR($S767/$S766-1,"")</f>
        <v/>
      </c>
      <c r="DA766" s="57">
        <f>IFERROR($T767/$T766-1,"")</f>
        <v/>
      </c>
      <c r="DB766" s="57">
        <f>IFERROR($U767/$U766-1,"")</f>
        <v/>
      </c>
      <c r="DC766" s="57">
        <f>IFERROR($V767/$V766-1,"")</f>
        <v/>
      </c>
      <c r="DD766" s="57">
        <f>IFERROR($W767/$W766-1,"")</f>
        <v/>
      </c>
      <c r="DE766" s="57">
        <f>IFERROR($X767/$X766-1,"")</f>
        <v/>
      </c>
      <c r="DF766" s="57">
        <f>IFERROR($Y767/$Y766-1,"")</f>
        <v/>
      </c>
      <c r="DG766" s="57">
        <f>IFERROR($Z767/$Z766-1,"")</f>
        <v/>
      </c>
      <c r="DH766" s="57">
        <f>IFERROR($AA767/$AA766-1,"")</f>
        <v/>
      </c>
      <c r="DI766" s="57">
        <f>IFERROR($AB767/$AB766-1,"")</f>
        <v/>
      </c>
      <c r="DJ766" s="57">
        <f>IFERROR($AC767/$AC766-1,"")</f>
        <v/>
      </c>
      <c r="DK766" s="57">
        <f>IFERROR($AD767/$AD766-1,"")</f>
        <v/>
      </c>
      <c r="DL766" s="57">
        <f>IFERROR($AE767/$AE766-1,"")</f>
        <v/>
      </c>
      <c r="DM766" s="56">
        <f>$AZ766-$AZ767</f>
        <v/>
      </c>
      <c r="DN766" s="56">
        <f>$BA766-$BA767</f>
        <v/>
      </c>
      <c r="DO766" s="56">
        <f>$BB766-$BB767</f>
        <v/>
      </c>
      <c r="DP766" s="56">
        <f>$BC766-$BC767</f>
        <v/>
      </c>
      <c r="DQ766" s="56">
        <f>$BD766-$BD767</f>
        <v/>
      </c>
      <c r="DR766" s="56">
        <f>$BE766-$BE767</f>
        <v/>
      </c>
      <c r="DS766" s="56">
        <f>$BF766-$BF767</f>
        <v/>
      </c>
      <c r="DT766" s="56">
        <f>$BG766-$BG767</f>
        <v/>
      </c>
      <c r="DU766" s="56">
        <f>$BH766-$BH767</f>
        <v/>
      </c>
      <c r="DV766" s="56">
        <f>$BI766-$BI767</f>
        <v/>
      </c>
      <c r="DW766" s="56">
        <f>$BJ766-$BJ767</f>
        <v/>
      </c>
      <c r="DX766" s="56">
        <f>$BK766-$BK767</f>
        <v/>
      </c>
      <c r="DY766" s="56">
        <f>$BL766-$BL767</f>
        <v/>
      </c>
      <c r="DZ766" s="56">
        <f>$BM766-$BM767</f>
        <v/>
      </c>
      <c r="EA766" s="56">
        <f>$BN766-$BN767</f>
        <v/>
      </c>
      <c r="EB766" s="56">
        <f>$BO766-$BO767</f>
        <v/>
      </c>
      <c r="EC766" s="56">
        <f>$BP766-$BP767</f>
        <v/>
      </c>
      <c r="ED766" s="56">
        <f>$BQ766-$BQ767</f>
        <v/>
      </c>
      <c r="EE766" s="56">
        <f>$BR766-$BR767</f>
        <v/>
      </c>
      <c r="EF766" s="56">
        <f>$BS766-$BS767</f>
        <v/>
      </c>
      <c r="EG766" s="56">
        <f>$BT766-$BT767</f>
        <v/>
      </c>
      <c r="EH766" s="56">
        <f>$BU766-$BU767</f>
        <v/>
      </c>
    </row>
    <row r="767">
      <c r="BV767" s="56">
        <f>($D767-$D768)*100</f>
        <v/>
      </c>
      <c r="BW767" s="56">
        <f>($C767-$C768)*100</f>
        <v/>
      </c>
      <c r="BX767" s="57">
        <f>IFERROR($I767/$I768-1,"")</f>
        <v/>
      </c>
      <c r="BY767" s="56">
        <f>($AF767-$AF768)*100</f>
        <v/>
      </c>
      <c r="BZ767" s="56">
        <f>($AG767-$AG768)*100</f>
        <v/>
      </c>
      <c r="CA767" s="56">
        <f>($AH767-$AH768)*100</f>
        <v/>
      </c>
      <c r="CB767" s="56">
        <f>($AI767-$AI768)*100</f>
        <v/>
      </c>
      <c r="CC767" s="56">
        <f>($AJ767-$AJ768)*100</f>
        <v/>
      </c>
      <c r="CD767" s="56">
        <f>($AK767-$AK768)*100</f>
        <v/>
      </c>
      <c r="CE767" s="56">
        <f>($AL767-$AL768)*100</f>
        <v/>
      </c>
      <c r="CF767" s="56">
        <f>($AM767-$AM768)*100</f>
        <v/>
      </c>
      <c r="CG767" s="56">
        <f>($AN767-$AN768)*100</f>
        <v/>
      </c>
      <c r="CH767" s="56">
        <f>($AO767-$AO768)*100</f>
        <v/>
      </c>
      <c r="CI767" s="56">
        <f>($AP767-$AP768)*100</f>
        <v/>
      </c>
      <c r="CJ767" s="56">
        <f>($AQ767-$AQ768)*100</f>
        <v/>
      </c>
      <c r="CK767" s="56">
        <f>($AR767-$AR768)*100</f>
        <v/>
      </c>
      <c r="CL767" s="56">
        <f>($AS767-$AS768)*100</f>
        <v/>
      </c>
      <c r="CM767" s="56">
        <f>($AT767-$AT768)*100</f>
        <v/>
      </c>
      <c r="CN767" s="56">
        <f>($AU767-$AU768)*100</f>
        <v/>
      </c>
      <c r="CO767" s="56">
        <f>($AV767-$AV768)*100</f>
        <v/>
      </c>
      <c r="CP767" s="56">
        <f>($AW767-$AW768)*100</f>
        <v/>
      </c>
      <c r="CQ767" s="56">
        <f>($AX767-$AX768)*100</f>
        <v/>
      </c>
      <c r="CR767" s="56">
        <f>($AY767-$AY768)*100</f>
        <v/>
      </c>
      <c r="CS767" s="57">
        <f>IFERROR($L768/$L767-1,"")</f>
        <v/>
      </c>
      <c r="CT767" s="57">
        <f>IFERROR($M768/$M767-1,"")</f>
        <v/>
      </c>
      <c r="CU767" s="57">
        <f>IFERROR($N768/$N767-1,"")</f>
        <v/>
      </c>
      <c r="CV767" s="57">
        <f>IFERROR($O768/$O767-1,"")</f>
        <v/>
      </c>
      <c r="CW767" s="57">
        <f>IFERROR($P768/$P767-1,"")</f>
        <v/>
      </c>
      <c r="CX767" s="57">
        <f>IFERROR($Q768/$Q767-1,"")</f>
        <v/>
      </c>
      <c r="CY767" s="57">
        <f>IFERROR($R768/$R767-1,"")</f>
        <v/>
      </c>
      <c r="CZ767" s="57">
        <f>IFERROR($S768/$S767-1,"")</f>
        <v/>
      </c>
      <c r="DA767" s="57">
        <f>IFERROR($T768/$T767-1,"")</f>
        <v/>
      </c>
      <c r="DB767" s="57">
        <f>IFERROR($U768/$U767-1,"")</f>
        <v/>
      </c>
      <c r="DC767" s="57">
        <f>IFERROR($V768/$V767-1,"")</f>
        <v/>
      </c>
      <c r="DD767" s="57">
        <f>IFERROR($W768/$W767-1,"")</f>
        <v/>
      </c>
      <c r="DE767" s="57">
        <f>IFERROR($X768/$X767-1,"")</f>
        <v/>
      </c>
      <c r="DF767" s="57">
        <f>IFERROR($Y768/$Y767-1,"")</f>
        <v/>
      </c>
      <c r="DG767" s="57">
        <f>IFERROR($Z768/$Z767-1,"")</f>
        <v/>
      </c>
      <c r="DH767" s="57">
        <f>IFERROR($AA768/$AA767-1,"")</f>
        <v/>
      </c>
      <c r="DI767" s="57">
        <f>IFERROR($AB768/$AB767-1,"")</f>
        <v/>
      </c>
      <c r="DJ767" s="57">
        <f>IFERROR($AC768/$AC767-1,"")</f>
        <v/>
      </c>
      <c r="DK767" s="57">
        <f>IFERROR($AD768/$AD767-1,"")</f>
        <v/>
      </c>
      <c r="DL767" s="57">
        <f>IFERROR($AE768/$AE767-1,"")</f>
        <v/>
      </c>
      <c r="DM767" s="56">
        <f>$AZ767-$AZ768</f>
        <v/>
      </c>
      <c r="DN767" s="56">
        <f>$BA767-$BA768</f>
        <v/>
      </c>
      <c r="DO767" s="56">
        <f>$BB767-$BB768</f>
        <v/>
      </c>
      <c r="DP767" s="56">
        <f>$BC767-$BC768</f>
        <v/>
      </c>
      <c r="DQ767" s="56">
        <f>$BD767-$BD768</f>
        <v/>
      </c>
      <c r="DR767" s="56">
        <f>$BE767-$BE768</f>
        <v/>
      </c>
      <c r="DS767" s="56">
        <f>$BF767-$BF768</f>
        <v/>
      </c>
      <c r="DT767" s="56">
        <f>$BG767-$BG768</f>
        <v/>
      </c>
      <c r="DU767" s="56">
        <f>$BH767-$BH768</f>
        <v/>
      </c>
      <c r="DV767" s="56">
        <f>$BI767-$BI768</f>
        <v/>
      </c>
      <c r="DW767" s="56">
        <f>$BJ767-$BJ768</f>
        <v/>
      </c>
      <c r="DX767" s="56">
        <f>$BK767-$BK768</f>
        <v/>
      </c>
      <c r="DY767" s="56">
        <f>$BL767-$BL768</f>
        <v/>
      </c>
      <c r="DZ767" s="56">
        <f>$BM767-$BM768</f>
        <v/>
      </c>
      <c r="EA767" s="56">
        <f>$BN767-$BN768</f>
        <v/>
      </c>
      <c r="EB767" s="56">
        <f>$BO767-$BO768</f>
        <v/>
      </c>
      <c r="EC767" s="56">
        <f>$BP767-$BP768</f>
        <v/>
      </c>
      <c r="ED767" s="56">
        <f>$BQ767-$BQ768</f>
        <v/>
      </c>
      <c r="EE767" s="56">
        <f>$BR767-$BR768</f>
        <v/>
      </c>
      <c r="EF767" s="56">
        <f>$BS767-$BS768</f>
        <v/>
      </c>
      <c r="EG767" s="56">
        <f>$BT767-$BT768</f>
        <v/>
      </c>
      <c r="EH767" s="56">
        <f>$BU767-$BU768</f>
        <v/>
      </c>
    </row>
    <row r="768">
      <c r="BV768" s="56">
        <f>($D768-$D769)*100</f>
        <v/>
      </c>
      <c r="BW768" s="56">
        <f>($C768-$C769)*100</f>
        <v/>
      </c>
      <c r="BX768" s="57">
        <f>IFERROR($I768/$I769-1,"")</f>
        <v/>
      </c>
      <c r="BY768" s="56">
        <f>($AF768-$AF769)*100</f>
        <v/>
      </c>
      <c r="BZ768" s="56">
        <f>($AG768-$AG769)*100</f>
        <v/>
      </c>
      <c r="CA768" s="56">
        <f>($AH768-$AH769)*100</f>
        <v/>
      </c>
      <c r="CB768" s="56">
        <f>($AI768-$AI769)*100</f>
        <v/>
      </c>
      <c r="CC768" s="56">
        <f>($AJ768-$AJ769)*100</f>
        <v/>
      </c>
      <c r="CD768" s="56">
        <f>($AK768-$AK769)*100</f>
        <v/>
      </c>
      <c r="CE768" s="56">
        <f>($AL768-$AL769)*100</f>
        <v/>
      </c>
      <c r="CF768" s="56">
        <f>($AM768-$AM769)*100</f>
        <v/>
      </c>
      <c r="CG768" s="56">
        <f>($AN768-$AN769)*100</f>
        <v/>
      </c>
      <c r="CH768" s="56">
        <f>($AO768-$AO769)*100</f>
        <v/>
      </c>
      <c r="CI768" s="56">
        <f>($AP768-$AP769)*100</f>
        <v/>
      </c>
      <c r="CJ768" s="56">
        <f>($AQ768-$AQ769)*100</f>
        <v/>
      </c>
      <c r="CK768" s="56">
        <f>($AR768-$AR769)*100</f>
        <v/>
      </c>
      <c r="CL768" s="56">
        <f>($AS768-$AS769)*100</f>
        <v/>
      </c>
      <c r="CM768" s="56">
        <f>($AT768-$AT769)*100</f>
        <v/>
      </c>
      <c r="CN768" s="56">
        <f>($AU768-$AU769)*100</f>
        <v/>
      </c>
      <c r="CO768" s="56">
        <f>($AV768-$AV769)*100</f>
        <v/>
      </c>
      <c r="CP768" s="56">
        <f>($AW768-$AW769)*100</f>
        <v/>
      </c>
      <c r="CQ768" s="56">
        <f>($AX768-$AX769)*100</f>
        <v/>
      </c>
      <c r="CR768" s="56">
        <f>($AY768-$AY769)*100</f>
        <v/>
      </c>
      <c r="CS768" s="57">
        <f>IFERROR($L769/$L768-1,"")</f>
        <v/>
      </c>
      <c r="CT768" s="57">
        <f>IFERROR($M769/$M768-1,"")</f>
        <v/>
      </c>
      <c r="CU768" s="57">
        <f>IFERROR($N769/$N768-1,"")</f>
        <v/>
      </c>
      <c r="CV768" s="57">
        <f>IFERROR($O769/$O768-1,"")</f>
        <v/>
      </c>
      <c r="CW768" s="57">
        <f>IFERROR($P769/$P768-1,"")</f>
        <v/>
      </c>
      <c r="CX768" s="57">
        <f>IFERROR($Q769/$Q768-1,"")</f>
        <v/>
      </c>
      <c r="CY768" s="57">
        <f>IFERROR($R769/$R768-1,"")</f>
        <v/>
      </c>
      <c r="CZ768" s="57">
        <f>IFERROR($S769/$S768-1,"")</f>
        <v/>
      </c>
      <c r="DA768" s="57">
        <f>IFERROR($T769/$T768-1,"")</f>
        <v/>
      </c>
      <c r="DB768" s="57">
        <f>IFERROR($U769/$U768-1,"")</f>
        <v/>
      </c>
      <c r="DC768" s="57">
        <f>IFERROR($V769/$V768-1,"")</f>
        <v/>
      </c>
      <c r="DD768" s="57">
        <f>IFERROR($W769/$W768-1,"")</f>
        <v/>
      </c>
      <c r="DE768" s="57">
        <f>IFERROR($X769/$X768-1,"")</f>
        <v/>
      </c>
      <c r="DF768" s="57">
        <f>IFERROR($Y769/$Y768-1,"")</f>
        <v/>
      </c>
      <c r="DG768" s="57">
        <f>IFERROR($Z769/$Z768-1,"")</f>
        <v/>
      </c>
      <c r="DH768" s="57">
        <f>IFERROR($AA769/$AA768-1,"")</f>
        <v/>
      </c>
      <c r="DI768" s="57">
        <f>IFERROR($AB769/$AB768-1,"")</f>
        <v/>
      </c>
      <c r="DJ768" s="57">
        <f>IFERROR($AC769/$AC768-1,"")</f>
        <v/>
      </c>
      <c r="DK768" s="57">
        <f>IFERROR($AD769/$AD768-1,"")</f>
        <v/>
      </c>
      <c r="DL768" s="57">
        <f>IFERROR($AE769/$AE768-1,"")</f>
        <v/>
      </c>
      <c r="DM768" s="56">
        <f>$AZ768-$AZ769</f>
        <v/>
      </c>
      <c r="DN768" s="56">
        <f>$BA768-$BA769</f>
        <v/>
      </c>
      <c r="DO768" s="56">
        <f>$BB768-$BB769</f>
        <v/>
      </c>
      <c r="DP768" s="56">
        <f>$BC768-$BC769</f>
        <v/>
      </c>
      <c r="DQ768" s="56">
        <f>$BD768-$BD769</f>
        <v/>
      </c>
      <c r="DR768" s="56">
        <f>$BE768-$BE769</f>
        <v/>
      </c>
      <c r="DS768" s="56">
        <f>$BF768-$BF769</f>
        <v/>
      </c>
      <c r="DT768" s="56">
        <f>$BG768-$BG769</f>
        <v/>
      </c>
      <c r="DU768" s="56">
        <f>$BH768-$BH769</f>
        <v/>
      </c>
      <c r="DV768" s="56">
        <f>$BI768-$BI769</f>
        <v/>
      </c>
      <c r="DW768" s="56">
        <f>$BJ768-$BJ769</f>
        <v/>
      </c>
      <c r="DX768" s="56">
        <f>$BK768-$BK769</f>
        <v/>
      </c>
      <c r="DY768" s="56">
        <f>$BL768-$BL769</f>
        <v/>
      </c>
      <c r="DZ768" s="56">
        <f>$BM768-$BM769</f>
        <v/>
      </c>
      <c r="EA768" s="56">
        <f>$BN768-$BN769</f>
        <v/>
      </c>
      <c r="EB768" s="56">
        <f>$BO768-$BO769</f>
        <v/>
      </c>
      <c r="EC768" s="56">
        <f>$BP768-$BP769</f>
        <v/>
      </c>
      <c r="ED768" s="56">
        <f>$BQ768-$BQ769</f>
        <v/>
      </c>
      <c r="EE768" s="56">
        <f>$BR768-$BR769</f>
        <v/>
      </c>
      <c r="EF768" s="56">
        <f>$BS768-$BS769</f>
        <v/>
      </c>
      <c r="EG768" s="56">
        <f>$BT768-$BT769</f>
        <v/>
      </c>
      <c r="EH768" s="56">
        <f>$BU768-$BU769</f>
        <v/>
      </c>
    </row>
    <row r="769">
      <c r="BV769" s="56">
        <f>($D769-$D770)*100</f>
        <v/>
      </c>
      <c r="BW769" s="56">
        <f>($C769-$C770)*100</f>
        <v/>
      </c>
      <c r="BX769" s="57">
        <f>IFERROR($I769/$I770-1,"")</f>
        <v/>
      </c>
      <c r="BY769" s="56">
        <f>($AF769-$AF770)*100</f>
        <v/>
      </c>
      <c r="BZ769" s="56">
        <f>($AG769-$AG770)*100</f>
        <v/>
      </c>
      <c r="CA769" s="56">
        <f>($AH769-$AH770)*100</f>
        <v/>
      </c>
      <c r="CB769" s="56">
        <f>($AI769-$AI770)*100</f>
        <v/>
      </c>
      <c r="CC769" s="56">
        <f>($AJ769-$AJ770)*100</f>
        <v/>
      </c>
      <c r="CD769" s="56">
        <f>($AK769-$AK770)*100</f>
        <v/>
      </c>
      <c r="CE769" s="56">
        <f>($AL769-$AL770)*100</f>
        <v/>
      </c>
      <c r="CF769" s="56">
        <f>($AM769-$AM770)*100</f>
        <v/>
      </c>
      <c r="CG769" s="56">
        <f>($AN769-$AN770)*100</f>
        <v/>
      </c>
      <c r="CH769" s="56">
        <f>($AO769-$AO770)*100</f>
        <v/>
      </c>
      <c r="CI769" s="56">
        <f>($AP769-$AP770)*100</f>
        <v/>
      </c>
      <c r="CJ769" s="56">
        <f>($AQ769-$AQ770)*100</f>
        <v/>
      </c>
      <c r="CK769" s="56">
        <f>($AR769-$AR770)*100</f>
        <v/>
      </c>
      <c r="CL769" s="56">
        <f>($AS769-$AS770)*100</f>
        <v/>
      </c>
      <c r="CM769" s="56">
        <f>($AT769-$AT770)*100</f>
        <v/>
      </c>
      <c r="CN769" s="56">
        <f>($AU769-$AU770)*100</f>
        <v/>
      </c>
      <c r="CO769" s="56">
        <f>($AV769-$AV770)*100</f>
        <v/>
      </c>
      <c r="CP769" s="56">
        <f>($AW769-$AW770)*100</f>
        <v/>
      </c>
      <c r="CQ769" s="56">
        <f>($AX769-$AX770)*100</f>
        <v/>
      </c>
      <c r="CR769" s="56">
        <f>($AY769-$AY770)*100</f>
        <v/>
      </c>
      <c r="CS769" s="57">
        <f>IFERROR($L770/$L769-1,"")</f>
        <v/>
      </c>
      <c r="CT769" s="57">
        <f>IFERROR($M770/$M769-1,"")</f>
        <v/>
      </c>
      <c r="CU769" s="57">
        <f>IFERROR($N770/$N769-1,"")</f>
        <v/>
      </c>
      <c r="CV769" s="57">
        <f>IFERROR($O770/$O769-1,"")</f>
        <v/>
      </c>
      <c r="CW769" s="57">
        <f>IFERROR($P770/$P769-1,"")</f>
        <v/>
      </c>
      <c r="CX769" s="57">
        <f>IFERROR($Q770/$Q769-1,"")</f>
        <v/>
      </c>
      <c r="CY769" s="57">
        <f>IFERROR($R770/$R769-1,"")</f>
        <v/>
      </c>
      <c r="CZ769" s="57">
        <f>IFERROR($S770/$S769-1,"")</f>
        <v/>
      </c>
      <c r="DA769" s="57">
        <f>IFERROR($T770/$T769-1,"")</f>
        <v/>
      </c>
      <c r="DB769" s="57">
        <f>IFERROR($U770/$U769-1,"")</f>
        <v/>
      </c>
      <c r="DC769" s="57">
        <f>IFERROR($V770/$V769-1,"")</f>
        <v/>
      </c>
      <c r="DD769" s="57">
        <f>IFERROR($W770/$W769-1,"")</f>
        <v/>
      </c>
      <c r="DE769" s="57">
        <f>IFERROR($X770/$X769-1,"")</f>
        <v/>
      </c>
      <c r="DF769" s="57">
        <f>IFERROR($Y770/$Y769-1,"")</f>
        <v/>
      </c>
      <c r="DG769" s="57">
        <f>IFERROR($Z770/$Z769-1,"")</f>
        <v/>
      </c>
      <c r="DH769" s="57">
        <f>IFERROR($AA770/$AA769-1,"")</f>
        <v/>
      </c>
      <c r="DI769" s="57">
        <f>IFERROR($AB770/$AB769-1,"")</f>
        <v/>
      </c>
      <c r="DJ769" s="57">
        <f>IFERROR($AC770/$AC769-1,"")</f>
        <v/>
      </c>
      <c r="DK769" s="57">
        <f>IFERROR($AD770/$AD769-1,"")</f>
        <v/>
      </c>
      <c r="DL769" s="57">
        <f>IFERROR($AE770/$AE769-1,"")</f>
        <v/>
      </c>
      <c r="DM769" s="56">
        <f>$AZ769-$AZ770</f>
        <v/>
      </c>
      <c r="DN769" s="56">
        <f>$BA769-$BA770</f>
        <v/>
      </c>
      <c r="DO769" s="56">
        <f>$BB769-$BB770</f>
        <v/>
      </c>
      <c r="DP769" s="56">
        <f>$BC769-$BC770</f>
        <v/>
      </c>
      <c r="DQ769" s="56">
        <f>$BD769-$BD770</f>
        <v/>
      </c>
      <c r="DR769" s="56">
        <f>$BE769-$BE770</f>
        <v/>
      </c>
      <c r="DS769" s="56">
        <f>$BF769-$BF770</f>
        <v/>
      </c>
      <c r="DT769" s="56">
        <f>$BG769-$BG770</f>
        <v/>
      </c>
      <c r="DU769" s="56">
        <f>$BH769-$BH770</f>
        <v/>
      </c>
      <c r="DV769" s="56">
        <f>$BI769-$BI770</f>
        <v/>
      </c>
      <c r="DW769" s="56">
        <f>$BJ769-$BJ770</f>
        <v/>
      </c>
      <c r="DX769" s="56">
        <f>$BK769-$BK770</f>
        <v/>
      </c>
      <c r="DY769" s="56">
        <f>$BL769-$BL770</f>
        <v/>
      </c>
      <c r="DZ769" s="56">
        <f>$BM769-$BM770</f>
        <v/>
      </c>
      <c r="EA769" s="56">
        <f>$BN769-$BN770</f>
        <v/>
      </c>
      <c r="EB769" s="56">
        <f>$BO769-$BO770</f>
        <v/>
      </c>
      <c r="EC769" s="56">
        <f>$BP769-$BP770</f>
        <v/>
      </c>
      <c r="ED769" s="56">
        <f>$BQ769-$BQ770</f>
        <v/>
      </c>
      <c r="EE769" s="56">
        <f>$BR769-$BR770</f>
        <v/>
      </c>
      <c r="EF769" s="56">
        <f>$BS769-$BS770</f>
        <v/>
      </c>
      <c r="EG769" s="56">
        <f>$BT769-$BT770</f>
        <v/>
      </c>
      <c r="EH769" s="56">
        <f>$BU769-$BU770</f>
        <v/>
      </c>
    </row>
    <row r="770">
      <c r="BV770" s="56">
        <f>($D770-$D771)*100</f>
        <v/>
      </c>
      <c r="BW770" s="56">
        <f>($C770-$C771)*100</f>
        <v/>
      </c>
      <c r="BX770" s="57">
        <f>IFERROR($I770/$I771-1,"")</f>
        <v/>
      </c>
      <c r="BY770" s="56">
        <f>($AF770-$AF771)*100</f>
        <v/>
      </c>
      <c r="BZ770" s="56">
        <f>($AG770-$AG771)*100</f>
        <v/>
      </c>
      <c r="CA770" s="56">
        <f>($AH770-$AH771)*100</f>
        <v/>
      </c>
      <c r="CB770" s="56">
        <f>($AI770-$AI771)*100</f>
        <v/>
      </c>
      <c r="CC770" s="56">
        <f>($AJ770-$AJ771)*100</f>
        <v/>
      </c>
      <c r="CD770" s="56">
        <f>($AK770-$AK771)*100</f>
        <v/>
      </c>
      <c r="CE770" s="56">
        <f>($AL770-$AL771)*100</f>
        <v/>
      </c>
      <c r="CF770" s="56">
        <f>($AM770-$AM771)*100</f>
        <v/>
      </c>
      <c r="CG770" s="56">
        <f>($AN770-$AN771)*100</f>
        <v/>
      </c>
      <c r="CH770" s="56">
        <f>($AO770-$AO771)*100</f>
        <v/>
      </c>
      <c r="CI770" s="56">
        <f>($AP770-$AP771)*100</f>
        <v/>
      </c>
      <c r="CJ770" s="56">
        <f>($AQ770-$AQ771)*100</f>
        <v/>
      </c>
      <c r="CK770" s="56">
        <f>($AR770-$AR771)*100</f>
        <v/>
      </c>
      <c r="CL770" s="56">
        <f>($AS770-$AS771)*100</f>
        <v/>
      </c>
      <c r="CM770" s="56">
        <f>($AT770-$AT771)*100</f>
        <v/>
      </c>
      <c r="CN770" s="56">
        <f>($AU770-$AU771)*100</f>
        <v/>
      </c>
      <c r="CO770" s="56">
        <f>($AV770-$AV771)*100</f>
        <v/>
      </c>
      <c r="CP770" s="56">
        <f>($AW770-$AW771)*100</f>
        <v/>
      </c>
      <c r="CQ770" s="56">
        <f>($AX770-$AX771)*100</f>
        <v/>
      </c>
      <c r="CR770" s="56">
        <f>($AY770-$AY771)*100</f>
        <v/>
      </c>
      <c r="CS770" s="57">
        <f>IFERROR($L771/$L770-1,"")</f>
        <v/>
      </c>
      <c r="CT770" s="57">
        <f>IFERROR($M771/$M770-1,"")</f>
        <v/>
      </c>
      <c r="CU770" s="57">
        <f>IFERROR($N771/$N770-1,"")</f>
        <v/>
      </c>
      <c r="CV770" s="57">
        <f>IFERROR($O771/$O770-1,"")</f>
        <v/>
      </c>
      <c r="CW770" s="57">
        <f>IFERROR($P771/$P770-1,"")</f>
        <v/>
      </c>
      <c r="CX770" s="57">
        <f>IFERROR($Q771/$Q770-1,"")</f>
        <v/>
      </c>
      <c r="CY770" s="57">
        <f>IFERROR($R771/$R770-1,"")</f>
        <v/>
      </c>
      <c r="CZ770" s="57">
        <f>IFERROR($S771/$S770-1,"")</f>
        <v/>
      </c>
      <c r="DA770" s="57">
        <f>IFERROR($T771/$T770-1,"")</f>
        <v/>
      </c>
      <c r="DB770" s="57">
        <f>IFERROR($U771/$U770-1,"")</f>
        <v/>
      </c>
      <c r="DC770" s="57">
        <f>IFERROR($V771/$V770-1,"")</f>
        <v/>
      </c>
      <c r="DD770" s="57">
        <f>IFERROR($W771/$W770-1,"")</f>
        <v/>
      </c>
      <c r="DE770" s="57">
        <f>IFERROR($X771/$X770-1,"")</f>
        <v/>
      </c>
      <c r="DF770" s="57">
        <f>IFERROR($Y771/$Y770-1,"")</f>
        <v/>
      </c>
      <c r="DG770" s="57">
        <f>IFERROR($Z771/$Z770-1,"")</f>
        <v/>
      </c>
      <c r="DH770" s="57">
        <f>IFERROR($AA771/$AA770-1,"")</f>
        <v/>
      </c>
      <c r="DI770" s="57">
        <f>IFERROR($AB771/$AB770-1,"")</f>
        <v/>
      </c>
      <c r="DJ770" s="57">
        <f>IFERROR($AC771/$AC770-1,"")</f>
        <v/>
      </c>
      <c r="DK770" s="57">
        <f>IFERROR($AD771/$AD770-1,"")</f>
        <v/>
      </c>
      <c r="DL770" s="57">
        <f>IFERROR($AE771/$AE770-1,"")</f>
        <v/>
      </c>
      <c r="DM770" s="56">
        <f>$AZ770-$AZ771</f>
        <v/>
      </c>
      <c r="DN770" s="56">
        <f>$BA770-$BA771</f>
        <v/>
      </c>
      <c r="DO770" s="56">
        <f>$BB770-$BB771</f>
        <v/>
      </c>
      <c r="DP770" s="56">
        <f>$BC770-$BC771</f>
        <v/>
      </c>
      <c r="DQ770" s="56">
        <f>$BD770-$BD771</f>
        <v/>
      </c>
      <c r="DR770" s="56">
        <f>$BE770-$BE771</f>
        <v/>
      </c>
      <c r="DS770" s="56">
        <f>$BF770-$BF771</f>
        <v/>
      </c>
      <c r="DT770" s="56">
        <f>$BG770-$BG771</f>
        <v/>
      </c>
      <c r="DU770" s="56">
        <f>$BH770-$BH771</f>
        <v/>
      </c>
      <c r="DV770" s="56">
        <f>$BI770-$BI771</f>
        <v/>
      </c>
      <c r="DW770" s="56">
        <f>$BJ770-$BJ771</f>
        <v/>
      </c>
      <c r="DX770" s="56">
        <f>$BK770-$BK771</f>
        <v/>
      </c>
      <c r="DY770" s="56">
        <f>$BL770-$BL771</f>
        <v/>
      </c>
      <c r="DZ770" s="56">
        <f>$BM770-$BM771</f>
        <v/>
      </c>
      <c r="EA770" s="56">
        <f>$BN770-$BN771</f>
        <v/>
      </c>
      <c r="EB770" s="56">
        <f>$BO770-$BO771</f>
        <v/>
      </c>
      <c r="EC770" s="56">
        <f>$BP770-$BP771</f>
        <v/>
      </c>
      <c r="ED770" s="56">
        <f>$BQ770-$BQ771</f>
        <v/>
      </c>
      <c r="EE770" s="56">
        <f>$BR770-$BR771</f>
        <v/>
      </c>
      <c r="EF770" s="56">
        <f>$BS770-$BS771</f>
        <v/>
      </c>
      <c r="EG770" s="56">
        <f>$BT770-$BT771</f>
        <v/>
      </c>
      <c r="EH770" s="56">
        <f>$BU770-$BU771</f>
        <v/>
      </c>
    </row>
    <row r="771">
      <c r="BV771" s="56">
        <f>($D771-$D772)*100</f>
        <v/>
      </c>
      <c r="BW771" s="56">
        <f>($C771-$C772)*100</f>
        <v/>
      </c>
      <c r="BX771" s="57">
        <f>IFERROR($I771/$I772-1,"")</f>
        <v/>
      </c>
      <c r="BY771" s="56">
        <f>($AF771-$AF772)*100</f>
        <v/>
      </c>
      <c r="BZ771" s="56">
        <f>($AG771-$AG772)*100</f>
        <v/>
      </c>
      <c r="CA771" s="56">
        <f>($AH771-$AH772)*100</f>
        <v/>
      </c>
      <c r="CB771" s="56">
        <f>($AI771-$AI772)*100</f>
        <v/>
      </c>
      <c r="CC771" s="56">
        <f>($AJ771-$AJ772)*100</f>
        <v/>
      </c>
      <c r="CD771" s="56">
        <f>($AK771-$AK772)*100</f>
        <v/>
      </c>
      <c r="CE771" s="56">
        <f>($AL771-$AL772)*100</f>
        <v/>
      </c>
      <c r="CF771" s="56">
        <f>($AM771-$AM772)*100</f>
        <v/>
      </c>
      <c r="CG771" s="56">
        <f>($AN771-$AN772)*100</f>
        <v/>
      </c>
      <c r="CH771" s="56">
        <f>($AO771-$AO772)*100</f>
        <v/>
      </c>
      <c r="CI771" s="56">
        <f>($AP771-$AP772)*100</f>
        <v/>
      </c>
      <c r="CJ771" s="56">
        <f>($AQ771-$AQ772)*100</f>
        <v/>
      </c>
      <c r="CK771" s="56">
        <f>($AR771-$AR772)*100</f>
        <v/>
      </c>
      <c r="CL771" s="56">
        <f>($AS771-$AS772)*100</f>
        <v/>
      </c>
      <c r="CM771" s="56">
        <f>($AT771-$AT772)*100</f>
        <v/>
      </c>
      <c r="CN771" s="56">
        <f>($AU771-$AU772)*100</f>
        <v/>
      </c>
      <c r="CO771" s="56">
        <f>($AV771-$AV772)*100</f>
        <v/>
      </c>
      <c r="CP771" s="56">
        <f>($AW771-$AW772)*100</f>
        <v/>
      </c>
      <c r="CQ771" s="56">
        <f>($AX771-$AX772)*100</f>
        <v/>
      </c>
      <c r="CR771" s="56">
        <f>($AY771-$AY772)*100</f>
        <v/>
      </c>
      <c r="CS771" s="57">
        <f>IFERROR($L772/$L771-1,"")</f>
        <v/>
      </c>
      <c r="CT771" s="57">
        <f>IFERROR($M772/$M771-1,"")</f>
        <v/>
      </c>
      <c r="CU771" s="57">
        <f>IFERROR($N772/$N771-1,"")</f>
        <v/>
      </c>
      <c r="CV771" s="57">
        <f>IFERROR($O772/$O771-1,"")</f>
        <v/>
      </c>
      <c r="CW771" s="57">
        <f>IFERROR($P772/$P771-1,"")</f>
        <v/>
      </c>
      <c r="CX771" s="57">
        <f>IFERROR($Q772/$Q771-1,"")</f>
        <v/>
      </c>
      <c r="CY771" s="57">
        <f>IFERROR($R772/$R771-1,"")</f>
        <v/>
      </c>
      <c r="CZ771" s="57">
        <f>IFERROR($S772/$S771-1,"")</f>
        <v/>
      </c>
      <c r="DA771" s="57">
        <f>IFERROR($T772/$T771-1,"")</f>
        <v/>
      </c>
      <c r="DB771" s="57">
        <f>IFERROR($U772/$U771-1,"")</f>
        <v/>
      </c>
      <c r="DC771" s="57">
        <f>IFERROR($V772/$V771-1,"")</f>
        <v/>
      </c>
      <c r="DD771" s="57">
        <f>IFERROR($W772/$W771-1,"")</f>
        <v/>
      </c>
      <c r="DE771" s="57">
        <f>IFERROR($X772/$X771-1,"")</f>
        <v/>
      </c>
      <c r="DF771" s="57">
        <f>IFERROR($Y772/$Y771-1,"")</f>
        <v/>
      </c>
      <c r="DG771" s="57">
        <f>IFERROR($Z772/$Z771-1,"")</f>
        <v/>
      </c>
      <c r="DH771" s="57">
        <f>IFERROR($AA772/$AA771-1,"")</f>
        <v/>
      </c>
      <c r="DI771" s="57">
        <f>IFERROR($AB772/$AB771-1,"")</f>
        <v/>
      </c>
      <c r="DJ771" s="57">
        <f>IFERROR($AC772/$AC771-1,"")</f>
        <v/>
      </c>
      <c r="DK771" s="57">
        <f>IFERROR($AD772/$AD771-1,"")</f>
        <v/>
      </c>
      <c r="DL771" s="57">
        <f>IFERROR($AE772/$AE771-1,"")</f>
        <v/>
      </c>
      <c r="DM771" s="56">
        <f>$AZ771-$AZ772</f>
        <v/>
      </c>
      <c r="DN771" s="56">
        <f>$BA771-$BA772</f>
        <v/>
      </c>
      <c r="DO771" s="56">
        <f>$BB771-$BB772</f>
        <v/>
      </c>
      <c r="DP771" s="56">
        <f>$BC771-$BC772</f>
        <v/>
      </c>
      <c r="DQ771" s="56">
        <f>$BD771-$BD772</f>
        <v/>
      </c>
      <c r="DR771" s="56">
        <f>$BE771-$BE772</f>
        <v/>
      </c>
      <c r="DS771" s="56">
        <f>$BF771-$BF772</f>
        <v/>
      </c>
      <c r="DT771" s="56">
        <f>$BG771-$BG772</f>
        <v/>
      </c>
      <c r="DU771" s="56">
        <f>$BH771-$BH772</f>
        <v/>
      </c>
      <c r="DV771" s="56">
        <f>$BI771-$BI772</f>
        <v/>
      </c>
      <c r="DW771" s="56">
        <f>$BJ771-$BJ772</f>
        <v/>
      </c>
      <c r="DX771" s="56">
        <f>$BK771-$BK772</f>
        <v/>
      </c>
      <c r="DY771" s="56">
        <f>$BL771-$BL772</f>
        <v/>
      </c>
      <c r="DZ771" s="56">
        <f>$BM771-$BM772</f>
        <v/>
      </c>
      <c r="EA771" s="56">
        <f>$BN771-$BN772</f>
        <v/>
      </c>
      <c r="EB771" s="56">
        <f>$BO771-$BO772</f>
        <v/>
      </c>
      <c r="EC771" s="56">
        <f>$BP771-$BP772</f>
        <v/>
      </c>
      <c r="ED771" s="56">
        <f>$BQ771-$BQ772</f>
        <v/>
      </c>
      <c r="EE771" s="56">
        <f>$BR771-$BR772</f>
        <v/>
      </c>
      <c r="EF771" s="56">
        <f>$BS771-$BS772</f>
        <v/>
      </c>
      <c r="EG771" s="56">
        <f>$BT771-$BT772</f>
        <v/>
      </c>
      <c r="EH771" s="56">
        <f>$BU771-$BU772</f>
        <v/>
      </c>
    </row>
    <row r="772">
      <c r="BV772" s="56">
        <f>($D772-$D773)*100</f>
        <v/>
      </c>
      <c r="BW772" s="56">
        <f>($C772-$C773)*100</f>
        <v/>
      </c>
      <c r="BX772" s="57">
        <f>IFERROR($I772/$I773-1,"")</f>
        <v/>
      </c>
      <c r="BY772" s="56">
        <f>($AF772-$AF773)*100</f>
        <v/>
      </c>
      <c r="BZ772" s="56">
        <f>($AG772-$AG773)*100</f>
        <v/>
      </c>
      <c r="CA772" s="56">
        <f>($AH772-$AH773)*100</f>
        <v/>
      </c>
      <c r="CB772" s="56">
        <f>($AI772-$AI773)*100</f>
        <v/>
      </c>
      <c r="CC772" s="56">
        <f>($AJ772-$AJ773)*100</f>
        <v/>
      </c>
      <c r="CD772" s="56">
        <f>($AK772-$AK773)*100</f>
        <v/>
      </c>
      <c r="CE772" s="56">
        <f>($AL772-$AL773)*100</f>
        <v/>
      </c>
      <c r="CF772" s="56">
        <f>($AM772-$AM773)*100</f>
        <v/>
      </c>
      <c r="CG772" s="56">
        <f>($AN772-$AN773)*100</f>
        <v/>
      </c>
      <c r="CH772" s="56">
        <f>($AO772-$AO773)*100</f>
        <v/>
      </c>
      <c r="CI772" s="56">
        <f>($AP772-$AP773)*100</f>
        <v/>
      </c>
      <c r="CJ772" s="56">
        <f>($AQ772-$AQ773)*100</f>
        <v/>
      </c>
      <c r="CK772" s="56">
        <f>($AR772-$AR773)*100</f>
        <v/>
      </c>
      <c r="CL772" s="56">
        <f>($AS772-$AS773)*100</f>
        <v/>
      </c>
      <c r="CM772" s="56">
        <f>($AT772-$AT773)*100</f>
        <v/>
      </c>
      <c r="CN772" s="56">
        <f>($AU772-$AU773)*100</f>
        <v/>
      </c>
      <c r="CO772" s="56">
        <f>($AV772-$AV773)*100</f>
        <v/>
      </c>
      <c r="CP772" s="56">
        <f>($AW772-$AW773)*100</f>
        <v/>
      </c>
      <c r="CQ772" s="56">
        <f>($AX772-$AX773)*100</f>
        <v/>
      </c>
      <c r="CR772" s="56">
        <f>($AY772-$AY773)*100</f>
        <v/>
      </c>
      <c r="CS772" s="57">
        <f>IFERROR($L773/$L772-1,"")</f>
        <v/>
      </c>
      <c r="CT772" s="57">
        <f>IFERROR($M773/$M772-1,"")</f>
        <v/>
      </c>
      <c r="CU772" s="57">
        <f>IFERROR($N773/$N772-1,"")</f>
        <v/>
      </c>
      <c r="CV772" s="57">
        <f>IFERROR($O773/$O772-1,"")</f>
        <v/>
      </c>
      <c r="CW772" s="57">
        <f>IFERROR($P773/$P772-1,"")</f>
        <v/>
      </c>
      <c r="CX772" s="57">
        <f>IFERROR($Q773/$Q772-1,"")</f>
        <v/>
      </c>
      <c r="CY772" s="57">
        <f>IFERROR($R773/$R772-1,"")</f>
        <v/>
      </c>
      <c r="CZ772" s="57">
        <f>IFERROR($S773/$S772-1,"")</f>
        <v/>
      </c>
      <c r="DA772" s="57">
        <f>IFERROR($T773/$T772-1,"")</f>
        <v/>
      </c>
      <c r="DB772" s="57">
        <f>IFERROR($U773/$U772-1,"")</f>
        <v/>
      </c>
      <c r="DC772" s="57">
        <f>IFERROR($V773/$V772-1,"")</f>
        <v/>
      </c>
      <c r="DD772" s="57">
        <f>IFERROR($W773/$W772-1,"")</f>
        <v/>
      </c>
      <c r="DE772" s="57">
        <f>IFERROR($X773/$X772-1,"")</f>
        <v/>
      </c>
      <c r="DF772" s="57">
        <f>IFERROR($Y773/$Y772-1,"")</f>
        <v/>
      </c>
      <c r="DG772" s="57">
        <f>IFERROR($Z773/$Z772-1,"")</f>
        <v/>
      </c>
      <c r="DH772" s="57">
        <f>IFERROR($AA773/$AA772-1,"")</f>
        <v/>
      </c>
      <c r="DI772" s="57">
        <f>IFERROR($AB773/$AB772-1,"")</f>
        <v/>
      </c>
      <c r="DJ772" s="57">
        <f>IFERROR($AC773/$AC772-1,"")</f>
        <v/>
      </c>
      <c r="DK772" s="57">
        <f>IFERROR($AD773/$AD772-1,"")</f>
        <v/>
      </c>
      <c r="DL772" s="57">
        <f>IFERROR($AE773/$AE772-1,"")</f>
        <v/>
      </c>
      <c r="DM772" s="56">
        <f>$AZ772-$AZ773</f>
        <v/>
      </c>
      <c r="DN772" s="56">
        <f>$BA772-$BA773</f>
        <v/>
      </c>
      <c r="DO772" s="56">
        <f>$BB772-$BB773</f>
        <v/>
      </c>
      <c r="DP772" s="56">
        <f>$BC772-$BC773</f>
        <v/>
      </c>
      <c r="DQ772" s="56">
        <f>$BD772-$BD773</f>
        <v/>
      </c>
      <c r="DR772" s="56">
        <f>$BE772-$BE773</f>
        <v/>
      </c>
      <c r="DS772" s="56">
        <f>$BF772-$BF773</f>
        <v/>
      </c>
      <c r="DT772" s="56">
        <f>$BG772-$BG773</f>
        <v/>
      </c>
      <c r="DU772" s="56">
        <f>$BH772-$BH773</f>
        <v/>
      </c>
      <c r="DV772" s="56">
        <f>$BI772-$BI773</f>
        <v/>
      </c>
      <c r="DW772" s="56">
        <f>$BJ772-$BJ773</f>
        <v/>
      </c>
      <c r="DX772" s="56">
        <f>$BK772-$BK773</f>
        <v/>
      </c>
      <c r="DY772" s="56">
        <f>$BL772-$BL773</f>
        <v/>
      </c>
      <c r="DZ772" s="56">
        <f>$BM772-$BM773</f>
        <v/>
      </c>
      <c r="EA772" s="56">
        <f>$BN772-$BN773</f>
        <v/>
      </c>
      <c r="EB772" s="56">
        <f>$BO772-$BO773</f>
        <v/>
      </c>
      <c r="EC772" s="56">
        <f>$BP772-$BP773</f>
        <v/>
      </c>
      <c r="ED772" s="56">
        <f>$BQ772-$BQ773</f>
        <v/>
      </c>
      <c r="EE772" s="56">
        <f>$BR772-$BR773</f>
        <v/>
      </c>
      <c r="EF772" s="56">
        <f>$BS772-$BS773</f>
        <v/>
      </c>
      <c r="EG772" s="56">
        <f>$BT772-$BT773</f>
        <v/>
      </c>
      <c r="EH772" s="56">
        <f>$BU772-$BU773</f>
        <v/>
      </c>
    </row>
    <row r="773">
      <c r="BV773" s="56">
        <f>($D773-$D774)*100</f>
        <v/>
      </c>
      <c r="BW773" s="56">
        <f>($C773-$C774)*100</f>
        <v/>
      </c>
      <c r="BX773" s="57">
        <f>IFERROR($I773/$I774-1,"")</f>
        <v/>
      </c>
      <c r="BY773" s="56">
        <f>($AF773-$AF774)*100</f>
        <v/>
      </c>
      <c r="BZ773" s="56">
        <f>($AG773-$AG774)*100</f>
        <v/>
      </c>
      <c r="CA773" s="56">
        <f>($AH773-$AH774)*100</f>
        <v/>
      </c>
      <c r="CB773" s="56">
        <f>($AI773-$AI774)*100</f>
        <v/>
      </c>
      <c r="CC773" s="56">
        <f>($AJ773-$AJ774)*100</f>
        <v/>
      </c>
      <c r="CD773" s="56">
        <f>($AK773-$AK774)*100</f>
        <v/>
      </c>
      <c r="CE773" s="56">
        <f>($AL773-$AL774)*100</f>
        <v/>
      </c>
      <c r="CF773" s="56">
        <f>($AM773-$AM774)*100</f>
        <v/>
      </c>
      <c r="CG773" s="56">
        <f>($AN773-$AN774)*100</f>
        <v/>
      </c>
      <c r="CH773" s="56">
        <f>($AO773-$AO774)*100</f>
        <v/>
      </c>
      <c r="CI773" s="56">
        <f>($AP773-$AP774)*100</f>
        <v/>
      </c>
      <c r="CJ773" s="56">
        <f>($AQ773-$AQ774)*100</f>
        <v/>
      </c>
      <c r="CK773" s="56">
        <f>($AR773-$AR774)*100</f>
        <v/>
      </c>
      <c r="CL773" s="56">
        <f>($AS773-$AS774)*100</f>
        <v/>
      </c>
      <c r="CM773" s="56">
        <f>($AT773-$AT774)*100</f>
        <v/>
      </c>
      <c r="CN773" s="56">
        <f>($AU773-$AU774)*100</f>
        <v/>
      </c>
      <c r="CO773" s="56">
        <f>($AV773-$AV774)*100</f>
        <v/>
      </c>
      <c r="CP773" s="56">
        <f>($AW773-$AW774)*100</f>
        <v/>
      </c>
      <c r="CQ773" s="56">
        <f>($AX773-$AX774)*100</f>
        <v/>
      </c>
      <c r="CR773" s="56">
        <f>($AY773-$AY774)*100</f>
        <v/>
      </c>
      <c r="CS773" s="57">
        <f>IFERROR($L774/$L773-1,"")</f>
        <v/>
      </c>
      <c r="CT773" s="57">
        <f>IFERROR($M774/$M773-1,"")</f>
        <v/>
      </c>
      <c r="CU773" s="57">
        <f>IFERROR($N774/$N773-1,"")</f>
        <v/>
      </c>
      <c r="CV773" s="57">
        <f>IFERROR($O774/$O773-1,"")</f>
        <v/>
      </c>
      <c r="CW773" s="57">
        <f>IFERROR($P774/$P773-1,"")</f>
        <v/>
      </c>
      <c r="CX773" s="57">
        <f>IFERROR($Q774/$Q773-1,"")</f>
        <v/>
      </c>
      <c r="CY773" s="57">
        <f>IFERROR($R774/$R773-1,"")</f>
        <v/>
      </c>
      <c r="CZ773" s="57">
        <f>IFERROR($S774/$S773-1,"")</f>
        <v/>
      </c>
      <c r="DA773" s="57">
        <f>IFERROR($T774/$T773-1,"")</f>
        <v/>
      </c>
      <c r="DB773" s="57">
        <f>IFERROR($U774/$U773-1,"")</f>
        <v/>
      </c>
      <c r="DC773" s="57">
        <f>IFERROR($V774/$V773-1,"")</f>
        <v/>
      </c>
      <c r="DD773" s="57">
        <f>IFERROR($W774/$W773-1,"")</f>
        <v/>
      </c>
      <c r="DE773" s="57">
        <f>IFERROR($X774/$X773-1,"")</f>
        <v/>
      </c>
      <c r="DF773" s="57">
        <f>IFERROR($Y774/$Y773-1,"")</f>
        <v/>
      </c>
      <c r="DG773" s="57">
        <f>IFERROR($Z774/$Z773-1,"")</f>
        <v/>
      </c>
      <c r="DH773" s="57">
        <f>IFERROR($AA774/$AA773-1,"")</f>
        <v/>
      </c>
      <c r="DI773" s="57">
        <f>IFERROR($AB774/$AB773-1,"")</f>
        <v/>
      </c>
      <c r="DJ773" s="57">
        <f>IFERROR($AC774/$AC773-1,"")</f>
        <v/>
      </c>
      <c r="DK773" s="57">
        <f>IFERROR($AD774/$AD773-1,"")</f>
        <v/>
      </c>
      <c r="DL773" s="57">
        <f>IFERROR($AE774/$AE773-1,"")</f>
        <v/>
      </c>
      <c r="DM773" s="56">
        <f>$AZ773-$AZ774</f>
        <v/>
      </c>
      <c r="DN773" s="56">
        <f>$BA773-$BA774</f>
        <v/>
      </c>
      <c r="DO773" s="56">
        <f>$BB773-$BB774</f>
        <v/>
      </c>
      <c r="DP773" s="56">
        <f>$BC773-$BC774</f>
        <v/>
      </c>
      <c r="DQ773" s="56">
        <f>$BD773-$BD774</f>
        <v/>
      </c>
      <c r="DR773" s="56">
        <f>$BE773-$BE774</f>
        <v/>
      </c>
      <c r="DS773" s="56">
        <f>$BF773-$BF774</f>
        <v/>
      </c>
      <c r="DT773" s="56">
        <f>$BG773-$BG774</f>
        <v/>
      </c>
      <c r="DU773" s="56">
        <f>$BH773-$BH774</f>
        <v/>
      </c>
      <c r="DV773" s="56">
        <f>$BI773-$BI774</f>
        <v/>
      </c>
      <c r="DW773" s="56">
        <f>$BJ773-$BJ774</f>
        <v/>
      </c>
      <c r="DX773" s="56">
        <f>$BK773-$BK774</f>
        <v/>
      </c>
      <c r="DY773" s="56">
        <f>$BL773-$BL774</f>
        <v/>
      </c>
      <c r="DZ773" s="56">
        <f>$BM773-$BM774</f>
        <v/>
      </c>
      <c r="EA773" s="56">
        <f>$BN773-$BN774</f>
        <v/>
      </c>
      <c r="EB773" s="56">
        <f>$BO773-$BO774</f>
        <v/>
      </c>
      <c r="EC773" s="56">
        <f>$BP773-$BP774</f>
        <v/>
      </c>
      <c r="ED773" s="56">
        <f>$BQ773-$BQ774</f>
        <v/>
      </c>
      <c r="EE773" s="56">
        <f>$BR773-$BR774</f>
        <v/>
      </c>
      <c r="EF773" s="56">
        <f>$BS773-$BS774</f>
        <v/>
      </c>
      <c r="EG773" s="56">
        <f>$BT773-$BT774</f>
        <v/>
      </c>
      <c r="EH773" s="56">
        <f>$BU773-$BU774</f>
        <v/>
      </c>
    </row>
    <row r="774">
      <c r="BV774" s="56">
        <f>($D774-$D775)*100</f>
        <v/>
      </c>
      <c r="BW774" s="56">
        <f>($C774-$C775)*100</f>
        <v/>
      </c>
      <c r="BX774" s="57">
        <f>IFERROR($I774/$I775-1,"")</f>
        <v/>
      </c>
      <c r="BY774" s="56">
        <f>($AF774-$AF775)*100</f>
        <v/>
      </c>
      <c r="BZ774" s="56">
        <f>($AG774-$AG775)*100</f>
        <v/>
      </c>
      <c r="CA774" s="56">
        <f>($AH774-$AH775)*100</f>
        <v/>
      </c>
      <c r="CB774" s="56">
        <f>($AI774-$AI775)*100</f>
        <v/>
      </c>
      <c r="CC774" s="56">
        <f>($AJ774-$AJ775)*100</f>
        <v/>
      </c>
      <c r="CD774" s="56">
        <f>($AK774-$AK775)*100</f>
        <v/>
      </c>
      <c r="CE774" s="56">
        <f>($AL774-$AL775)*100</f>
        <v/>
      </c>
      <c r="CF774" s="56">
        <f>($AM774-$AM775)*100</f>
        <v/>
      </c>
      <c r="CG774" s="56">
        <f>($AN774-$AN775)*100</f>
        <v/>
      </c>
      <c r="CH774" s="56">
        <f>($AO774-$AO775)*100</f>
        <v/>
      </c>
      <c r="CI774" s="56">
        <f>($AP774-$AP775)*100</f>
        <v/>
      </c>
      <c r="CJ774" s="56">
        <f>($AQ774-$AQ775)*100</f>
        <v/>
      </c>
      <c r="CK774" s="56">
        <f>($AR774-$AR775)*100</f>
        <v/>
      </c>
      <c r="CL774" s="56">
        <f>($AS774-$AS775)*100</f>
        <v/>
      </c>
      <c r="CM774" s="56">
        <f>($AT774-$AT775)*100</f>
        <v/>
      </c>
      <c r="CN774" s="56">
        <f>($AU774-$AU775)*100</f>
        <v/>
      </c>
      <c r="CO774" s="56">
        <f>($AV774-$AV775)*100</f>
        <v/>
      </c>
      <c r="CP774" s="56">
        <f>($AW774-$AW775)*100</f>
        <v/>
      </c>
      <c r="CQ774" s="56">
        <f>($AX774-$AX775)*100</f>
        <v/>
      </c>
      <c r="CR774" s="56">
        <f>($AY774-$AY775)*100</f>
        <v/>
      </c>
      <c r="CS774" s="57">
        <f>IFERROR($L775/$L774-1,"")</f>
        <v/>
      </c>
      <c r="CT774" s="57">
        <f>IFERROR($M775/$M774-1,"")</f>
        <v/>
      </c>
      <c r="CU774" s="57">
        <f>IFERROR($N775/$N774-1,"")</f>
        <v/>
      </c>
      <c r="CV774" s="57">
        <f>IFERROR($O775/$O774-1,"")</f>
        <v/>
      </c>
      <c r="CW774" s="57">
        <f>IFERROR($P775/$P774-1,"")</f>
        <v/>
      </c>
      <c r="CX774" s="57">
        <f>IFERROR($Q775/$Q774-1,"")</f>
        <v/>
      </c>
      <c r="CY774" s="57">
        <f>IFERROR($R775/$R774-1,"")</f>
        <v/>
      </c>
      <c r="CZ774" s="57">
        <f>IFERROR($S775/$S774-1,"")</f>
        <v/>
      </c>
      <c r="DA774" s="57">
        <f>IFERROR($T775/$T774-1,"")</f>
        <v/>
      </c>
      <c r="DB774" s="57">
        <f>IFERROR($U775/$U774-1,"")</f>
        <v/>
      </c>
      <c r="DC774" s="57">
        <f>IFERROR($V775/$V774-1,"")</f>
        <v/>
      </c>
      <c r="DD774" s="57">
        <f>IFERROR($W775/$W774-1,"")</f>
        <v/>
      </c>
      <c r="DE774" s="57">
        <f>IFERROR($X775/$X774-1,"")</f>
        <v/>
      </c>
      <c r="DF774" s="57">
        <f>IFERROR($Y775/$Y774-1,"")</f>
        <v/>
      </c>
      <c r="DG774" s="57">
        <f>IFERROR($Z775/$Z774-1,"")</f>
        <v/>
      </c>
      <c r="DH774" s="57">
        <f>IFERROR($AA775/$AA774-1,"")</f>
        <v/>
      </c>
      <c r="DI774" s="57">
        <f>IFERROR($AB775/$AB774-1,"")</f>
        <v/>
      </c>
      <c r="DJ774" s="57">
        <f>IFERROR($AC775/$AC774-1,"")</f>
        <v/>
      </c>
      <c r="DK774" s="57">
        <f>IFERROR($AD775/$AD774-1,"")</f>
        <v/>
      </c>
      <c r="DL774" s="57">
        <f>IFERROR($AE775/$AE774-1,"")</f>
        <v/>
      </c>
      <c r="DM774" s="56">
        <f>$AZ774-$AZ775</f>
        <v/>
      </c>
      <c r="DN774" s="56">
        <f>$BA774-$BA775</f>
        <v/>
      </c>
      <c r="DO774" s="56">
        <f>$BB774-$BB775</f>
        <v/>
      </c>
      <c r="DP774" s="56">
        <f>$BC774-$BC775</f>
        <v/>
      </c>
      <c r="DQ774" s="56">
        <f>$BD774-$BD775</f>
        <v/>
      </c>
      <c r="DR774" s="56">
        <f>$BE774-$BE775</f>
        <v/>
      </c>
      <c r="DS774" s="56">
        <f>$BF774-$BF775</f>
        <v/>
      </c>
      <c r="DT774" s="56">
        <f>$BG774-$BG775</f>
        <v/>
      </c>
      <c r="DU774" s="56">
        <f>$BH774-$BH775</f>
        <v/>
      </c>
      <c r="DV774" s="56">
        <f>$BI774-$BI775</f>
        <v/>
      </c>
      <c r="DW774" s="56">
        <f>$BJ774-$BJ775</f>
        <v/>
      </c>
      <c r="DX774" s="56">
        <f>$BK774-$BK775</f>
        <v/>
      </c>
      <c r="DY774" s="56">
        <f>$BL774-$BL775</f>
        <v/>
      </c>
      <c r="DZ774" s="56">
        <f>$BM774-$BM775</f>
        <v/>
      </c>
      <c r="EA774" s="56">
        <f>$BN774-$BN775</f>
        <v/>
      </c>
      <c r="EB774" s="56">
        <f>$BO774-$BO775</f>
        <v/>
      </c>
      <c r="EC774" s="56">
        <f>$BP774-$BP775</f>
        <v/>
      </c>
      <c r="ED774" s="56">
        <f>$BQ774-$BQ775</f>
        <v/>
      </c>
      <c r="EE774" s="56">
        <f>$BR774-$BR775</f>
        <v/>
      </c>
      <c r="EF774" s="56">
        <f>$BS774-$BS775</f>
        <v/>
      </c>
      <c r="EG774" s="56">
        <f>$BT774-$BT775</f>
        <v/>
      </c>
      <c r="EH774" s="56">
        <f>$BU774-$BU775</f>
        <v/>
      </c>
    </row>
    <row r="775">
      <c r="BV775" s="56">
        <f>($D775-$D776)*100</f>
        <v/>
      </c>
      <c r="BW775" s="56">
        <f>($C775-$C776)*100</f>
        <v/>
      </c>
      <c r="BX775" s="57">
        <f>IFERROR($I775/$I776-1,"")</f>
        <v/>
      </c>
      <c r="BY775" s="56">
        <f>($AF775-$AF776)*100</f>
        <v/>
      </c>
      <c r="BZ775" s="56">
        <f>($AG775-$AG776)*100</f>
        <v/>
      </c>
      <c r="CA775" s="56">
        <f>($AH775-$AH776)*100</f>
        <v/>
      </c>
      <c r="CB775" s="56">
        <f>($AI775-$AI776)*100</f>
        <v/>
      </c>
      <c r="CC775" s="56">
        <f>($AJ775-$AJ776)*100</f>
        <v/>
      </c>
      <c r="CD775" s="56">
        <f>($AK775-$AK776)*100</f>
        <v/>
      </c>
      <c r="CE775" s="56">
        <f>($AL775-$AL776)*100</f>
        <v/>
      </c>
      <c r="CF775" s="56">
        <f>($AM775-$AM776)*100</f>
        <v/>
      </c>
      <c r="CG775" s="56">
        <f>($AN775-$AN776)*100</f>
        <v/>
      </c>
      <c r="CH775" s="56">
        <f>($AO775-$AO776)*100</f>
        <v/>
      </c>
      <c r="CI775" s="56">
        <f>($AP775-$AP776)*100</f>
        <v/>
      </c>
      <c r="CJ775" s="56">
        <f>($AQ775-$AQ776)*100</f>
        <v/>
      </c>
      <c r="CK775" s="56">
        <f>($AR775-$AR776)*100</f>
        <v/>
      </c>
      <c r="CL775" s="56">
        <f>($AS775-$AS776)*100</f>
        <v/>
      </c>
      <c r="CM775" s="56">
        <f>($AT775-$AT776)*100</f>
        <v/>
      </c>
      <c r="CN775" s="56">
        <f>($AU775-$AU776)*100</f>
        <v/>
      </c>
      <c r="CO775" s="56">
        <f>($AV775-$AV776)*100</f>
        <v/>
      </c>
      <c r="CP775" s="56">
        <f>($AW775-$AW776)*100</f>
        <v/>
      </c>
      <c r="CQ775" s="56">
        <f>($AX775-$AX776)*100</f>
        <v/>
      </c>
      <c r="CR775" s="56">
        <f>($AY775-$AY776)*100</f>
        <v/>
      </c>
      <c r="CS775" s="57">
        <f>IFERROR($L776/$L775-1,"")</f>
        <v/>
      </c>
      <c r="CT775" s="57">
        <f>IFERROR($M776/$M775-1,"")</f>
        <v/>
      </c>
      <c r="CU775" s="57">
        <f>IFERROR($N776/$N775-1,"")</f>
        <v/>
      </c>
      <c r="CV775" s="57">
        <f>IFERROR($O776/$O775-1,"")</f>
        <v/>
      </c>
      <c r="CW775" s="57">
        <f>IFERROR($P776/$P775-1,"")</f>
        <v/>
      </c>
      <c r="CX775" s="57">
        <f>IFERROR($Q776/$Q775-1,"")</f>
        <v/>
      </c>
      <c r="CY775" s="57">
        <f>IFERROR($R776/$R775-1,"")</f>
        <v/>
      </c>
      <c r="CZ775" s="57">
        <f>IFERROR($S776/$S775-1,"")</f>
        <v/>
      </c>
      <c r="DA775" s="57">
        <f>IFERROR($T776/$T775-1,"")</f>
        <v/>
      </c>
      <c r="DB775" s="57">
        <f>IFERROR($U776/$U775-1,"")</f>
        <v/>
      </c>
      <c r="DC775" s="57">
        <f>IFERROR($V776/$V775-1,"")</f>
        <v/>
      </c>
      <c r="DD775" s="57">
        <f>IFERROR($W776/$W775-1,"")</f>
        <v/>
      </c>
      <c r="DE775" s="57">
        <f>IFERROR($X776/$X775-1,"")</f>
        <v/>
      </c>
      <c r="DF775" s="57">
        <f>IFERROR($Y776/$Y775-1,"")</f>
        <v/>
      </c>
      <c r="DG775" s="57">
        <f>IFERROR($Z776/$Z775-1,"")</f>
        <v/>
      </c>
      <c r="DH775" s="57">
        <f>IFERROR($AA776/$AA775-1,"")</f>
        <v/>
      </c>
      <c r="DI775" s="57">
        <f>IFERROR($AB776/$AB775-1,"")</f>
        <v/>
      </c>
      <c r="DJ775" s="57">
        <f>IFERROR($AC776/$AC775-1,"")</f>
        <v/>
      </c>
      <c r="DK775" s="57">
        <f>IFERROR($AD776/$AD775-1,"")</f>
        <v/>
      </c>
      <c r="DL775" s="57">
        <f>IFERROR($AE776/$AE775-1,"")</f>
        <v/>
      </c>
      <c r="DM775" s="56">
        <f>$AZ775-$AZ776</f>
        <v/>
      </c>
      <c r="DN775" s="56">
        <f>$BA775-$BA776</f>
        <v/>
      </c>
      <c r="DO775" s="56">
        <f>$BB775-$BB776</f>
        <v/>
      </c>
      <c r="DP775" s="56">
        <f>$BC775-$BC776</f>
        <v/>
      </c>
      <c r="DQ775" s="56">
        <f>$BD775-$BD776</f>
        <v/>
      </c>
      <c r="DR775" s="56">
        <f>$BE775-$BE776</f>
        <v/>
      </c>
      <c r="DS775" s="56">
        <f>$BF775-$BF776</f>
        <v/>
      </c>
      <c r="DT775" s="56">
        <f>$BG775-$BG776</f>
        <v/>
      </c>
      <c r="DU775" s="56">
        <f>$BH775-$BH776</f>
        <v/>
      </c>
      <c r="DV775" s="56">
        <f>$BI775-$BI776</f>
        <v/>
      </c>
      <c r="DW775" s="56">
        <f>$BJ775-$BJ776</f>
        <v/>
      </c>
      <c r="DX775" s="56">
        <f>$BK775-$BK776</f>
        <v/>
      </c>
      <c r="DY775" s="56">
        <f>$BL775-$BL776</f>
        <v/>
      </c>
      <c r="DZ775" s="56">
        <f>$BM775-$BM776</f>
        <v/>
      </c>
      <c r="EA775" s="56">
        <f>$BN775-$BN776</f>
        <v/>
      </c>
      <c r="EB775" s="56">
        <f>$BO775-$BO776</f>
        <v/>
      </c>
      <c r="EC775" s="56">
        <f>$BP775-$BP776</f>
        <v/>
      </c>
      <c r="ED775" s="56">
        <f>$BQ775-$BQ776</f>
        <v/>
      </c>
      <c r="EE775" s="56">
        <f>$BR775-$BR776</f>
        <v/>
      </c>
      <c r="EF775" s="56">
        <f>$BS775-$BS776</f>
        <v/>
      </c>
      <c r="EG775" s="56">
        <f>$BT775-$BT776</f>
        <v/>
      </c>
      <c r="EH775" s="56">
        <f>$BU775-$BU776</f>
        <v/>
      </c>
    </row>
    <row r="776">
      <c r="BV776" s="56">
        <f>($D776-$D777)*100</f>
        <v/>
      </c>
      <c r="BW776" s="56">
        <f>($C776-$C777)*100</f>
        <v/>
      </c>
      <c r="BX776" s="57">
        <f>IFERROR($I776/$I777-1,"")</f>
        <v/>
      </c>
      <c r="BY776" s="56">
        <f>($AF776-$AF777)*100</f>
        <v/>
      </c>
      <c r="BZ776" s="56">
        <f>($AG776-$AG777)*100</f>
        <v/>
      </c>
      <c r="CA776" s="56">
        <f>($AH776-$AH777)*100</f>
        <v/>
      </c>
      <c r="CB776" s="56">
        <f>($AI776-$AI777)*100</f>
        <v/>
      </c>
      <c r="CC776" s="56">
        <f>($AJ776-$AJ777)*100</f>
        <v/>
      </c>
      <c r="CD776" s="56">
        <f>($AK776-$AK777)*100</f>
        <v/>
      </c>
      <c r="CE776" s="56">
        <f>($AL776-$AL777)*100</f>
        <v/>
      </c>
      <c r="CF776" s="56">
        <f>($AM776-$AM777)*100</f>
        <v/>
      </c>
      <c r="CG776" s="56">
        <f>($AN776-$AN777)*100</f>
        <v/>
      </c>
      <c r="CH776" s="56">
        <f>($AO776-$AO777)*100</f>
        <v/>
      </c>
      <c r="CI776" s="56">
        <f>($AP776-$AP777)*100</f>
        <v/>
      </c>
      <c r="CJ776" s="56">
        <f>($AQ776-$AQ777)*100</f>
        <v/>
      </c>
      <c r="CK776" s="56">
        <f>($AR776-$AR777)*100</f>
        <v/>
      </c>
      <c r="CL776" s="56">
        <f>($AS776-$AS777)*100</f>
        <v/>
      </c>
      <c r="CM776" s="56">
        <f>($AT776-$AT777)*100</f>
        <v/>
      </c>
      <c r="CN776" s="56">
        <f>($AU776-$AU777)*100</f>
        <v/>
      </c>
      <c r="CO776" s="56">
        <f>($AV776-$AV777)*100</f>
        <v/>
      </c>
      <c r="CP776" s="56">
        <f>($AW776-$AW777)*100</f>
        <v/>
      </c>
      <c r="CQ776" s="56">
        <f>($AX776-$AX777)*100</f>
        <v/>
      </c>
      <c r="CR776" s="56">
        <f>($AY776-$AY777)*100</f>
        <v/>
      </c>
      <c r="CS776" s="57">
        <f>IFERROR($L777/$L776-1,"")</f>
        <v/>
      </c>
      <c r="CT776" s="57">
        <f>IFERROR($M777/$M776-1,"")</f>
        <v/>
      </c>
      <c r="CU776" s="57">
        <f>IFERROR($N777/$N776-1,"")</f>
        <v/>
      </c>
      <c r="CV776" s="57">
        <f>IFERROR($O777/$O776-1,"")</f>
        <v/>
      </c>
      <c r="CW776" s="57">
        <f>IFERROR($P777/$P776-1,"")</f>
        <v/>
      </c>
      <c r="CX776" s="57">
        <f>IFERROR($Q777/$Q776-1,"")</f>
        <v/>
      </c>
      <c r="CY776" s="57">
        <f>IFERROR($R777/$R776-1,"")</f>
        <v/>
      </c>
      <c r="CZ776" s="57">
        <f>IFERROR($S777/$S776-1,"")</f>
        <v/>
      </c>
      <c r="DA776" s="57">
        <f>IFERROR($T777/$T776-1,"")</f>
        <v/>
      </c>
      <c r="DB776" s="57">
        <f>IFERROR($U777/$U776-1,"")</f>
        <v/>
      </c>
      <c r="DC776" s="57">
        <f>IFERROR($V777/$V776-1,"")</f>
        <v/>
      </c>
      <c r="DD776" s="57">
        <f>IFERROR($W777/$W776-1,"")</f>
        <v/>
      </c>
      <c r="DE776" s="57">
        <f>IFERROR($X777/$X776-1,"")</f>
        <v/>
      </c>
      <c r="DF776" s="57">
        <f>IFERROR($Y777/$Y776-1,"")</f>
        <v/>
      </c>
      <c r="DG776" s="57">
        <f>IFERROR($Z777/$Z776-1,"")</f>
        <v/>
      </c>
      <c r="DH776" s="57">
        <f>IFERROR($AA777/$AA776-1,"")</f>
        <v/>
      </c>
      <c r="DI776" s="57">
        <f>IFERROR($AB777/$AB776-1,"")</f>
        <v/>
      </c>
      <c r="DJ776" s="57">
        <f>IFERROR($AC777/$AC776-1,"")</f>
        <v/>
      </c>
      <c r="DK776" s="57">
        <f>IFERROR($AD777/$AD776-1,"")</f>
        <v/>
      </c>
      <c r="DL776" s="57">
        <f>IFERROR($AE777/$AE776-1,"")</f>
        <v/>
      </c>
      <c r="DM776" s="56">
        <f>$AZ776-$AZ777</f>
        <v/>
      </c>
      <c r="DN776" s="56">
        <f>$BA776-$BA777</f>
        <v/>
      </c>
      <c r="DO776" s="56">
        <f>$BB776-$BB777</f>
        <v/>
      </c>
      <c r="DP776" s="56">
        <f>$BC776-$BC777</f>
        <v/>
      </c>
      <c r="DQ776" s="56">
        <f>$BD776-$BD777</f>
        <v/>
      </c>
      <c r="DR776" s="56">
        <f>$BE776-$BE777</f>
        <v/>
      </c>
      <c r="DS776" s="56">
        <f>$BF776-$BF777</f>
        <v/>
      </c>
      <c r="DT776" s="56">
        <f>$BG776-$BG777</f>
        <v/>
      </c>
      <c r="DU776" s="56">
        <f>$BH776-$BH777</f>
        <v/>
      </c>
      <c r="DV776" s="56">
        <f>$BI776-$BI777</f>
        <v/>
      </c>
      <c r="DW776" s="56">
        <f>$BJ776-$BJ777</f>
        <v/>
      </c>
      <c r="DX776" s="56">
        <f>$BK776-$BK777</f>
        <v/>
      </c>
      <c r="DY776" s="56">
        <f>$BL776-$BL777</f>
        <v/>
      </c>
      <c r="DZ776" s="56">
        <f>$BM776-$BM777</f>
        <v/>
      </c>
      <c r="EA776" s="56">
        <f>$BN776-$BN777</f>
        <v/>
      </c>
      <c r="EB776" s="56">
        <f>$BO776-$BO777</f>
        <v/>
      </c>
      <c r="EC776" s="56">
        <f>$BP776-$BP777</f>
        <v/>
      </c>
      <c r="ED776" s="56">
        <f>$BQ776-$BQ777</f>
        <v/>
      </c>
      <c r="EE776" s="56">
        <f>$BR776-$BR777</f>
        <v/>
      </c>
      <c r="EF776" s="56">
        <f>$BS776-$BS777</f>
        <v/>
      </c>
      <c r="EG776" s="56">
        <f>$BT776-$BT777</f>
        <v/>
      </c>
      <c r="EH776" s="56">
        <f>$BU776-$BU777</f>
        <v/>
      </c>
    </row>
    <row r="777">
      <c r="BV777" s="56">
        <f>($D777-$D778)*100</f>
        <v/>
      </c>
      <c r="BW777" s="56">
        <f>($C777-$C778)*100</f>
        <v/>
      </c>
      <c r="BX777" s="57">
        <f>IFERROR($I777/$I778-1,"")</f>
        <v/>
      </c>
      <c r="BY777" s="56">
        <f>($AF777-$AF778)*100</f>
        <v/>
      </c>
      <c r="BZ777" s="56">
        <f>($AG777-$AG778)*100</f>
        <v/>
      </c>
      <c r="CA777" s="56">
        <f>($AH777-$AH778)*100</f>
        <v/>
      </c>
      <c r="CB777" s="56">
        <f>($AI777-$AI778)*100</f>
        <v/>
      </c>
      <c r="CC777" s="56">
        <f>($AJ777-$AJ778)*100</f>
        <v/>
      </c>
      <c r="CD777" s="56">
        <f>($AK777-$AK778)*100</f>
        <v/>
      </c>
      <c r="CE777" s="56">
        <f>($AL777-$AL778)*100</f>
        <v/>
      </c>
      <c r="CF777" s="56">
        <f>($AM777-$AM778)*100</f>
        <v/>
      </c>
      <c r="CG777" s="56">
        <f>($AN777-$AN778)*100</f>
        <v/>
      </c>
      <c r="CH777" s="56">
        <f>($AO777-$AO778)*100</f>
        <v/>
      </c>
      <c r="CI777" s="56">
        <f>($AP777-$AP778)*100</f>
        <v/>
      </c>
      <c r="CJ777" s="56">
        <f>($AQ777-$AQ778)*100</f>
        <v/>
      </c>
      <c r="CK777" s="56">
        <f>($AR777-$AR778)*100</f>
        <v/>
      </c>
      <c r="CL777" s="56">
        <f>($AS777-$AS778)*100</f>
        <v/>
      </c>
      <c r="CM777" s="56">
        <f>($AT777-$AT778)*100</f>
        <v/>
      </c>
      <c r="CN777" s="56">
        <f>($AU777-$AU778)*100</f>
        <v/>
      </c>
      <c r="CO777" s="56">
        <f>($AV777-$AV778)*100</f>
        <v/>
      </c>
      <c r="CP777" s="56">
        <f>($AW777-$AW778)*100</f>
        <v/>
      </c>
      <c r="CQ777" s="56">
        <f>($AX777-$AX778)*100</f>
        <v/>
      </c>
      <c r="CR777" s="56">
        <f>($AY777-$AY778)*100</f>
        <v/>
      </c>
      <c r="CS777" s="57">
        <f>IFERROR($L778/$L777-1,"")</f>
        <v/>
      </c>
      <c r="CT777" s="57">
        <f>IFERROR($M778/$M777-1,"")</f>
        <v/>
      </c>
      <c r="CU777" s="57">
        <f>IFERROR($N778/$N777-1,"")</f>
        <v/>
      </c>
      <c r="CV777" s="57">
        <f>IFERROR($O778/$O777-1,"")</f>
        <v/>
      </c>
      <c r="CW777" s="57">
        <f>IFERROR($P778/$P777-1,"")</f>
        <v/>
      </c>
      <c r="CX777" s="57">
        <f>IFERROR($Q778/$Q777-1,"")</f>
        <v/>
      </c>
      <c r="CY777" s="57">
        <f>IFERROR($R778/$R777-1,"")</f>
        <v/>
      </c>
      <c r="CZ777" s="57">
        <f>IFERROR($S778/$S777-1,"")</f>
        <v/>
      </c>
      <c r="DA777" s="57">
        <f>IFERROR($T778/$T777-1,"")</f>
        <v/>
      </c>
      <c r="DB777" s="57">
        <f>IFERROR($U778/$U777-1,"")</f>
        <v/>
      </c>
      <c r="DC777" s="57">
        <f>IFERROR($V778/$V777-1,"")</f>
        <v/>
      </c>
      <c r="DD777" s="57">
        <f>IFERROR($W778/$W777-1,"")</f>
        <v/>
      </c>
      <c r="DE777" s="57">
        <f>IFERROR($X778/$X777-1,"")</f>
        <v/>
      </c>
      <c r="DF777" s="57">
        <f>IFERROR($Y778/$Y777-1,"")</f>
        <v/>
      </c>
      <c r="DG777" s="57">
        <f>IFERROR($Z778/$Z777-1,"")</f>
        <v/>
      </c>
      <c r="DH777" s="57">
        <f>IFERROR($AA778/$AA777-1,"")</f>
        <v/>
      </c>
      <c r="DI777" s="57">
        <f>IFERROR($AB778/$AB777-1,"")</f>
        <v/>
      </c>
      <c r="DJ777" s="57">
        <f>IFERROR($AC778/$AC777-1,"")</f>
        <v/>
      </c>
      <c r="DK777" s="57">
        <f>IFERROR($AD778/$AD777-1,"")</f>
        <v/>
      </c>
      <c r="DL777" s="57">
        <f>IFERROR($AE778/$AE777-1,"")</f>
        <v/>
      </c>
      <c r="DM777" s="56">
        <f>$AZ777-$AZ778</f>
        <v/>
      </c>
      <c r="DN777" s="56">
        <f>$BA777-$BA778</f>
        <v/>
      </c>
      <c r="DO777" s="56">
        <f>$BB777-$BB778</f>
        <v/>
      </c>
      <c r="DP777" s="56">
        <f>$BC777-$BC778</f>
        <v/>
      </c>
      <c r="DQ777" s="56">
        <f>$BD777-$BD778</f>
        <v/>
      </c>
      <c r="DR777" s="56">
        <f>$BE777-$BE778</f>
        <v/>
      </c>
      <c r="DS777" s="56">
        <f>$BF777-$BF778</f>
        <v/>
      </c>
      <c r="DT777" s="56">
        <f>$BG777-$BG778</f>
        <v/>
      </c>
      <c r="DU777" s="56">
        <f>$BH777-$BH778</f>
        <v/>
      </c>
      <c r="DV777" s="56">
        <f>$BI777-$BI778</f>
        <v/>
      </c>
      <c r="DW777" s="56">
        <f>$BJ777-$BJ778</f>
        <v/>
      </c>
      <c r="DX777" s="56">
        <f>$BK777-$BK778</f>
        <v/>
      </c>
      <c r="DY777" s="56">
        <f>$BL777-$BL778</f>
        <v/>
      </c>
      <c r="DZ777" s="56">
        <f>$BM777-$BM778</f>
        <v/>
      </c>
      <c r="EA777" s="56">
        <f>$BN777-$BN778</f>
        <v/>
      </c>
      <c r="EB777" s="56">
        <f>$BO777-$BO778</f>
        <v/>
      </c>
      <c r="EC777" s="56">
        <f>$BP777-$BP778</f>
        <v/>
      </c>
      <c r="ED777" s="56">
        <f>$BQ777-$BQ778</f>
        <v/>
      </c>
      <c r="EE777" s="56">
        <f>$BR777-$BR778</f>
        <v/>
      </c>
      <c r="EF777" s="56">
        <f>$BS777-$BS778</f>
        <v/>
      </c>
      <c r="EG777" s="56">
        <f>$BT777-$BT778</f>
        <v/>
      </c>
      <c r="EH777" s="56">
        <f>$BU777-$BU778</f>
        <v/>
      </c>
    </row>
    <row r="778">
      <c r="BV778" s="56">
        <f>($D778-$D779)*100</f>
        <v/>
      </c>
      <c r="BW778" s="56">
        <f>($C778-$C779)*100</f>
        <v/>
      </c>
      <c r="BX778" s="57">
        <f>IFERROR($I778/$I779-1,"")</f>
        <v/>
      </c>
      <c r="BY778" s="56">
        <f>($AF778-$AF779)*100</f>
        <v/>
      </c>
      <c r="BZ778" s="56">
        <f>($AG778-$AG779)*100</f>
        <v/>
      </c>
      <c r="CA778" s="56">
        <f>($AH778-$AH779)*100</f>
        <v/>
      </c>
      <c r="CB778" s="56">
        <f>($AI778-$AI779)*100</f>
        <v/>
      </c>
      <c r="CC778" s="56">
        <f>($AJ778-$AJ779)*100</f>
        <v/>
      </c>
      <c r="CD778" s="56">
        <f>($AK778-$AK779)*100</f>
        <v/>
      </c>
      <c r="CE778" s="56">
        <f>($AL778-$AL779)*100</f>
        <v/>
      </c>
      <c r="CF778" s="56">
        <f>($AM778-$AM779)*100</f>
        <v/>
      </c>
      <c r="CG778" s="56">
        <f>($AN778-$AN779)*100</f>
        <v/>
      </c>
      <c r="CH778" s="56">
        <f>($AO778-$AO779)*100</f>
        <v/>
      </c>
      <c r="CI778" s="56">
        <f>($AP778-$AP779)*100</f>
        <v/>
      </c>
      <c r="CJ778" s="56">
        <f>($AQ778-$AQ779)*100</f>
        <v/>
      </c>
      <c r="CK778" s="56">
        <f>($AR778-$AR779)*100</f>
        <v/>
      </c>
      <c r="CL778" s="56">
        <f>($AS778-$AS779)*100</f>
        <v/>
      </c>
      <c r="CM778" s="56">
        <f>($AT778-$AT779)*100</f>
        <v/>
      </c>
      <c r="CN778" s="56">
        <f>($AU778-$AU779)*100</f>
        <v/>
      </c>
      <c r="CO778" s="56">
        <f>($AV778-$AV779)*100</f>
        <v/>
      </c>
      <c r="CP778" s="56">
        <f>($AW778-$AW779)*100</f>
        <v/>
      </c>
      <c r="CQ778" s="56">
        <f>($AX778-$AX779)*100</f>
        <v/>
      </c>
      <c r="CR778" s="56">
        <f>($AY778-$AY779)*100</f>
        <v/>
      </c>
      <c r="CS778" s="57">
        <f>IFERROR($L779/$L778-1,"")</f>
        <v/>
      </c>
      <c r="CT778" s="57">
        <f>IFERROR($M779/$M778-1,"")</f>
        <v/>
      </c>
      <c r="CU778" s="57">
        <f>IFERROR($N779/$N778-1,"")</f>
        <v/>
      </c>
      <c r="CV778" s="57">
        <f>IFERROR($O779/$O778-1,"")</f>
        <v/>
      </c>
      <c r="CW778" s="57">
        <f>IFERROR($P779/$P778-1,"")</f>
        <v/>
      </c>
      <c r="CX778" s="57">
        <f>IFERROR($Q779/$Q778-1,"")</f>
        <v/>
      </c>
      <c r="CY778" s="57">
        <f>IFERROR($R779/$R778-1,"")</f>
        <v/>
      </c>
      <c r="CZ778" s="57">
        <f>IFERROR($S779/$S778-1,"")</f>
        <v/>
      </c>
      <c r="DA778" s="57">
        <f>IFERROR($T779/$T778-1,"")</f>
        <v/>
      </c>
      <c r="DB778" s="57">
        <f>IFERROR($U779/$U778-1,"")</f>
        <v/>
      </c>
      <c r="DC778" s="57">
        <f>IFERROR($V779/$V778-1,"")</f>
        <v/>
      </c>
      <c r="DD778" s="57">
        <f>IFERROR($W779/$W778-1,"")</f>
        <v/>
      </c>
      <c r="DE778" s="57">
        <f>IFERROR($X779/$X778-1,"")</f>
        <v/>
      </c>
      <c r="DF778" s="57">
        <f>IFERROR($Y779/$Y778-1,"")</f>
        <v/>
      </c>
      <c r="DG778" s="57">
        <f>IFERROR($Z779/$Z778-1,"")</f>
        <v/>
      </c>
      <c r="DH778" s="57">
        <f>IFERROR($AA779/$AA778-1,"")</f>
        <v/>
      </c>
      <c r="DI778" s="57">
        <f>IFERROR($AB779/$AB778-1,"")</f>
        <v/>
      </c>
      <c r="DJ778" s="57">
        <f>IFERROR($AC779/$AC778-1,"")</f>
        <v/>
      </c>
      <c r="DK778" s="57">
        <f>IFERROR($AD779/$AD778-1,"")</f>
        <v/>
      </c>
      <c r="DL778" s="57">
        <f>IFERROR($AE779/$AE778-1,"")</f>
        <v/>
      </c>
      <c r="DM778" s="56">
        <f>$AZ778-$AZ779</f>
        <v/>
      </c>
      <c r="DN778" s="56">
        <f>$BA778-$BA779</f>
        <v/>
      </c>
      <c r="DO778" s="56">
        <f>$BB778-$BB779</f>
        <v/>
      </c>
      <c r="DP778" s="56">
        <f>$BC778-$BC779</f>
        <v/>
      </c>
      <c r="DQ778" s="56">
        <f>$BD778-$BD779</f>
        <v/>
      </c>
      <c r="DR778" s="56">
        <f>$BE778-$BE779</f>
        <v/>
      </c>
      <c r="DS778" s="56">
        <f>$BF778-$BF779</f>
        <v/>
      </c>
      <c r="DT778" s="56">
        <f>$BG778-$BG779</f>
        <v/>
      </c>
      <c r="DU778" s="56">
        <f>$BH778-$BH779</f>
        <v/>
      </c>
      <c r="DV778" s="56">
        <f>$BI778-$BI779</f>
        <v/>
      </c>
      <c r="DW778" s="56">
        <f>$BJ778-$BJ779</f>
        <v/>
      </c>
      <c r="DX778" s="56">
        <f>$BK778-$BK779</f>
        <v/>
      </c>
      <c r="DY778" s="56">
        <f>$BL778-$BL779</f>
        <v/>
      </c>
      <c r="DZ778" s="56">
        <f>$BM778-$BM779</f>
        <v/>
      </c>
      <c r="EA778" s="56">
        <f>$BN778-$BN779</f>
        <v/>
      </c>
      <c r="EB778" s="56">
        <f>$BO778-$BO779</f>
        <v/>
      </c>
      <c r="EC778" s="56">
        <f>$BP778-$BP779</f>
        <v/>
      </c>
      <c r="ED778" s="56">
        <f>$BQ778-$BQ779</f>
        <v/>
      </c>
      <c r="EE778" s="56">
        <f>$BR778-$BR779</f>
        <v/>
      </c>
      <c r="EF778" s="56">
        <f>$BS778-$BS779</f>
        <v/>
      </c>
      <c r="EG778" s="56">
        <f>$BT778-$BT779</f>
        <v/>
      </c>
      <c r="EH778" s="56">
        <f>$BU778-$BU779</f>
        <v/>
      </c>
    </row>
    <row r="779">
      <c r="BV779" s="56">
        <f>($D779-$D780)*100</f>
        <v/>
      </c>
      <c r="BW779" s="56">
        <f>($C779-$C780)*100</f>
        <v/>
      </c>
      <c r="BX779" s="57">
        <f>IFERROR($I779/$I780-1,"")</f>
        <v/>
      </c>
      <c r="BY779" s="56">
        <f>($AF779-$AF780)*100</f>
        <v/>
      </c>
      <c r="BZ779" s="56">
        <f>($AG779-$AG780)*100</f>
        <v/>
      </c>
      <c r="CA779" s="56">
        <f>($AH779-$AH780)*100</f>
        <v/>
      </c>
      <c r="CB779" s="56">
        <f>($AI779-$AI780)*100</f>
        <v/>
      </c>
      <c r="CC779" s="56">
        <f>($AJ779-$AJ780)*100</f>
        <v/>
      </c>
      <c r="CD779" s="56">
        <f>($AK779-$AK780)*100</f>
        <v/>
      </c>
      <c r="CE779" s="56">
        <f>($AL779-$AL780)*100</f>
        <v/>
      </c>
      <c r="CF779" s="56">
        <f>($AM779-$AM780)*100</f>
        <v/>
      </c>
      <c r="CG779" s="56">
        <f>($AN779-$AN780)*100</f>
        <v/>
      </c>
      <c r="CH779" s="56">
        <f>($AO779-$AO780)*100</f>
        <v/>
      </c>
      <c r="CI779" s="56">
        <f>($AP779-$AP780)*100</f>
        <v/>
      </c>
      <c r="CJ779" s="56">
        <f>($AQ779-$AQ780)*100</f>
        <v/>
      </c>
      <c r="CK779" s="56">
        <f>($AR779-$AR780)*100</f>
        <v/>
      </c>
      <c r="CL779" s="56">
        <f>($AS779-$AS780)*100</f>
        <v/>
      </c>
      <c r="CM779" s="56">
        <f>($AT779-$AT780)*100</f>
        <v/>
      </c>
      <c r="CN779" s="56">
        <f>($AU779-$AU780)*100</f>
        <v/>
      </c>
      <c r="CO779" s="56">
        <f>($AV779-$AV780)*100</f>
        <v/>
      </c>
      <c r="CP779" s="56">
        <f>($AW779-$AW780)*100</f>
        <v/>
      </c>
      <c r="CQ779" s="56">
        <f>($AX779-$AX780)*100</f>
        <v/>
      </c>
      <c r="CR779" s="56">
        <f>($AY779-$AY780)*100</f>
        <v/>
      </c>
      <c r="CS779" s="57">
        <f>IFERROR($L780/$L779-1,"")</f>
        <v/>
      </c>
      <c r="CT779" s="57">
        <f>IFERROR($M780/$M779-1,"")</f>
        <v/>
      </c>
      <c r="CU779" s="57">
        <f>IFERROR($N780/$N779-1,"")</f>
        <v/>
      </c>
      <c r="CV779" s="57">
        <f>IFERROR($O780/$O779-1,"")</f>
        <v/>
      </c>
      <c r="CW779" s="57">
        <f>IFERROR($P780/$P779-1,"")</f>
        <v/>
      </c>
      <c r="CX779" s="57">
        <f>IFERROR($Q780/$Q779-1,"")</f>
        <v/>
      </c>
      <c r="CY779" s="57">
        <f>IFERROR($R780/$R779-1,"")</f>
        <v/>
      </c>
      <c r="CZ779" s="57">
        <f>IFERROR($S780/$S779-1,"")</f>
        <v/>
      </c>
      <c r="DA779" s="57">
        <f>IFERROR($T780/$T779-1,"")</f>
        <v/>
      </c>
      <c r="DB779" s="57">
        <f>IFERROR($U780/$U779-1,"")</f>
        <v/>
      </c>
      <c r="DC779" s="57">
        <f>IFERROR($V780/$V779-1,"")</f>
        <v/>
      </c>
      <c r="DD779" s="57">
        <f>IFERROR($W780/$W779-1,"")</f>
        <v/>
      </c>
      <c r="DE779" s="57">
        <f>IFERROR($X780/$X779-1,"")</f>
        <v/>
      </c>
      <c r="DF779" s="57">
        <f>IFERROR($Y780/$Y779-1,"")</f>
        <v/>
      </c>
      <c r="DG779" s="57">
        <f>IFERROR($Z780/$Z779-1,"")</f>
        <v/>
      </c>
      <c r="DH779" s="57">
        <f>IFERROR($AA780/$AA779-1,"")</f>
        <v/>
      </c>
      <c r="DI779" s="57">
        <f>IFERROR($AB780/$AB779-1,"")</f>
        <v/>
      </c>
      <c r="DJ779" s="57">
        <f>IFERROR($AC780/$AC779-1,"")</f>
        <v/>
      </c>
      <c r="DK779" s="57">
        <f>IFERROR($AD780/$AD779-1,"")</f>
        <v/>
      </c>
      <c r="DL779" s="57">
        <f>IFERROR($AE780/$AE779-1,"")</f>
        <v/>
      </c>
      <c r="DM779" s="56">
        <f>$AZ779-$AZ780</f>
        <v/>
      </c>
      <c r="DN779" s="56">
        <f>$BA779-$BA780</f>
        <v/>
      </c>
      <c r="DO779" s="56">
        <f>$BB779-$BB780</f>
        <v/>
      </c>
      <c r="DP779" s="56">
        <f>$BC779-$BC780</f>
        <v/>
      </c>
      <c r="DQ779" s="56">
        <f>$BD779-$BD780</f>
        <v/>
      </c>
      <c r="DR779" s="56">
        <f>$BE779-$BE780</f>
        <v/>
      </c>
      <c r="DS779" s="56">
        <f>$BF779-$BF780</f>
        <v/>
      </c>
      <c r="DT779" s="56">
        <f>$BG779-$BG780</f>
        <v/>
      </c>
      <c r="DU779" s="56">
        <f>$BH779-$BH780</f>
        <v/>
      </c>
      <c r="DV779" s="56">
        <f>$BI779-$BI780</f>
        <v/>
      </c>
      <c r="DW779" s="56">
        <f>$BJ779-$BJ780</f>
        <v/>
      </c>
      <c r="DX779" s="56">
        <f>$BK779-$BK780</f>
        <v/>
      </c>
      <c r="DY779" s="56">
        <f>$BL779-$BL780</f>
        <v/>
      </c>
      <c r="DZ779" s="56">
        <f>$BM779-$BM780</f>
        <v/>
      </c>
      <c r="EA779" s="56">
        <f>$BN779-$BN780</f>
        <v/>
      </c>
      <c r="EB779" s="56">
        <f>$BO779-$BO780</f>
        <v/>
      </c>
      <c r="EC779" s="56">
        <f>$BP779-$BP780</f>
        <v/>
      </c>
      <c r="ED779" s="56">
        <f>$BQ779-$BQ780</f>
        <v/>
      </c>
      <c r="EE779" s="56">
        <f>$BR779-$BR780</f>
        <v/>
      </c>
      <c r="EF779" s="56">
        <f>$BS779-$BS780</f>
        <v/>
      </c>
      <c r="EG779" s="56">
        <f>$BT779-$BT780</f>
        <v/>
      </c>
      <c r="EH779" s="56">
        <f>$BU779-$BU780</f>
        <v/>
      </c>
    </row>
    <row r="780">
      <c r="BV780" s="56">
        <f>($D780-$D781)*100</f>
        <v/>
      </c>
      <c r="BW780" s="56">
        <f>($C780-$C781)*100</f>
        <v/>
      </c>
      <c r="BX780" s="57">
        <f>IFERROR($I780/$I781-1,"")</f>
        <v/>
      </c>
      <c r="BY780" s="56">
        <f>($AF780-$AF781)*100</f>
        <v/>
      </c>
      <c r="BZ780" s="56">
        <f>($AG780-$AG781)*100</f>
        <v/>
      </c>
      <c r="CA780" s="56">
        <f>($AH780-$AH781)*100</f>
        <v/>
      </c>
      <c r="CB780" s="56">
        <f>($AI780-$AI781)*100</f>
        <v/>
      </c>
      <c r="CC780" s="56">
        <f>($AJ780-$AJ781)*100</f>
        <v/>
      </c>
      <c r="CD780" s="56">
        <f>($AK780-$AK781)*100</f>
        <v/>
      </c>
      <c r="CE780" s="56">
        <f>($AL780-$AL781)*100</f>
        <v/>
      </c>
      <c r="CF780" s="56">
        <f>($AM780-$AM781)*100</f>
        <v/>
      </c>
      <c r="CG780" s="56">
        <f>($AN780-$AN781)*100</f>
        <v/>
      </c>
      <c r="CH780" s="56">
        <f>($AO780-$AO781)*100</f>
        <v/>
      </c>
      <c r="CI780" s="56">
        <f>($AP780-$AP781)*100</f>
        <v/>
      </c>
      <c r="CJ780" s="56">
        <f>($AQ780-$AQ781)*100</f>
        <v/>
      </c>
      <c r="CK780" s="56">
        <f>($AR780-$AR781)*100</f>
        <v/>
      </c>
      <c r="CL780" s="56">
        <f>($AS780-$AS781)*100</f>
        <v/>
      </c>
      <c r="CM780" s="56">
        <f>($AT780-$AT781)*100</f>
        <v/>
      </c>
      <c r="CN780" s="56">
        <f>($AU780-$AU781)*100</f>
        <v/>
      </c>
      <c r="CO780" s="56">
        <f>($AV780-$AV781)*100</f>
        <v/>
      </c>
      <c r="CP780" s="56">
        <f>($AW780-$AW781)*100</f>
        <v/>
      </c>
      <c r="CQ780" s="56">
        <f>($AX780-$AX781)*100</f>
        <v/>
      </c>
      <c r="CR780" s="56">
        <f>($AY780-$AY781)*100</f>
        <v/>
      </c>
      <c r="CS780" s="57">
        <f>IFERROR($L781/$L780-1,"")</f>
        <v/>
      </c>
      <c r="CT780" s="57">
        <f>IFERROR($M781/$M780-1,"")</f>
        <v/>
      </c>
      <c r="CU780" s="57">
        <f>IFERROR($N781/$N780-1,"")</f>
        <v/>
      </c>
      <c r="CV780" s="57">
        <f>IFERROR($O781/$O780-1,"")</f>
        <v/>
      </c>
      <c r="CW780" s="57">
        <f>IFERROR($P781/$P780-1,"")</f>
        <v/>
      </c>
      <c r="CX780" s="57">
        <f>IFERROR($Q781/$Q780-1,"")</f>
        <v/>
      </c>
      <c r="CY780" s="57">
        <f>IFERROR($R781/$R780-1,"")</f>
        <v/>
      </c>
      <c r="CZ780" s="57">
        <f>IFERROR($S781/$S780-1,"")</f>
        <v/>
      </c>
      <c r="DA780" s="57">
        <f>IFERROR($T781/$T780-1,"")</f>
        <v/>
      </c>
      <c r="DB780" s="57">
        <f>IFERROR($U781/$U780-1,"")</f>
        <v/>
      </c>
      <c r="DC780" s="57">
        <f>IFERROR($V781/$V780-1,"")</f>
        <v/>
      </c>
      <c r="DD780" s="57">
        <f>IFERROR($W781/$W780-1,"")</f>
        <v/>
      </c>
      <c r="DE780" s="57">
        <f>IFERROR($X781/$X780-1,"")</f>
        <v/>
      </c>
      <c r="DF780" s="57">
        <f>IFERROR($Y781/$Y780-1,"")</f>
        <v/>
      </c>
      <c r="DG780" s="57">
        <f>IFERROR($Z781/$Z780-1,"")</f>
        <v/>
      </c>
      <c r="DH780" s="57">
        <f>IFERROR($AA781/$AA780-1,"")</f>
        <v/>
      </c>
      <c r="DI780" s="57">
        <f>IFERROR($AB781/$AB780-1,"")</f>
        <v/>
      </c>
      <c r="DJ780" s="57">
        <f>IFERROR($AC781/$AC780-1,"")</f>
        <v/>
      </c>
      <c r="DK780" s="57">
        <f>IFERROR($AD781/$AD780-1,"")</f>
        <v/>
      </c>
      <c r="DL780" s="57">
        <f>IFERROR($AE781/$AE780-1,"")</f>
        <v/>
      </c>
      <c r="DM780" s="56">
        <f>$AZ780-$AZ781</f>
        <v/>
      </c>
      <c r="DN780" s="56">
        <f>$BA780-$BA781</f>
        <v/>
      </c>
      <c r="DO780" s="56">
        <f>$BB780-$BB781</f>
        <v/>
      </c>
      <c r="DP780" s="56">
        <f>$BC780-$BC781</f>
        <v/>
      </c>
      <c r="DQ780" s="56">
        <f>$BD780-$BD781</f>
        <v/>
      </c>
      <c r="DR780" s="56">
        <f>$BE780-$BE781</f>
        <v/>
      </c>
      <c r="DS780" s="56">
        <f>$BF780-$BF781</f>
        <v/>
      </c>
      <c r="DT780" s="56">
        <f>$BG780-$BG781</f>
        <v/>
      </c>
      <c r="DU780" s="56">
        <f>$BH780-$BH781</f>
        <v/>
      </c>
      <c r="DV780" s="56">
        <f>$BI780-$BI781</f>
        <v/>
      </c>
      <c r="DW780" s="56">
        <f>$BJ780-$BJ781</f>
        <v/>
      </c>
      <c r="DX780" s="56">
        <f>$BK780-$BK781</f>
        <v/>
      </c>
      <c r="DY780" s="56">
        <f>$BL780-$BL781</f>
        <v/>
      </c>
      <c r="DZ780" s="56">
        <f>$BM780-$BM781</f>
        <v/>
      </c>
      <c r="EA780" s="56">
        <f>$BN780-$BN781</f>
        <v/>
      </c>
      <c r="EB780" s="56">
        <f>$BO780-$BO781</f>
        <v/>
      </c>
      <c r="EC780" s="56">
        <f>$BP780-$BP781</f>
        <v/>
      </c>
      <c r="ED780" s="56">
        <f>$BQ780-$BQ781</f>
        <v/>
      </c>
      <c r="EE780" s="56">
        <f>$BR780-$BR781</f>
        <v/>
      </c>
      <c r="EF780" s="56">
        <f>$BS780-$BS781</f>
        <v/>
      </c>
      <c r="EG780" s="56">
        <f>$BT780-$BT781</f>
        <v/>
      </c>
      <c r="EH780" s="56">
        <f>$BU780-$BU781</f>
        <v/>
      </c>
    </row>
    <row r="781">
      <c r="BV781" s="56">
        <f>($D781-$D782)*100</f>
        <v/>
      </c>
      <c r="BW781" s="56">
        <f>($C781-$C782)*100</f>
        <v/>
      </c>
      <c r="BX781" s="57">
        <f>IFERROR($I781/$I782-1,"")</f>
        <v/>
      </c>
      <c r="BY781" s="56">
        <f>($AF781-$AF782)*100</f>
        <v/>
      </c>
      <c r="BZ781" s="56">
        <f>($AG781-$AG782)*100</f>
        <v/>
      </c>
      <c r="CA781" s="56">
        <f>($AH781-$AH782)*100</f>
        <v/>
      </c>
      <c r="CB781" s="56">
        <f>($AI781-$AI782)*100</f>
        <v/>
      </c>
      <c r="CC781" s="56">
        <f>($AJ781-$AJ782)*100</f>
        <v/>
      </c>
      <c r="CD781" s="56">
        <f>($AK781-$AK782)*100</f>
        <v/>
      </c>
      <c r="CE781" s="56">
        <f>($AL781-$AL782)*100</f>
        <v/>
      </c>
      <c r="CF781" s="56">
        <f>($AM781-$AM782)*100</f>
        <v/>
      </c>
      <c r="CG781" s="56">
        <f>($AN781-$AN782)*100</f>
        <v/>
      </c>
      <c r="CH781" s="56">
        <f>($AO781-$AO782)*100</f>
        <v/>
      </c>
      <c r="CI781" s="56">
        <f>($AP781-$AP782)*100</f>
        <v/>
      </c>
      <c r="CJ781" s="56">
        <f>($AQ781-$AQ782)*100</f>
        <v/>
      </c>
      <c r="CK781" s="56">
        <f>($AR781-$AR782)*100</f>
        <v/>
      </c>
      <c r="CL781" s="56">
        <f>($AS781-$AS782)*100</f>
        <v/>
      </c>
      <c r="CM781" s="56">
        <f>($AT781-$AT782)*100</f>
        <v/>
      </c>
      <c r="CN781" s="56">
        <f>($AU781-$AU782)*100</f>
        <v/>
      </c>
      <c r="CO781" s="56">
        <f>($AV781-$AV782)*100</f>
        <v/>
      </c>
      <c r="CP781" s="56">
        <f>($AW781-$AW782)*100</f>
        <v/>
      </c>
      <c r="CQ781" s="56">
        <f>($AX781-$AX782)*100</f>
        <v/>
      </c>
      <c r="CR781" s="56">
        <f>($AY781-$AY782)*100</f>
        <v/>
      </c>
      <c r="CS781" s="57">
        <f>IFERROR($L782/$L781-1,"")</f>
        <v/>
      </c>
      <c r="CT781" s="57">
        <f>IFERROR($M782/$M781-1,"")</f>
        <v/>
      </c>
      <c r="CU781" s="57">
        <f>IFERROR($N782/$N781-1,"")</f>
        <v/>
      </c>
      <c r="CV781" s="57">
        <f>IFERROR($O782/$O781-1,"")</f>
        <v/>
      </c>
      <c r="CW781" s="57">
        <f>IFERROR($P782/$P781-1,"")</f>
        <v/>
      </c>
      <c r="CX781" s="57">
        <f>IFERROR($Q782/$Q781-1,"")</f>
        <v/>
      </c>
      <c r="CY781" s="57">
        <f>IFERROR($R782/$R781-1,"")</f>
        <v/>
      </c>
      <c r="CZ781" s="57">
        <f>IFERROR($S782/$S781-1,"")</f>
        <v/>
      </c>
      <c r="DA781" s="57">
        <f>IFERROR($T782/$T781-1,"")</f>
        <v/>
      </c>
      <c r="DB781" s="57">
        <f>IFERROR($U782/$U781-1,"")</f>
        <v/>
      </c>
      <c r="DC781" s="57">
        <f>IFERROR($V782/$V781-1,"")</f>
        <v/>
      </c>
      <c r="DD781" s="57">
        <f>IFERROR($W782/$W781-1,"")</f>
        <v/>
      </c>
      <c r="DE781" s="57">
        <f>IFERROR($X782/$X781-1,"")</f>
        <v/>
      </c>
      <c r="DF781" s="57">
        <f>IFERROR($Y782/$Y781-1,"")</f>
        <v/>
      </c>
      <c r="DG781" s="57">
        <f>IFERROR($Z782/$Z781-1,"")</f>
        <v/>
      </c>
      <c r="DH781" s="57">
        <f>IFERROR($AA782/$AA781-1,"")</f>
        <v/>
      </c>
      <c r="DI781" s="57">
        <f>IFERROR($AB782/$AB781-1,"")</f>
        <v/>
      </c>
      <c r="DJ781" s="57">
        <f>IFERROR($AC782/$AC781-1,"")</f>
        <v/>
      </c>
      <c r="DK781" s="57">
        <f>IFERROR($AD782/$AD781-1,"")</f>
        <v/>
      </c>
      <c r="DL781" s="57">
        <f>IFERROR($AE782/$AE781-1,"")</f>
        <v/>
      </c>
      <c r="DM781" s="56">
        <f>$AZ781-$AZ782</f>
        <v/>
      </c>
      <c r="DN781" s="56">
        <f>$BA781-$BA782</f>
        <v/>
      </c>
      <c r="DO781" s="56">
        <f>$BB781-$BB782</f>
        <v/>
      </c>
      <c r="DP781" s="56">
        <f>$BC781-$BC782</f>
        <v/>
      </c>
      <c r="DQ781" s="56">
        <f>$BD781-$BD782</f>
        <v/>
      </c>
      <c r="DR781" s="56">
        <f>$BE781-$BE782</f>
        <v/>
      </c>
      <c r="DS781" s="56">
        <f>$BF781-$BF782</f>
        <v/>
      </c>
      <c r="DT781" s="56">
        <f>$BG781-$BG782</f>
        <v/>
      </c>
      <c r="DU781" s="56">
        <f>$BH781-$BH782</f>
        <v/>
      </c>
      <c r="DV781" s="56">
        <f>$BI781-$BI782</f>
        <v/>
      </c>
      <c r="DW781" s="56">
        <f>$BJ781-$BJ782</f>
        <v/>
      </c>
      <c r="DX781" s="56">
        <f>$BK781-$BK782</f>
        <v/>
      </c>
      <c r="DY781" s="56">
        <f>$BL781-$BL782</f>
        <v/>
      </c>
      <c r="DZ781" s="56">
        <f>$BM781-$BM782</f>
        <v/>
      </c>
      <c r="EA781" s="56">
        <f>$BN781-$BN782</f>
        <v/>
      </c>
      <c r="EB781" s="56">
        <f>$BO781-$BO782</f>
        <v/>
      </c>
      <c r="EC781" s="56">
        <f>$BP781-$BP782</f>
        <v/>
      </c>
      <c r="ED781" s="56">
        <f>$BQ781-$BQ782</f>
        <v/>
      </c>
      <c r="EE781" s="56">
        <f>$BR781-$BR782</f>
        <v/>
      </c>
      <c r="EF781" s="56">
        <f>$BS781-$BS782</f>
        <v/>
      </c>
      <c r="EG781" s="56">
        <f>$BT781-$BT782</f>
        <v/>
      </c>
      <c r="EH781" s="56">
        <f>$BU781-$BU782</f>
        <v/>
      </c>
    </row>
    <row r="782">
      <c r="BV782" s="56">
        <f>($D782-$D783)*100</f>
        <v/>
      </c>
      <c r="BW782" s="56">
        <f>($C782-$C783)*100</f>
        <v/>
      </c>
      <c r="BX782" s="57">
        <f>IFERROR($I782/$I783-1,"")</f>
        <v/>
      </c>
      <c r="BY782" s="56">
        <f>($AF782-$AF783)*100</f>
        <v/>
      </c>
      <c r="BZ782" s="56">
        <f>($AG782-$AG783)*100</f>
        <v/>
      </c>
      <c r="CA782" s="56">
        <f>($AH782-$AH783)*100</f>
        <v/>
      </c>
      <c r="CB782" s="56">
        <f>($AI782-$AI783)*100</f>
        <v/>
      </c>
      <c r="CC782" s="56">
        <f>($AJ782-$AJ783)*100</f>
        <v/>
      </c>
      <c r="CD782" s="56">
        <f>($AK782-$AK783)*100</f>
        <v/>
      </c>
      <c r="CE782" s="56">
        <f>($AL782-$AL783)*100</f>
        <v/>
      </c>
      <c r="CF782" s="56">
        <f>($AM782-$AM783)*100</f>
        <v/>
      </c>
      <c r="CG782" s="56">
        <f>($AN782-$AN783)*100</f>
        <v/>
      </c>
      <c r="CH782" s="56">
        <f>($AO782-$AO783)*100</f>
        <v/>
      </c>
      <c r="CI782" s="56">
        <f>($AP782-$AP783)*100</f>
        <v/>
      </c>
      <c r="CJ782" s="56">
        <f>($AQ782-$AQ783)*100</f>
        <v/>
      </c>
      <c r="CK782" s="56">
        <f>($AR782-$AR783)*100</f>
        <v/>
      </c>
      <c r="CL782" s="56">
        <f>($AS782-$AS783)*100</f>
        <v/>
      </c>
      <c r="CM782" s="56">
        <f>($AT782-$AT783)*100</f>
        <v/>
      </c>
      <c r="CN782" s="56">
        <f>($AU782-$AU783)*100</f>
        <v/>
      </c>
      <c r="CO782" s="56">
        <f>($AV782-$AV783)*100</f>
        <v/>
      </c>
      <c r="CP782" s="56">
        <f>($AW782-$AW783)*100</f>
        <v/>
      </c>
      <c r="CQ782" s="56">
        <f>($AX782-$AX783)*100</f>
        <v/>
      </c>
      <c r="CR782" s="56">
        <f>($AY782-$AY783)*100</f>
        <v/>
      </c>
      <c r="CS782" s="57">
        <f>IFERROR($L783/$L782-1,"")</f>
        <v/>
      </c>
      <c r="CT782" s="57">
        <f>IFERROR($M783/$M782-1,"")</f>
        <v/>
      </c>
      <c r="CU782" s="57">
        <f>IFERROR($N783/$N782-1,"")</f>
        <v/>
      </c>
      <c r="CV782" s="57">
        <f>IFERROR($O783/$O782-1,"")</f>
        <v/>
      </c>
      <c r="CW782" s="57">
        <f>IFERROR($P783/$P782-1,"")</f>
        <v/>
      </c>
      <c r="CX782" s="57">
        <f>IFERROR($Q783/$Q782-1,"")</f>
        <v/>
      </c>
      <c r="CY782" s="57">
        <f>IFERROR($R783/$R782-1,"")</f>
        <v/>
      </c>
      <c r="CZ782" s="57">
        <f>IFERROR($S783/$S782-1,"")</f>
        <v/>
      </c>
      <c r="DA782" s="57">
        <f>IFERROR($T783/$T782-1,"")</f>
        <v/>
      </c>
      <c r="DB782" s="57">
        <f>IFERROR($U783/$U782-1,"")</f>
        <v/>
      </c>
      <c r="DC782" s="57">
        <f>IFERROR($V783/$V782-1,"")</f>
        <v/>
      </c>
      <c r="DD782" s="57">
        <f>IFERROR($W783/$W782-1,"")</f>
        <v/>
      </c>
      <c r="DE782" s="57">
        <f>IFERROR($X783/$X782-1,"")</f>
        <v/>
      </c>
      <c r="DF782" s="57">
        <f>IFERROR($Y783/$Y782-1,"")</f>
        <v/>
      </c>
      <c r="DG782" s="57">
        <f>IFERROR($Z783/$Z782-1,"")</f>
        <v/>
      </c>
      <c r="DH782" s="57">
        <f>IFERROR($AA783/$AA782-1,"")</f>
        <v/>
      </c>
      <c r="DI782" s="57">
        <f>IFERROR($AB783/$AB782-1,"")</f>
        <v/>
      </c>
      <c r="DJ782" s="57">
        <f>IFERROR($AC783/$AC782-1,"")</f>
        <v/>
      </c>
      <c r="DK782" s="57">
        <f>IFERROR($AD783/$AD782-1,"")</f>
        <v/>
      </c>
      <c r="DL782" s="57">
        <f>IFERROR($AE783/$AE782-1,"")</f>
        <v/>
      </c>
      <c r="DM782" s="56">
        <f>$AZ782-$AZ783</f>
        <v/>
      </c>
      <c r="DN782" s="56">
        <f>$BA782-$BA783</f>
        <v/>
      </c>
      <c r="DO782" s="56">
        <f>$BB782-$BB783</f>
        <v/>
      </c>
      <c r="DP782" s="56">
        <f>$BC782-$BC783</f>
        <v/>
      </c>
      <c r="DQ782" s="56">
        <f>$BD782-$BD783</f>
        <v/>
      </c>
      <c r="DR782" s="56">
        <f>$BE782-$BE783</f>
        <v/>
      </c>
      <c r="DS782" s="56">
        <f>$BF782-$BF783</f>
        <v/>
      </c>
      <c r="DT782" s="56">
        <f>$BG782-$BG783</f>
        <v/>
      </c>
      <c r="DU782" s="56">
        <f>$BH782-$BH783</f>
        <v/>
      </c>
      <c r="DV782" s="56">
        <f>$BI782-$BI783</f>
        <v/>
      </c>
      <c r="DW782" s="56">
        <f>$BJ782-$BJ783</f>
        <v/>
      </c>
      <c r="DX782" s="56">
        <f>$BK782-$BK783</f>
        <v/>
      </c>
      <c r="DY782" s="56">
        <f>$BL782-$BL783</f>
        <v/>
      </c>
      <c r="DZ782" s="56">
        <f>$BM782-$BM783</f>
        <v/>
      </c>
      <c r="EA782" s="56">
        <f>$BN782-$BN783</f>
        <v/>
      </c>
      <c r="EB782" s="56">
        <f>$BO782-$BO783</f>
        <v/>
      </c>
      <c r="EC782" s="56">
        <f>$BP782-$BP783</f>
        <v/>
      </c>
      <c r="ED782" s="56">
        <f>$BQ782-$BQ783</f>
        <v/>
      </c>
      <c r="EE782" s="56">
        <f>$BR782-$BR783</f>
        <v/>
      </c>
      <c r="EF782" s="56">
        <f>$BS782-$BS783</f>
        <v/>
      </c>
      <c r="EG782" s="56">
        <f>$BT782-$BT783</f>
        <v/>
      </c>
      <c r="EH782" s="56">
        <f>$BU782-$BU783</f>
        <v/>
      </c>
    </row>
    <row r="783">
      <c r="BV783" s="56">
        <f>($D783-$D784)*100</f>
        <v/>
      </c>
      <c r="BW783" s="56">
        <f>($C783-$C784)*100</f>
        <v/>
      </c>
      <c r="BX783" s="57">
        <f>IFERROR($I783/$I784-1,"")</f>
        <v/>
      </c>
      <c r="BY783" s="56">
        <f>($AF783-$AF784)*100</f>
        <v/>
      </c>
      <c r="BZ783" s="56">
        <f>($AG783-$AG784)*100</f>
        <v/>
      </c>
      <c r="CA783" s="56">
        <f>($AH783-$AH784)*100</f>
        <v/>
      </c>
      <c r="CB783" s="56">
        <f>($AI783-$AI784)*100</f>
        <v/>
      </c>
      <c r="CC783" s="56">
        <f>($AJ783-$AJ784)*100</f>
        <v/>
      </c>
      <c r="CD783" s="56">
        <f>($AK783-$AK784)*100</f>
        <v/>
      </c>
      <c r="CE783" s="56">
        <f>($AL783-$AL784)*100</f>
        <v/>
      </c>
      <c r="CF783" s="56">
        <f>($AM783-$AM784)*100</f>
        <v/>
      </c>
      <c r="CG783" s="56">
        <f>($AN783-$AN784)*100</f>
        <v/>
      </c>
      <c r="CH783" s="56">
        <f>($AO783-$AO784)*100</f>
        <v/>
      </c>
      <c r="CI783" s="56">
        <f>($AP783-$AP784)*100</f>
        <v/>
      </c>
      <c r="CJ783" s="56">
        <f>($AQ783-$AQ784)*100</f>
        <v/>
      </c>
      <c r="CK783" s="56">
        <f>($AR783-$AR784)*100</f>
        <v/>
      </c>
      <c r="CL783" s="56">
        <f>($AS783-$AS784)*100</f>
        <v/>
      </c>
      <c r="CM783" s="56">
        <f>($AT783-$AT784)*100</f>
        <v/>
      </c>
      <c r="CN783" s="56">
        <f>($AU783-$AU784)*100</f>
        <v/>
      </c>
      <c r="CO783" s="56">
        <f>($AV783-$AV784)*100</f>
        <v/>
      </c>
      <c r="CP783" s="56">
        <f>($AW783-$AW784)*100</f>
        <v/>
      </c>
      <c r="CQ783" s="56">
        <f>($AX783-$AX784)*100</f>
        <v/>
      </c>
      <c r="CR783" s="56">
        <f>($AY783-$AY784)*100</f>
        <v/>
      </c>
      <c r="CS783" s="57">
        <f>IFERROR($L784/$L783-1,"")</f>
        <v/>
      </c>
      <c r="CT783" s="57">
        <f>IFERROR($M784/$M783-1,"")</f>
        <v/>
      </c>
      <c r="CU783" s="57">
        <f>IFERROR($N784/$N783-1,"")</f>
        <v/>
      </c>
      <c r="CV783" s="57">
        <f>IFERROR($O784/$O783-1,"")</f>
        <v/>
      </c>
      <c r="CW783" s="57">
        <f>IFERROR($P784/$P783-1,"")</f>
        <v/>
      </c>
      <c r="CX783" s="57">
        <f>IFERROR($Q784/$Q783-1,"")</f>
        <v/>
      </c>
      <c r="CY783" s="57">
        <f>IFERROR($R784/$R783-1,"")</f>
        <v/>
      </c>
      <c r="CZ783" s="57">
        <f>IFERROR($S784/$S783-1,"")</f>
        <v/>
      </c>
      <c r="DA783" s="57">
        <f>IFERROR($T784/$T783-1,"")</f>
        <v/>
      </c>
      <c r="DB783" s="57">
        <f>IFERROR($U784/$U783-1,"")</f>
        <v/>
      </c>
      <c r="DC783" s="57">
        <f>IFERROR($V784/$V783-1,"")</f>
        <v/>
      </c>
      <c r="DD783" s="57">
        <f>IFERROR($W784/$W783-1,"")</f>
        <v/>
      </c>
      <c r="DE783" s="57">
        <f>IFERROR($X784/$X783-1,"")</f>
        <v/>
      </c>
      <c r="DF783" s="57">
        <f>IFERROR($Y784/$Y783-1,"")</f>
        <v/>
      </c>
      <c r="DG783" s="57">
        <f>IFERROR($Z784/$Z783-1,"")</f>
        <v/>
      </c>
      <c r="DH783" s="57">
        <f>IFERROR($AA784/$AA783-1,"")</f>
        <v/>
      </c>
      <c r="DI783" s="57">
        <f>IFERROR($AB784/$AB783-1,"")</f>
        <v/>
      </c>
      <c r="DJ783" s="57">
        <f>IFERROR($AC784/$AC783-1,"")</f>
        <v/>
      </c>
      <c r="DK783" s="57">
        <f>IFERROR($AD784/$AD783-1,"")</f>
        <v/>
      </c>
      <c r="DL783" s="57">
        <f>IFERROR($AE784/$AE783-1,"")</f>
        <v/>
      </c>
      <c r="DM783" s="56">
        <f>$AZ783-$AZ784</f>
        <v/>
      </c>
      <c r="DN783" s="56">
        <f>$BA783-$BA784</f>
        <v/>
      </c>
      <c r="DO783" s="56">
        <f>$BB783-$BB784</f>
        <v/>
      </c>
      <c r="DP783" s="56">
        <f>$BC783-$BC784</f>
        <v/>
      </c>
      <c r="DQ783" s="56">
        <f>$BD783-$BD784</f>
        <v/>
      </c>
      <c r="DR783" s="56">
        <f>$BE783-$BE784</f>
        <v/>
      </c>
      <c r="DS783" s="56">
        <f>$BF783-$BF784</f>
        <v/>
      </c>
      <c r="DT783" s="56">
        <f>$BG783-$BG784</f>
        <v/>
      </c>
      <c r="DU783" s="56">
        <f>$BH783-$BH784</f>
        <v/>
      </c>
      <c r="DV783" s="56">
        <f>$BI783-$BI784</f>
        <v/>
      </c>
      <c r="DW783" s="56">
        <f>$BJ783-$BJ784</f>
        <v/>
      </c>
      <c r="DX783" s="56">
        <f>$BK783-$BK784</f>
        <v/>
      </c>
      <c r="DY783" s="56">
        <f>$BL783-$BL784</f>
        <v/>
      </c>
      <c r="DZ783" s="56">
        <f>$BM783-$BM784</f>
        <v/>
      </c>
      <c r="EA783" s="56">
        <f>$BN783-$BN784</f>
        <v/>
      </c>
      <c r="EB783" s="56">
        <f>$BO783-$BO784</f>
        <v/>
      </c>
      <c r="EC783" s="56">
        <f>$BP783-$BP784</f>
        <v/>
      </c>
      <c r="ED783" s="56">
        <f>$BQ783-$BQ784</f>
        <v/>
      </c>
      <c r="EE783" s="56">
        <f>$BR783-$BR784</f>
        <v/>
      </c>
      <c r="EF783" s="56">
        <f>$BS783-$BS784</f>
        <v/>
      </c>
      <c r="EG783" s="56">
        <f>$BT783-$BT784</f>
        <v/>
      </c>
      <c r="EH783" s="56">
        <f>$BU783-$BU784</f>
        <v/>
      </c>
    </row>
    <row r="784">
      <c r="BV784" s="56">
        <f>($D784-$D785)*100</f>
        <v/>
      </c>
      <c r="BW784" s="56">
        <f>($C784-$C785)*100</f>
        <v/>
      </c>
      <c r="BX784" s="57">
        <f>IFERROR($I784/$I785-1,"")</f>
        <v/>
      </c>
      <c r="BY784" s="56">
        <f>($AF784-$AF785)*100</f>
        <v/>
      </c>
      <c r="BZ784" s="56">
        <f>($AG784-$AG785)*100</f>
        <v/>
      </c>
      <c r="CA784" s="56">
        <f>($AH784-$AH785)*100</f>
        <v/>
      </c>
      <c r="CB784" s="56">
        <f>($AI784-$AI785)*100</f>
        <v/>
      </c>
      <c r="CC784" s="56">
        <f>($AJ784-$AJ785)*100</f>
        <v/>
      </c>
      <c r="CD784" s="56">
        <f>($AK784-$AK785)*100</f>
        <v/>
      </c>
      <c r="CE784" s="56">
        <f>($AL784-$AL785)*100</f>
        <v/>
      </c>
      <c r="CF784" s="56">
        <f>($AM784-$AM785)*100</f>
        <v/>
      </c>
      <c r="CG784" s="56">
        <f>($AN784-$AN785)*100</f>
        <v/>
      </c>
      <c r="CH784" s="56">
        <f>($AO784-$AO785)*100</f>
        <v/>
      </c>
      <c r="CI784" s="56">
        <f>($AP784-$AP785)*100</f>
        <v/>
      </c>
      <c r="CJ784" s="56">
        <f>($AQ784-$AQ785)*100</f>
        <v/>
      </c>
      <c r="CK784" s="56">
        <f>($AR784-$AR785)*100</f>
        <v/>
      </c>
      <c r="CL784" s="56">
        <f>($AS784-$AS785)*100</f>
        <v/>
      </c>
      <c r="CM784" s="56">
        <f>($AT784-$AT785)*100</f>
        <v/>
      </c>
      <c r="CN784" s="56">
        <f>($AU784-$AU785)*100</f>
        <v/>
      </c>
      <c r="CO784" s="56">
        <f>($AV784-$AV785)*100</f>
        <v/>
      </c>
      <c r="CP784" s="56">
        <f>($AW784-$AW785)*100</f>
        <v/>
      </c>
      <c r="CQ784" s="56">
        <f>($AX784-$AX785)*100</f>
        <v/>
      </c>
      <c r="CR784" s="56">
        <f>($AY784-$AY785)*100</f>
        <v/>
      </c>
      <c r="CS784" s="57">
        <f>IFERROR($L785/$L784-1,"")</f>
        <v/>
      </c>
      <c r="CT784" s="57">
        <f>IFERROR($M785/$M784-1,"")</f>
        <v/>
      </c>
      <c r="CU784" s="57">
        <f>IFERROR($N785/$N784-1,"")</f>
        <v/>
      </c>
      <c r="CV784" s="57">
        <f>IFERROR($O785/$O784-1,"")</f>
        <v/>
      </c>
      <c r="CW784" s="57">
        <f>IFERROR($P785/$P784-1,"")</f>
        <v/>
      </c>
      <c r="CX784" s="57">
        <f>IFERROR($Q785/$Q784-1,"")</f>
        <v/>
      </c>
      <c r="CY784" s="57">
        <f>IFERROR($R785/$R784-1,"")</f>
        <v/>
      </c>
      <c r="CZ784" s="57">
        <f>IFERROR($S785/$S784-1,"")</f>
        <v/>
      </c>
      <c r="DA784" s="57">
        <f>IFERROR($T785/$T784-1,"")</f>
        <v/>
      </c>
      <c r="DB784" s="57">
        <f>IFERROR($U785/$U784-1,"")</f>
        <v/>
      </c>
      <c r="DC784" s="57">
        <f>IFERROR($V785/$V784-1,"")</f>
        <v/>
      </c>
      <c r="DD784" s="57">
        <f>IFERROR($W785/$W784-1,"")</f>
        <v/>
      </c>
      <c r="DE784" s="57">
        <f>IFERROR($X785/$X784-1,"")</f>
        <v/>
      </c>
      <c r="DF784" s="57">
        <f>IFERROR($Y785/$Y784-1,"")</f>
        <v/>
      </c>
      <c r="DG784" s="57">
        <f>IFERROR($Z785/$Z784-1,"")</f>
        <v/>
      </c>
      <c r="DH784" s="57">
        <f>IFERROR($AA785/$AA784-1,"")</f>
        <v/>
      </c>
      <c r="DI784" s="57">
        <f>IFERROR($AB785/$AB784-1,"")</f>
        <v/>
      </c>
      <c r="DJ784" s="57">
        <f>IFERROR($AC785/$AC784-1,"")</f>
        <v/>
      </c>
      <c r="DK784" s="57">
        <f>IFERROR($AD785/$AD784-1,"")</f>
        <v/>
      </c>
      <c r="DL784" s="57">
        <f>IFERROR($AE785/$AE784-1,"")</f>
        <v/>
      </c>
      <c r="DM784" s="56">
        <f>$AZ784-$AZ785</f>
        <v/>
      </c>
      <c r="DN784" s="56">
        <f>$BA784-$BA785</f>
        <v/>
      </c>
      <c r="DO784" s="56">
        <f>$BB784-$BB785</f>
        <v/>
      </c>
      <c r="DP784" s="56">
        <f>$BC784-$BC785</f>
        <v/>
      </c>
      <c r="DQ784" s="56">
        <f>$BD784-$BD785</f>
        <v/>
      </c>
      <c r="DR784" s="56">
        <f>$BE784-$BE785</f>
        <v/>
      </c>
      <c r="DS784" s="56">
        <f>$BF784-$BF785</f>
        <v/>
      </c>
      <c r="DT784" s="56">
        <f>$BG784-$BG785</f>
        <v/>
      </c>
      <c r="DU784" s="56">
        <f>$BH784-$BH785</f>
        <v/>
      </c>
      <c r="DV784" s="56">
        <f>$BI784-$BI785</f>
        <v/>
      </c>
      <c r="DW784" s="56">
        <f>$BJ784-$BJ785</f>
        <v/>
      </c>
      <c r="DX784" s="56">
        <f>$BK784-$BK785</f>
        <v/>
      </c>
      <c r="DY784" s="56">
        <f>$BL784-$BL785</f>
        <v/>
      </c>
      <c r="DZ784" s="56">
        <f>$BM784-$BM785</f>
        <v/>
      </c>
      <c r="EA784" s="56">
        <f>$BN784-$BN785</f>
        <v/>
      </c>
      <c r="EB784" s="56">
        <f>$BO784-$BO785</f>
        <v/>
      </c>
      <c r="EC784" s="56">
        <f>$BP784-$BP785</f>
        <v/>
      </c>
      <c r="ED784" s="56">
        <f>$BQ784-$BQ785</f>
        <v/>
      </c>
      <c r="EE784" s="56">
        <f>$BR784-$BR785</f>
        <v/>
      </c>
      <c r="EF784" s="56">
        <f>$BS784-$BS785</f>
        <v/>
      </c>
      <c r="EG784" s="56">
        <f>$BT784-$BT785</f>
        <v/>
      </c>
      <c r="EH784" s="56">
        <f>$BU784-$BU785</f>
        <v/>
      </c>
    </row>
    <row r="785">
      <c r="BV785" s="56">
        <f>($D785-$D786)*100</f>
        <v/>
      </c>
      <c r="BW785" s="56">
        <f>($C785-$C786)*100</f>
        <v/>
      </c>
      <c r="BX785" s="57">
        <f>IFERROR($I785/$I786-1,"")</f>
        <v/>
      </c>
      <c r="BY785" s="56">
        <f>($AF785-$AF786)*100</f>
        <v/>
      </c>
      <c r="BZ785" s="56">
        <f>($AG785-$AG786)*100</f>
        <v/>
      </c>
      <c r="CA785" s="56">
        <f>($AH785-$AH786)*100</f>
        <v/>
      </c>
      <c r="CB785" s="56">
        <f>($AI785-$AI786)*100</f>
        <v/>
      </c>
      <c r="CC785" s="56">
        <f>($AJ785-$AJ786)*100</f>
        <v/>
      </c>
      <c r="CD785" s="56">
        <f>($AK785-$AK786)*100</f>
        <v/>
      </c>
      <c r="CE785" s="56">
        <f>($AL785-$AL786)*100</f>
        <v/>
      </c>
      <c r="CF785" s="56">
        <f>($AM785-$AM786)*100</f>
        <v/>
      </c>
      <c r="CG785" s="56">
        <f>($AN785-$AN786)*100</f>
        <v/>
      </c>
      <c r="CH785" s="56">
        <f>($AO785-$AO786)*100</f>
        <v/>
      </c>
      <c r="CI785" s="56">
        <f>($AP785-$AP786)*100</f>
        <v/>
      </c>
      <c r="CJ785" s="56">
        <f>($AQ785-$AQ786)*100</f>
        <v/>
      </c>
      <c r="CK785" s="56">
        <f>($AR785-$AR786)*100</f>
        <v/>
      </c>
      <c r="CL785" s="56">
        <f>($AS785-$AS786)*100</f>
        <v/>
      </c>
      <c r="CM785" s="56">
        <f>($AT785-$AT786)*100</f>
        <v/>
      </c>
      <c r="CN785" s="56">
        <f>($AU785-$AU786)*100</f>
        <v/>
      </c>
      <c r="CO785" s="56">
        <f>($AV785-$AV786)*100</f>
        <v/>
      </c>
      <c r="CP785" s="56">
        <f>($AW785-$AW786)*100</f>
        <v/>
      </c>
      <c r="CQ785" s="56">
        <f>($AX785-$AX786)*100</f>
        <v/>
      </c>
      <c r="CR785" s="56">
        <f>($AY785-$AY786)*100</f>
        <v/>
      </c>
      <c r="CS785" s="57">
        <f>IFERROR($L786/$L785-1,"")</f>
        <v/>
      </c>
      <c r="CT785" s="57">
        <f>IFERROR($M786/$M785-1,"")</f>
        <v/>
      </c>
      <c r="CU785" s="57">
        <f>IFERROR($N786/$N785-1,"")</f>
        <v/>
      </c>
      <c r="CV785" s="57">
        <f>IFERROR($O786/$O785-1,"")</f>
        <v/>
      </c>
      <c r="CW785" s="57">
        <f>IFERROR($P786/$P785-1,"")</f>
        <v/>
      </c>
      <c r="CX785" s="57">
        <f>IFERROR($Q786/$Q785-1,"")</f>
        <v/>
      </c>
      <c r="CY785" s="57">
        <f>IFERROR($R786/$R785-1,"")</f>
        <v/>
      </c>
      <c r="CZ785" s="57">
        <f>IFERROR($S786/$S785-1,"")</f>
        <v/>
      </c>
      <c r="DA785" s="57">
        <f>IFERROR($T786/$T785-1,"")</f>
        <v/>
      </c>
      <c r="DB785" s="57">
        <f>IFERROR($U786/$U785-1,"")</f>
        <v/>
      </c>
      <c r="DC785" s="57">
        <f>IFERROR($V786/$V785-1,"")</f>
        <v/>
      </c>
      <c r="DD785" s="57">
        <f>IFERROR($W786/$W785-1,"")</f>
        <v/>
      </c>
      <c r="DE785" s="57">
        <f>IFERROR($X786/$X785-1,"")</f>
        <v/>
      </c>
      <c r="DF785" s="57">
        <f>IFERROR($Y786/$Y785-1,"")</f>
        <v/>
      </c>
      <c r="DG785" s="57">
        <f>IFERROR($Z786/$Z785-1,"")</f>
        <v/>
      </c>
      <c r="DH785" s="57">
        <f>IFERROR($AA786/$AA785-1,"")</f>
        <v/>
      </c>
      <c r="DI785" s="57">
        <f>IFERROR($AB786/$AB785-1,"")</f>
        <v/>
      </c>
      <c r="DJ785" s="57">
        <f>IFERROR($AC786/$AC785-1,"")</f>
        <v/>
      </c>
      <c r="DK785" s="57">
        <f>IFERROR($AD786/$AD785-1,"")</f>
        <v/>
      </c>
      <c r="DL785" s="57">
        <f>IFERROR($AE786/$AE785-1,"")</f>
        <v/>
      </c>
      <c r="DM785" s="56">
        <f>$AZ785-$AZ786</f>
        <v/>
      </c>
      <c r="DN785" s="56">
        <f>$BA785-$BA786</f>
        <v/>
      </c>
      <c r="DO785" s="56">
        <f>$BB785-$BB786</f>
        <v/>
      </c>
      <c r="DP785" s="56">
        <f>$BC785-$BC786</f>
        <v/>
      </c>
      <c r="DQ785" s="56">
        <f>$BD785-$BD786</f>
        <v/>
      </c>
      <c r="DR785" s="56">
        <f>$BE785-$BE786</f>
        <v/>
      </c>
      <c r="DS785" s="56">
        <f>$BF785-$BF786</f>
        <v/>
      </c>
      <c r="DT785" s="56">
        <f>$BG785-$BG786</f>
        <v/>
      </c>
      <c r="DU785" s="56">
        <f>$BH785-$BH786</f>
        <v/>
      </c>
      <c r="DV785" s="56">
        <f>$BI785-$BI786</f>
        <v/>
      </c>
      <c r="DW785" s="56">
        <f>$BJ785-$BJ786</f>
        <v/>
      </c>
      <c r="DX785" s="56">
        <f>$BK785-$BK786</f>
        <v/>
      </c>
      <c r="DY785" s="56">
        <f>$BL785-$BL786</f>
        <v/>
      </c>
      <c r="DZ785" s="56">
        <f>$BM785-$BM786</f>
        <v/>
      </c>
      <c r="EA785" s="56">
        <f>$BN785-$BN786</f>
        <v/>
      </c>
      <c r="EB785" s="56">
        <f>$BO785-$BO786</f>
        <v/>
      </c>
      <c r="EC785" s="56">
        <f>$BP785-$BP786</f>
        <v/>
      </c>
      <c r="ED785" s="56">
        <f>$BQ785-$BQ786</f>
        <v/>
      </c>
      <c r="EE785" s="56">
        <f>$BR785-$BR786</f>
        <v/>
      </c>
      <c r="EF785" s="56">
        <f>$BS785-$BS786</f>
        <v/>
      </c>
      <c r="EG785" s="56">
        <f>$BT785-$BT786</f>
        <v/>
      </c>
      <c r="EH785" s="56">
        <f>$BU785-$BU786</f>
        <v/>
      </c>
    </row>
    <row r="786">
      <c r="BV786" s="56">
        <f>($D786-$D787)*100</f>
        <v/>
      </c>
      <c r="BW786" s="56">
        <f>($C786-$C787)*100</f>
        <v/>
      </c>
      <c r="BX786" s="57">
        <f>IFERROR($I786/$I787-1,"")</f>
        <v/>
      </c>
      <c r="BY786" s="56">
        <f>($AF786-$AF787)*100</f>
        <v/>
      </c>
      <c r="BZ786" s="56">
        <f>($AG786-$AG787)*100</f>
        <v/>
      </c>
      <c r="CA786" s="56">
        <f>($AH786-$AH787)*100</f>
        <v/>
      </c>
      <c r="CB786" s="56">
        <f>($AI786-$AI787)*100</f>
        <v/>
      </c>
      <c r="CC786" s="56">
        <f>($AJ786-$AJ787)*100</f>
        <v/>
      </c>
      <c r="CD786" s="56">
        <f>($AK786-$AK787)*100</f>
        <v/>
      </c>
      <c r="CE786" s="56">
        <f>($AL786-$AL787)*100</f>
        <v/>
      </c>
      <c r="CF786" s="56">
        <f>($AM786-$AM787)*100</f>
        <v/>
      </c>
      <c r="CG786" s="56">
        <f>($AN786-$AN787)*100</f>
        <v/>
      </c>
      <c r="CH786" s="56">
        <f>($AO786-$AO787)*100</f>
        <v/>
      </c>
      <c r="CI786" s="56">
        <f>($AP786-$AP787)*100</f>
        <v/>
      </c>
      <c r="CJ786" s="56">
        <f>($AQ786-$AQ787)*100</f>
        <v/>
      </c>
      <c r="CK786" s="56">
        <f>($AR786-$AR787)*100</f>
        <v/>
      </c>
      <c r="CL786" s="56">
        <f>($AS786-$AS787)*100</f>
        <v/>
      </c>
      <c r="CM786" s="56">
        <f>($AT786-$AT787)*100</f>
        <v/>
      </c>
      <c r="CN786" s="56">
        <f>($AU786-$AU787)*100</f>
        <v/>
      </c>
      <c r="CO786" s="56">
        <f>($AV786-$AV787)*100</f>
        <v/>
      </c>
      <c r="CP786" s="56">
        <f>($AW786-$AW787)*100</f>
        <v/>
      </c>
      <c r="CQ786" s="56">
        <f>($AX786-$AX787)*100</f>
        <v/>
      </c>
      <c r="CR786" s="56">
        <f>($AY786-$AY787)*100</f>
        <v/>
      </c>
      <c r="CS786" s="57">
        <f>IFERROR($L787/$L786-1,"")</f>
        <v/>
      </c>
      <c r="CT786" s="57">
        <f>IFERROR($M787/$M786-1,"")</f>
        <v/>
      </c>
      <c r="CU786" s="57">
        <f>IFERROR($N787/$N786-1,"")</f>
        <v/>
      </c>
      <c r="CV786" s="57">
        <f>IFERROR($O787/$O786-1,"")</f>
        <v/>
      </c>
      <c r="CW786" s="57">
        <f>IFERROR($P787/$P786-1,"")</f>
        <v/>
      </c>
      <c r="CX786" s="57">
        <f>IFERROR($Q787/$Q786-1,"")</f>
        <v/>
      </c>
      <c r="CY786" s="57">
        <f>IFERROR($R787/$R786-1,"")</f>
        <v/>
      </c>
      <c r="CZ786" s="57">
        <f>IFERROR($S787/$S786-1,"")</f>
        <v/>
      </c>
      <c r="DA786" s="57">
        <f>IFERROR($T787/$T786-1,"")</f>
        <v/>
      </c>
      <c r="DB786" s="57">
        <f>IFERROR($U787/$U786-1,"")</f>
        <v/>
      </c>
      <c r="DC786" s="57">
        <f>IFERROR($V787/$V786-1,"")</f>
        <v/>
      </c>
      <c r="DD786" s="57">
        <f>IFERROR($W787/$W786-1,"")</f>
        <v/>
      </c>
      <c r="DE786" s="57">
        <f>IFERROR($X787/$X786-1,"")</f>
        <v/>
      </c>
      <c r="DF786" s="57">
        <f>IFERROR($Y787/$Y786-1,"")</f>
        <v/>
      </c>
      <c r="DG786" s="57">
        <f>IFERROR($Z787/$Z786-1,"")</f>
        <v/>
      </c>
      <c r="DH786" s="57">
        <f>IFERROR($AA787/$AA786-1,"")</f>
        <v/>
      </c>
      <c r="DI786" s="57">
        <f>IFERROR($AB787/$AB786-1,"")</f>
        <v/>
      </c>
      <c r="DJ786" s="57">
        <f>IFERROR($AC787/$AC786-1,"")</f>
        <v/>
      </c>
      <c r="DK786" s="57">
        <f>IFERROR($AD787/$AD786-1,"")</f>
        <v/>
      </c>
      <c r="DL786" s="57">
        <f>IFERROR($AE787/$AE786-1,"")</f>
        <v/>
      </c>
      <c r="DM786" s="56">
        <f>$AZ786-$AZ787</f>
        <v/>
      </c>
      <c r="DN786" s="56">
        <f>$BA786-$BA787</f>
        <v/>
      </c>
      <c r="DO786" s="56">
        <f>$BB786-$BB787</f>
        <v/>
      </c>
      <c r="DP786" s="56">
        <f>$BC786-$BC787</f>
        <v/>
      </c>
      <c r="DQ786" s="56">
        <f>$BD786-$BD787</f>
        <v/>
      </c>
      <c r="DR786" s="56">
        <f>$BE786-$BE787</f>
        <v/>
      </c>
      <c r="DS786" s="56">
        <f>$BF786-$BF787</f>
        <v/>
      </c>
      <c r="DT786" s="56">
        <f>$BG786-$BG787</f>
        <v/>
      </c>
      <c r="DU786" s="56">
        <f>$BH786-$BH787</f>
        <v/>
      </c>
      <c r="DV786" s="56">
        <f>$BI786-$BI787</f>
        <v/>
      </c>
      <c r="DW786" s="56">
        <f>$BJ786-$BJ787</f>
        <v/>
      </c>
      <c r="DX786" s="56">
        <f>$BK786-$BK787</f>
        <v/>
      </c>
      <c r="DY786" s="56">
        <f>$BL786-$BL787</f>
        <v/>
      </c>
      <c r="DZ786" s="56">
        <f>$BM786-$BM787</f>
        <v/>
      </c>
      <c r="EA786" s="56">
        <f>$BN786-$BN787</f>
        <v/>
      </c>
      <c r="EB786" s="56">
        <f>$BO786-$BO787</f>
        <v/>
      </c>
      <c r="EC786" s="56">
        <f>$BP786-$BP787</f>
        <v/>
      </c>
      <c r="ED786" s="56">
        <f>$BQ786-$BQ787</f>
        <v/>
      </c>
      <c r="EE786" s="56">
        <f>$BR786-$BR787</f>
        <v/>
      </c>
      <c r="EF786" s="56">
        <f>$BS786-$BS787</f>
        <v/>
      </c>
      <c r="EG786" s="56">
        <f>$BT786-$BT787</f>
        <v/>
      </c>
      <c r="EH786" s="56">
        <f>$BU786-$BU787</f>
        <v/>
      </c>
    </row>
    <row r="787">
      <c r="BV787" s="56">
        <f>($D787-$D788)*100</f>
        <v/>
      </c>
      <c r="BW787" s="56">
        <f>($C787-$C788)*100</f>
        <v/>
      </c>
      <c r="BX787" s="57">
        <f>IFERROR($I787/$I788-1,"")</f>
        <v/>
      </c>
      <c r="BY787" s="56">
        <f>($AF787-$AF788)*100</f>
        <v/>
      </c>
      <c r="BZ787" s="56">
        <f>($AG787-$AG788)*100</f>
        <v/>
      </c>
      <c r="CA787" s="56">
        <f>($AH787-$AH788)*100</f>
        <v/>
      </c>
      <c r="CB787" s="56">
        <f>($AI787-$AI788)*100</f>
        <v/>
      </c>
      <c r="CC787" s="56">
        <f>($AJ787-$AJ788)*100</f>
        <v/>
      </c>
      <c r="CD787" s="56">
        <f>($AK787-$AK788)*100</f>
        <v/>
      </c>
      <c r="CE787" s="56">
        <f>($AL787-$AL788)*100</f>
        <v/>
      </c>
      <c r="CF787" s="56">
        <f>($AM787-$AM788)*100</f>
        <v/>
      </c>
      <c r="CG787" s="56">
        <f>($AN787-$AN788)*100</f>
        <v/>
      </c>
      <c r="CH787" s="56">
        <f>($AO787-$AO788)*100</f>
        <v/>
      </c>
      <c r="CI787" s="56">
        <f>($AP787-$AP788)*100</f>
        <v/>
      </c>
      <c r="CJ787" s="56">
        <f>($AQ787-$AQ788)*100</f>
        <v/>
      </c>
      <c r="CK787" s="56">
        <f>($AR787-$AR788)*100</f>
        <v/>
      </c>
      <c r="CL787" s="56">
        <f>($AS787-$AS788)*100</f>
        <v/>
      </c>
      <c r="CM787" s="56">
        <f>($AT787-$AT788)*100</f>
        <v/>
      </c>
      <c r="CN787" s="56">
        <f>($AU787-$AU788)*100</f>
        <v/>
      </c>
      <c r="CO787" s="56">
        <f>($AV787-$AV788)*100</f>
        <v/>
      </c>
      <c r="CP787" s="56">
        <f>($AW787-$AW788)*100</f>
        <v/>
      </c>
      <c r="CQ787" s="56">
        <f>($AX787-$AX788)*100</f>
        <v/>
      </c>
      <c r="CR787" s="56">
        <f>($AY787-$AY788)*100</f>
        <v/>
      </c>
      <c r="CS787" s="57">
        <f>IFERROR($L788/$L787-1,"")</f>
        <v/>
      </c>
      <c r="CT787" s="57">
        <f>IFERROR($M788/$M787-1,"")</f>
        <v/>
      </c>
      <c r="CU787" s="57">
        <f>IFERROR($N788/$N787-1,"")</f>
        <v/>
      </c>
      <c r="CV787" s="57">
        <f>IFERROR($O788/$O787-1,"")</f>
        <v/>
      </c>
      <c r="CW787" s="57">
        <f>IFERROR($P788/$P787-1,"")</f>
        <v/>
      </c>
      <c r="CX787" s="57">
        <f>IFERROR($Q788/$Q787-1,"")</f>
        <v/>
      </c>
      <c r="CY787" s="57">
        <f>IFERROR($R788/$R787-1,"")</f>
        <v/>
      </c>
      <c r="CZ787" s="57">
        <f>IFERROR($S788/$S787-1,"")</f>
        <v/>
      </c>
      <c r="DA787" s="57">
        <f>IFERROR($T788/$T787-1,"")</f>
        <v/>
      </c>
      <c r="DB787" s="57">
        <f>IFERROR($U788/$U787-1,"")</f>
        <v/>
      </c>
      <c r="DC787" s="57">
        <f>IFERROR($V788/$V787-1,"")</f>
        <v/>
      </c>
      <c r="DD787" s="57">
        <f>IFERROR($W788/$W787-1,"")</f>
        <v/>
      </c>
      <c r="DE787" s="57">
        <f>IFERROR($X788/$X787-1,"")</f>
        <v/>
      </c>
      <c r="DF787" s="57">
        <f>IFERROR($Y788/$Y787-1,"")</f>
        <v/>
      </c>
      <c r="DG787" s="57">
        <f>IFERROR($Z788/$Z787-1,"")</f>
        <v/>
      </c>
      <c r="DH787" s="57">
        <f>IFERROR($AA788/$AA787-1,"")</f>
        <v/>
      </c>
      <c r="DI787" s="57">
        <f>IFERROR($AB788/$AB787-1,"")</f>
        <v/>
      </c>
      <c r="DJ787" s="57">
        <f>IFERROR($AC788/$AC787-1,"")</f>
        <v/>
      </c>
      <c r="DK787" s="57">
        <f>IFERROR($AD788/$AD787-1,"")</f>
        <v/>
      </c>
      <c r="DL787" s="57">
        <f>IFERROR($AE788/$AE787-1,"")</f>
        <v/>
      </c>
      <c r="DM787" s="56">
        <f>$AZ787-$AZ788</f>
        <v/>
      </c>
      <c r="DN787" s="56">
        <f>$BA787-$BA788</f>
        <v/>
      </c>
      <c r="DO787" s="56">
        <f>$BB787-$BB788</f>
        <v/>
      </c>
      <c r="DP787" s="56">
        <f>$BC787-$BC788</f>
        <v/>
      </c>
      <c r="DQ787" s="56">
        <f>$BD787-$BD788</f>
        <v/>
      </c>
      <c r="DR787" s="56">
        <f>$BE787-$BE788</f>
        <v/>
      </c>
      <c r="DS787" s="56">
        <f>$BF787-$BF788</f>
        <v/>
      </c>
      <c r="DT787" s="56">
        <f>$BG787-$BG788</f>
        <v/>
      </c>
      <c r="DU787" s="56">
        <f>$BH787-$BH788</f>
        <v/>
      </c>
      <c r="DV787" s="56">
        <f>$BI787-$BI788</f>
        <v/>
      </c>
      <c r="DW787" s="56">
        <f>$BJ787-$BJ788</f>
        <v/>
      </c>
      <c r="DX787" s="56">
        <f>$BK787-$BK788</f>
        <v/>
      </c>
      <c r="DY787" s="56">
        <f>$BL787-$BL788</f>
        <v/>
      </c>
      <c r="DZ787" s="56">
        <f>$BM787-$BM788</f>
        <v/>
      </c>
      <c r="EA787" s="56">
        <f>$BN787-$BN788</f>
        <v/>
      </c>
      <c r="EB787" s="56">
        <f>$BO787-$BO788</f>
        <v/>
      </c>
      <c r="EC787" s="56">
        <f>$BP787-$BP788</f>
        <v/>
      </c>
      <c r="ED787" s="56">
        <f>$BQ787-$BQ788</f>
        <v/>
      </c>
      <c r="EE787" s="56">
        <f>$BR787-$BR788</f>
        <v/>
      </c>
      <c r="EF787" s="56">
        <f>$BS787-$BS788</f>
        <v/>
      </c>
      <c r="EG787" s="56">
        <f>$BT787-$BT788</f>
        <v/>
      </c>
      <c r="EH787" s="56">
        <f>$BU787-$BU788</f>
        <v/>
      </c>
    </row>
    <row r="788">
      <c r="BV788" s="56">
        <f>($D788-$D789)*100</f>
        <v/>
      </c>
      <c r="BW788" s="56">
        <f>($C788-$C789)*100</f>
        <v/>
      </c>
      <c r="BX788" s="57">
        <f>IFERROR($I788/$I789-1,"")</f>
        <v/>
      </c>
      <c r="BY788" s="56">
        <f>($AF788-$AF789)*100</f>
        <v/>
      </c>
      <c r="BZ788" s="56">
        <f>($AG788-$AG789)*100</f>
        <v/>
      </c>
      <c r="CA788" s="56">
        <f>($AH788-$AH789)*100</f>
        <v/>
      </c>
      <c r="CB788" s="56">
        <f>($AI788-$AI789)*100</f>
        <v/>
      </c>
      <c r="CC788" s="56">
        <f>($AJ788-$AJ789)*100</f>
        <v/>
      </c>
      <c r="CD788" s="56">
        <f>($AK788-$AK789)*100</f>
        <v/>
      </c>
      <c r="CE788" s="56">
        <f>($AL788-$AL789)*100</f>
        <v/>
      </c>
      <c r="CF788" s="56">
        <f>($AM788-$AM789)*100</f>
        <v/>
      </c>
      <c r="CG788" s="56">
        <f>($AN788-$AN789)*100</f>
        <v/>
      </c>
      <c r="CH788" s="56">
        <f>($AO788-$AO789)*100</f>
        <v/>
      </c>
      <c r="CI788" s="56">
        <f>($AP788-$AP789)*100</f>
        <v/>
      </c>
      <c r="CJ788" s="56">
        <f>($AQ788-$AQ789)*100</f>
        <v/>
      </c>
      <c r="CK788" s="56">
        <f>($AR788-$AR789)*100</f>
        <v/>
      </c>
      <c r="CL788" s="56">
        <f>($AS788-$AS789)*100</f>
        <v/>
      </c>
      <c r="CM788" s="56">
        <f>($AT788-$AT789)*100</f>
        <v/>
      </c>
      <c r="CN788" s="56">
        <f>($AU788-$AU789)*100</f>
        <v/>
      </c>
      <c r="CO788" s="56">
        <f>($AV788-$AV789)*100</f>
        <v/>
      </c>
      <c r="CP788" s="56">
        <f>($AW788-$AW789)*100</f>
        <v/>
      </c>
      <c r="CQ788" s="56">
        <f>($AX788-$AX789)*100</f>
        <v/>
      </c>
      <c r="CR788" s="56">
        <f>($AY788-$AY789)*100</f>
        <v/>
      </c>
      <c r="CS788" s="57">
        <f>IFERROR($L789/$L788-1,"")</f>
        <v/>
      </c>
      <c r="CT788" s="57">
        <f>IFERROR($M789/$M788-1,"")</f>
        <v/>
      </c>
      <c r="CU788" s="57">
        <f>IFERROR($N789/$N788-1,"")</f>
        <v/>
      </c>
      <c r="CV788" s="57">
        <f>IFERROR($O789/$O788-1,"")</f>
        <v/>
      </c>
      <c r="CW788" s="57">
        <f>IFERROR($P789/$P788-1,"")</f>
        <v/>
      </c>
      <c r="CX788" s="57">
        <f>IFERROR($Q789/$Q788-1,"")</f>
        <v/>
      </c>
      <c r="CY788" s="57">
        <f>IFERROR($R789/$R788-1,"")</f>
        <v/>
      </c>
      <c r="CZ788" s="57">
        <f>IFERROR($S789/$S788-1,"")</f>
        <v/>
      </c>
      <c r="DA788" s="57">
        <f>IFERROR($T789/$T788-1,"")</f>
        <v/>
      </c>
      <c r="DB788" s="57">
        <f>IFERROR($U789/$U788-1,"")</f>
        <v/>
      </c>
      <c r="DC788" s="57">
        <f>IFERROR($V789/$V788-1,"")</f>
        <v/>
      </c>
      <c r="DD788" s="57">
        <f>IFERROR($W789/$W788-1,"")</f>
        <v/>
      </c>
      <c r="DE788" s="57">
        <f>IFERROR($X789/$X788-1,"")</f>
        <v/>
      </c>
      <c r="DF788" s="57">
        <f>IFERROR($Y789/$Y788-1,"")</f>
        <v/>
      </c>
      <c r="DG788" s="57">
        <f>IFERROR($Z789/$Z788-1,"")</f>
        <v/>
      </c>
      <c r="DH788" s="57">
        <f>IFERROR($AA789/$AA788-1,"")</f>
        <v/>
      </c>
      <c r="DI788" s="57">
        <f>IFERROR($AB789/$AB788-1,"")</f>
        <v/>
      </c>
      <c r="DJ788" s="57">
        <f>IFERROR($AC789/$AC788-1,"")</f>
        <v/>
      </c>
      <c r="DK788" s="57">
        <f>IFERROR($AD789/$AD788-1,"")</f>
        <v/>
      </c>
      <c r="DL788" s="57">
        <f>IFERROR($AE789/$AE788-1,"")</f>
        <v/>
      </c>
      <c r="DM788" s="56">
        <f>$AZ788-$AZ789</f>
        <v/>
      </c>
      <c r="DN788" s="56">
        <f>$BA788-$BA789</f>
        <v/>
      </c>
      <c r="DO788" s="56">
        <f>$BB788-$BB789</f>
        <v/>
      </c>
      <c r="DP788" s="56">
        <f>$BC788-$BC789</f>
        <v/>
      </c>
      <c r="DQ788" s="56">
        <f>$BD788-$BD789</f>
        <v/>
      </c>
      <c r="DR788" s="56">
        <f>$BE788-$BE789</f>
        <v/>
      </c>
      <c r="DS788" s="56">
        <f>$BF788-$BF789</f>
        <v/>
      </c>
      <c r="DT788" s="56">
        <f>$BG788-$BG789</f>
        <v/>
      </c>
      <c r="DU788" s="56">
        <f>$BH788-$BH789</f>
        <v/>
      </c>
      <c r="DV788" s="56">
        <f>$BI788-$BI789</f>
        <v/>
      </c>
      <c r="DW788" s="56">
        <f>$BJ788-$BJ789</f>
        <v/>
      </c>
      <c r="DX788" s="56">
        <f>$BK788-$BK789</f>
        <v/>
      </c>
      <c r="DY788" s="56">
        <f>$BL788-$BL789</f>
        <v/>
      </c>
      <c r="DZ788" s="56">
        <f>$BM788-$BM789</f>
        <v/>
      </c>
      <c r="EA788" s="56">
        <f>$BN788-$BN789</f>
        <v/>
      </c>
      <c r="EB788" s="56">
        <f>$BO788-$BO789</f>
        <v/>
      </c>
      <c r="EC788" s="56">
        <f>$BP788-$BP789</f>
        <v/>
      </c>
      <c r="ED788" s="56">
        <f>$BQ788-$BQ789</f>
        <v/>
      </c>
      <c r="EE788" s="56">
        <f>$BR788-$BR789</f>
        <v/>
      </c>
      <c r="EF788" s="56">
        <f>$BS788-$BS789</f>
        <v/>
      </c>
      <c r="EG788" s="56">
        <f>$BT788-$BT789</f>
        <v/>
      </c>
      <c r="EH788" s="56">
        <f>$BU788-$BU789</f>
        <v/>
      </c>
    </row>
    <row r="789">
      <c r="BV789" s="56">
        <f>($D789-$D790)*100</f>
        <v/>
      </c>
      <c r="BW789" s="56">
        <f>($C789-$C790)*100</f>
        <v/>
      </c>
      <c r="BX789" s="57">
        <f>IFERROR($I789/$I790-1,"")</f>
        <v/>
      </c>
      <c r="BY789" s="56">
        <f>($AF789-$AF790)*100</f>
        <v/>
      </c>
      <c r="BZ789" s="56">
        <f>($AG789-$AG790)*100</f>
        <v/>
      </c>
      <c r="CA789" s="56">
        <f>($AH789-$AH790)*100</f>
        <v/>
      </c>
      <c r="CB789" s="56">
        <f>($AI789-$AI790)*100</f>
        <v/>
      </c>
      <c r="CC789" s="56">
        <f>($AJ789-$AJ790)*100</f>
        <v/>
      </c>
      <c r="CD789" s="56">
        <f>($AK789-$AK790)*100</f>
        <v/>
      </c>
      <c r="CE789" s="56">
        <f>($AL789-$AL790)*100</f>
        <v/>
      </c>
      <c r="CF789" s="56">
        <f>($AM789-$AM790)*100</f>
        <v/>
      </c>
      <c r="CG789" s="56">
        <f>($AN789-$AN790)*100</f>
        <v/>
      </c>
      <c r="CH789" s="56">
        <f>($AO789-$AO790)*100</f>
        <v/>
      </c>
      <c r="CI789" s="56">
        <f>($AP789-$AP790)*100</f>
        <v/>
      </c>
      <c r="CJ789" s="56">
        <f>($AQ789-$AQ790)*100</f>
        <v/>
      </c>
      <c r="CK789" s="56">
        <f>($AR789-$AR790)*100</f>
        <v/>
      </c>
      <c r="CL789" s="56">
        <f>($AS789-$AS790)*100</f>
        <v/>
      </c>
      <c r="CM789" s="56">
        <f>($AT789-$AT790)*100</f>
        <v/>
      </c>
      <c r="CN789" s="56">
        <f>($AU789-$AU790)*100</f>
        <v/>
      </c>
      <c r="CO789" s="56">
        <f>($AV789-$AV790)*100</f>
        <v/>
      </c>
      <c r="CP789" s="56">
        <f>($AW789-$AW790)*100</f>
        <v/>
      </c>
      <c r="CQ789" s="56">
        <f>($AX789-$AX790)*100</f>
        <v/>
      </c>
      <c r="CR789" s="56">
        <f>($AY789-$AY790)*100</f>
        <v/>
      </c>
      <c r="CS789" s="57">
        <f>IFERROR($L790/$L789-1,"")</f>
        <v/>
      </c>
      <c r="CT789" s="57">
        <f>IFERROR($M790/$M789-1,"")</f>
        <v/>
      </c>
      <c r="CU789" s="57">
        <f>IFERROR($N790/$N789-1,"")</f>
        <v/>
      </c>
      <c r="CV789" s="57">
        <f>IFERROR($O790/$O789-1,"")</f>
        <v/>
      </c>
      <c r="CW789" s="57">
        <f>IFERROR($P790/$P789-1,"")</f>
        <v/>
      </c>
      <c r="CX789" s="57">
        <f>IFERROR($Q790/$Q789-1,"")</f>
        <v/>
      </c>
      <c r="CY789" s="57">
        <f>IFERROR($R790/$R789-1,"")</f>
        <v/>
      </c>
      <c r="CZ789" s="57">
        <f>IFERROR($S790/$S789-1,"")</f>
        <v/>
      </c>
      <c r="DA789" s="57">
        <f>IFERROR($T790/$T789-1,"")</f>
        <v/>
      </c>
      <c r="DB789" s="57">
        <f>IFERROR($U790/$U789-1,"")</f>
        <v/>
      </c>
      <c r="DC789" s="57">
        <f>IFERROR($V790/$V789-1,"")</f>
        <v/>
      </c>
      <c r="DD789" s="57">
        <f>IFERROR($W790/$W789-1,"")</f>
        <v/>
      </c>
      <c r="DE789" s="57">
        <f>IFERROR($X790/$X789-1,"")</f>
        <v/>
      </c>
      <c r="DF789" s="57">
        <f>IFERROR($Y790/$Y789-1,"")</f>
        <v/>
      </c>
      <c r="DG789" s="57">
        <f>IFERROR($Z790/$Z789-1,"")</f>
        <v/>
      </c>
      <c r="DH789" s="57">
        <f>IFERROR($AA790/$AA789-1,"")</f>
        <v/>
      </c>
      <c r="DI789" s="57">
        <f>IFERROR($AB790/$AB789-1,"")</f>
        <v/>
      </c>
      <c r="DJ789" s="57">
        <f>IFERROR($AC790/$AC789-1,"")</f>
        <v/>
      </c>
      <c r="DK789" s="57">
        <f>IFERROR($AD790/$AD789-1,"")</f>
        <v/>
      </c>
      <c r="DL789" s="57">
        <f>IFERROR($AE790/$AE789-1,"")</f>
        <v/>
      </c>
      <c r="DM789" s="56">
        <f>$AZ789-$AZ790</f>
        <v/>
      </c>
      <c r="DN789" s="56">
        <f>$BA789-$BA790</f>
        <v/>
      </c>
      <c r="DO789" s="56">
        <f>$BB789-$BB790</f>
        <v/>
      </c>
      <c r="DP789" s="56">
        <f>$BC789-$BC790</f>
        <v/>
      </c>
      <c r="DQ789" s="56">
        <f>$BD789-$BD790</f>
        <v/>
      </c>
      <c r="DR789" s="56">
        <f>$BE789-$BE790</f>
        <v/>
      </c>
      <c r="DS789" s="56">
        <f>$BF789-$BF790</f>
        <v/>
      </c>
      <c r="DT789" s="56">
        <f>$BG789-$BG790</f>
        <v/>
      </c>
      <c r="DU789" s="56">
        <f>$BH789-$BH790</f>
        <v/>
      </c>
      <c r="DV789" s="56">
        <f>$BI789-$BI790</f>
        <v/>
      </c>
      <c r="DW789" s="56">
        <f>$BJ789-$BJ790</f>
        <v/>
      </c>
      <c r="DX789" s="56">
        <f>$BK789-$BK790</f>
        <v/>
      </c>
      <c r="DY789" s="56">
        <f>$BL789-$BL790</f>
        <v/>
      </c>
      <c r="DZ789" s="56">
        <f>$BM789-$BM790</f>
        <v/>
      </c>
      <c r="EA789" s="56">
        <f>$BN789-$BN790</f>
        <v/>
      </c>
      <c r="EB789" s="56">
        <f>$BO789-$BO790</f>
        <v/>
      </c>
      <c r="EC789" s="56">
        <f>$BP789-$BP790</f>
        <v/>
      </c>
      <c r="ED789" s="56">
        <f>$BQ789-$BQ790</f>
        <v/>
      </c>
      <c r="EE789" s="56">
        <f>$BR789-$BR790</f>
        <v/>
      </c>
      <c r="EF789" s="56">
        <f>$BS789-$BS790</f>
        <v/>
      </c>
      <c r="EG789" s="56">
        <f>$BT789-$BT790</f>
        <v/>
      </c>
      <c r="EH789" s="56">
        <f>$BU789-$BU790</f>
        <v/>
      </c>
    </row>
    <row r="790">
      <c r="BV790" s="56">
        <f>($D790-$D791)*100</f>
        <v/>
      </c>
      <c r="BW790" s="56">
        <f>($C790-$C791)*100</f>
        <v/>
      </c>
      <c r="BX790" s="57">
        <f>IFERROR($I790/$I791-1,"")</f>
        <v/>
      </c>
      <c r="BY790" s="56">
        <f>($AF790-$AF791)*100</f>
        <v/>
      </c>
      <c r="BZ790" s="56">
        <f>($AG790-$AG791)*100</f>
        <v/>
      </c>
      <c r="CA790" s="56">
        <f>($AH790-$AH791)*100</f>
        <v/>
      </c>
      <c r="CB790" s="56">
        <f>($AI790-$AI791)*100</f>
        <v/>
      </c>
      <c r="CC790" s="56">
        <f>($AJ790-$AJ791)*100</f>
        <v/>
      </c>
      <c r="CD790" s="56">
        <f>($AK790-$AK791)*100</f>
        <v/>
      </c>
      <c r="CE790" s="56">
        <f>($AL790-$AL791)*100</f>
        <v/>
      </c>
      <c r="CF790" s="56">
        <f>($AM790-$AM791)*100</f>
        <v/>
      </c>
      <c r="CG790" s="56">
        <f>($AN790-$AN791)*100</f>
        <v/>
      </c>
      <c r="CH790" s="56">
        <f>($AO790-$AO791)*100</f>
        <v/>
      </c>
      <c r="CI790" s="56">
        <f>($AP790-$AP791)*100</f>
        <v/>
      </c>
      <c r="CJ790" s="56">
        <f>($AQ790-$AQ791)*100</f>
        <v/>
      </c>
      <c r="CK790" s="56">
        <f>($AR790-$AR791)*100</f>
        <v/>
      </c>
      <c r="CL790" s="56">
        <f>($AS790-$AS791)*100</f>
        <v/>
      </c>
      <c r="CM790" s="56">
        <f>($AT790-$AT791)*100</f>
        <v/>
      </c>
      <c r="CN790" s="56">
        <f>($AU790-$AU791)*100</f>
        <v/>
      </c>
      <c r="CO790" s="56">
        <f>($AV790-$AV791)*100</f>
        <v/>
      </c>
      <c r="CP790" s="56">
        <f>($AW790-$AW791)*100</f>
        <v/>
      </c>
      <c r="CQ790" s="56">
        <f>($AX790-$AX791)*100</f>
        <v/>
      </c>
      <c r="CR790" s="56">
        <f>($AY790-$AY791)*100</f>
        <v/>
      </c>
      <c r="CS790" s="57">
        <f>IFERROR($L791/$L790-1,"")</f>
        <v/>
      </c>
      <c r="CT790" s="57">
        <f>IFERROR($M791/$M790-1,"")</f>
        <v/>
      </c>
      <c r="CU790" s="57">
        <f>IFERROR($N791/$N790-1,"")</f>
        <v/>
      </c>
      <c r="CV790" s="57">
        <f>IFERROR($O791/$O790-1,"")</f>
        <v/>
      </c>
      <c r="CW790" s="57">
        <f>IFERROR($P791/$P790-1,"")</f>
        <v/>
      </c>
      <c r="CX790" s="57">
        <f>IFERROR($Q791/$Q790-1,"")</f>
        <v/>
      </c>
      <c r="CY790" s="57">
        <f>IFERROR($R791/$R790-1,"")</f>
        <v/>
      </c>
      <c r="CZ790" s="57">
        <f>IFERROR($S791/$S790-1,"")</f>
        <v/>
      </c>
      <c r="DA790" s="57">
        <f>IFERROR($T791/$T790-1,"")</f>
        <v/>
      </c>
      <c r="DB790" s="57">
        <f>IFERROR($U791/$U790-1,"")</f>
        <v/>
      </c>
      <c r="DC790" s="57">
        <f>IFERROR($V791/$V790-1,"")</f>
        <v/>
      </c>
      <c r="DD790" s="57">
        <f>IFERROR($W791/$W790-1,"")</f>
        <v/>
      </c>
      <c r="DE790" s="57">
        <f>IFERROR($X791/$X790-1,"")</f>
        <v/>
      </c>
      <c r="DF790" s="57">
        <f>IFERROR($Y791/$Y790-1,"")</f>
        <v/>
      </c>
      <c r="DG790" s="57">
        <f>IFERROR($Z791/$Z790-1,"")</f>
        <v/>
      </c>
      <c r="DH790" s="57">
        <f>IFERROR($AA791/$AA790-1,"")</f>
        <v/>
      </c>
      <c r="DI790" s="57">
        <f>IFERROR($AB791/$AB790-1,"")</f>
        <v/>
      </c>
      <c r="DJ790" s="57">
        <f>IFERROR($AC791/$AC790-1,"")</f>
        <v/>
      </c>
      <c r="DK790" s="57">
        <f>IFERROR($AD791/$AD790-1,"")</f>
        <v/>
      </c>
      <c r="DL790" s="57">
        <f>IFERROR($AE791/$AE790-1,"")</f>
        <v/>
      </c>
      <c r="DM790" s="56">
        <f>$AZ790-$AZ791</f>
        <v/>
      </c>
      <c r="DN790" s="56">
        <f>$BA790-$BA791</f>
        <v/>
      </c>
      <c r="DO790" s="56">
        <f>$BB790-$BB791</f>
        <v/>
      </c>
      <c r="DP790" s="56">
        <f>$BC790-$BC791</f>
        <v/>
      </c>
      <c r="DQ790" s="56">
        <f>$BD790-$BD791</f>
        <v/>
      </c>
      <c r="DR790" s="56">
        <f>$BE790-$BE791</f>
        <v/>
      </c>
      <c r="DS790" s="56">
        <f>$BF790-$BF791</f>
        <v/>
      </c>
      <c r="DT790" s="56">
        <f>$BG790-$BG791</f>
        <v/>
      </c>
      <c r="DU790" s="56">
        <f>$BH790-$BH791</f>
        <v/>
      </c>
      <c r="DV790" s="56">
        <f>$BI790-$BI791</f>
        <v/>
      </c>
      <c r="DW790" s="56">
        <f>$BJ790-$BJ791</f>
        <v/>
      </c>
      <c r="DX790" s="56">
        <f>$BK790-$BK791</f>
        <v/>
      </c>
      <c r="DY790" s="56">
        <f>$BL790-$BL791</f>
        <v/>
      </c>
      <c r="DZ790" s="56">
        <f>$BM790-$BM791</f>
        <v/>
      </c>
      <c r="EA790" s="56">
        <f>$BN790-$BN791</f>
        <v/>
      </c>
      <c r="EB790" s="56">
        <f>$BO790-$BO791</f>
        <v/>
      </c>
      <c r="EC790" s="56">
        <f>$BP790-$BP791</f>
        <v/>
      </c>
      <c r="ED790" s="56">
        <f>$BQ790-$BQ791</f>
        <v/>
      </c>
      <c r="EE790" s="56">
        <f>$BR790-$BR791</f>
        <v/>
      </c>
      <c r="EF790" s="56">
        <f>$BS790-$BS791</f>
        <v/>
      </c>
      <c r="EG790" s="56">
        <f>$BT790-$BT791</f>
        <v/>
      </c>
      <c r="EH790" s="56">
        <f>$BU790-$BU791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2026-09-15T14:45:42Z</dcterms:created>
  <dcterms:modified xmlns:dcterms="http://purl.org/dc/terms/" xmlns:xsi="http://www.w3.org/2001/XMLSchema-instance" xsi:type="dcterms:W3CDTF">2026-09-15T14:45:45Z</dcterms:modified>
</cp:coreProperties>
</file>